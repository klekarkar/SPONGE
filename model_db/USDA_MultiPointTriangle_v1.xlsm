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W:\VUB\TMS network\data\"/>
    </mc:Choice>
  </mc:AlternateContent>
  <xr:revisionPtr revIDLastSave="0" documentId="13_ncr:1_{56208D30-F316-4EBB-A1E1-47BA4B80B7A2}" xr6:coauthVersionLast="47" xr6:coauthVersionMax="47" xr10:uidLastSave="{00000000-0000-0000-0000-000000000000}"/>
  <workbookProtection workbookAlgorithmName="SHA-512" workbookHashValue="U0ibIQ3w7miujloWdTcuVBr4vxUGDX8gcfGjTF9quIPxyxWYpfXnGWj8dUFBsznUiLWc4/apdRbnkV5ljhYC/w==" workbookSaltValue="zUEsesMYW0QJP6za1TcvnA==" workbookSpinCount="100000" lockStructure="1"/>
  <bookViews>
    <workbookView xWindow="28680" yWindow="-120" windowWidth="51840" windowHeight="21240" tabRatio="662" xr2:uid="{00000000-000D-0000-FFFF-FFFF00000000}"/>
  </bookViews>
  <sheets>
    <sheet name="Triangle" sheetId="1" r:id="rId1"/>
    <sheet name="Texture Definitions" sheetId="24" r:id="rId2"/>
    <sheet name="ChartData" sheetId="4" state="hidden" r:id="rId3"/>
    <sheet name="Calc" sheetId="23" state="hidden" r:id="rId4"/>
  </sheets>
  <definedNames>
    <definedName name="mySwitch_C_1">#REF!</definedName>
    <definedName name="mySwitch_CL_1">#REF!</definedName>
    <definedName name="mySwitch_L_1">#REF!</definedName>
    <definedName name="mySwitch_LS_1">#REF!</definedName>
    <definedName name="mySwitch_LS_LCOS_1">#REF!</definedName>
    <definedName name="mySwitch_LS_LFS_1">#REF!</definedName>
    <definedName name="mySwitch_LS_LS_1">#REF!</definedName>
    <definedName name="mySwitch_LS_LVFS_1">#REF!</definedName>
    <definedName name="mySwitch_S_1">#REF!</definedName>
    <definedName name="mySwitch_S_COS_1">#REF!</definedName>
    <definedName name="mySwitch_S_FS_1">#REF!</definedName>
    <definedName name="mySwitch_S_S_1">#REF!</definedName>
    <definedName name="mySwitch_S_VFS_1">#REF!</definedName>
    <definedName name="mySwitch_SC_1">#REF!</definedName>
    <definedName name="mySwitch_SCL_1">#REF!</definedName>
    <definedName name="mySwitch_SI_1">#REF!</definedName>
    <definedName name="mySwitch_SIC_1">#REF!</definedName>
    <definedName name="mySwitch_SICL_1">#REF!</definedName>
    <definedName name="mySwitch_SIL_1">#REF!</definedName>
    <definedName name="mySwitch_SL_1">#REF!</definedName>
    <definedName name="mySwitch_SL_COSL_1">#REF!</definedName>
    <definedName name="mySwitch_SL_FSL_1">#REF!</definedName>
    <definedName name="mySwitch_SL_SL_1">#REF!</definedName>
    <definedName name="mySwitch_SL_VFSL_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7" i="1" l="1"/>
  <c r="E28" i="1" s="1"/>
  <c r="H13" i="1"/>
  <c r="A9" i="4" s="1"/>
  <c r="A11" i="23"/>
  <c r="A10" i="23"/>
  <c r="A9" i="23"/>
  <c r="A37" i="23"/>
  <c r="A38" i="23" s="1"/>
  <c r="A28" i="23"/>
  <c r="A29" i="23" s="1"/>
  <c r="A18" i="23"/>
  <c r="B9" i="4" l="1"/>
  <c r="A13" i="23"/>
  <c r="A6" i="23"/>
  <c r="A2" i="23"/>
  <c r="A7" i="23"/>
  <c r="A8" i="23"/>
  <c r="A4" i="23"/>
  <c r="A3" i="23"/>
  <c r="A5" i="23"/>
  <c r="A12" i="23"/>
  <c r="A39" i="23"/>
  <c r="A19" i="23"/>
  <c r="A30" i="23"/>
  <c r="A31" i="23" s="1"/>
  <c r="A14" i="23" l="1"/>
  <c r="A32" i="23"/>
  <c r="A33" i="23" s="1"/>
  <c r="A40" i="23"/>
  <c r="A20" i="23"/>
  <c r="A21" i="23" s="1"/>
  <c r="A22" i="23" l="1"/>
  <c r="A23" i="23" s="1"/>
  <c r="A41" i="23"/>
  <c r="A42" i="23" s="1"/>
  <c r="A43" i="23" l="1"/>
  <c r="A44" i="23" l="1"/>
  <c r="A45" i="23" s="1"/>
  <c r="A46" i="23" l="1"/>
  <c r="A47" i="23" l="1"/>
  <c r="A48" i="23" s="1"/>
  <c r="A49" i="23" s="1"/>
  <c r="A34" i="23"/>
  <c r="A24" i="23"/>
  <c r="A50" i="23" l="1"/>
  <c r="G32" i="1" s="1"/>
  <c r="X34" i="4"/>
  <c r="W34" i="4"/>
  <c r="U34" i="4"/>
  <c r="T34" i="4"/>
  <c r="X31" i="4"/>
  <c r="W31" i="4"/>
  <c r="U31" i="4"/>
  <c r="T31" i="4"/>
  <c r="X28" i="4"/>
  <c r="W28" i="4"/>
  <c r="U28" i="4"/>
  <c r="T28" i="4"/>
  <c r="X25" i="4"/>
  <c r="W25" i="4"/>
  <c r="U25" i="4"/>
  <c r="T25" i="4"/>
  <c r="X22" i="4"/>
  <c r="W22" i="4"/>
  <c r="U22" i="4"/>
  <c r="T22" i="4"/>
  <c r="X19" i="4"/>
  <c r="W19" i="4"/>
  <c r="U19" i="4"/>
  <c r="T19" i="4"/>
  <c r="X16" i="4"/>
  <c r="W16" i="4"/>
  <c r="U16" i="4"/>
  <c r="T16" i="4"/>
  <c r="BG14" i="4"/>
  <c r="BF14" i="4"/>
  <c r="BG13" i="4"/>
  <c r="BF13" i="4"/>
  <c r="X13" i="4"/>
  <c r="W13" i="4"/>
  <c r="U13" i="4"/>
  <c r="T13" i="4"/>
  <c r="BG12" i="4"/>
  <c r="BF12" i="4"/>
  <c r="BG11" i="4"/>
  <c r="BF11" i="4"/>
  <c r="BG10" i="4"/>
  <c r="BF10" i="4"/>
  <c r="X10" i="4"/>
  <c r="W10" i="4"/>
  <c r="U10" i="4"/>
  <c r="T10" i="4"/>
  <c r="BG9" i="4"/>
  <c r="BF9" i="4"/>
  <c r="BG8" i="4"/>
  <c r="BF8" i="4"/>
  <c r="BG7" i="4"/>
  <c r="BF7" i="4"/>
  <c r="X7" i="4"/>
  <c r="W7" i="4"/>
  <c r="U7" i="4"/>
  <c r="T7" i="4"/>
  <c r="BG6" i="4"/>
  <c r="BF6" i="4"/>
  <c r="BG5" i="4"/>
  <c r="BF5" i="4"/>
  <c r="BG4" i="4"/>
  <c r="BF4" i="4"/>
  <c r="X4" i="4"/>
  <c r="W4" i="4"/>
  <c r="U4" i="4"/>
  <c r="T4" i="4"/>
  <c r="BG3" i="4"/>
  <c r="BF3" i="4"/>
</calcChain>
</file>

<file path=xl/sharedStrings.xml><?xml version="1.0" encoding="utf-8"?>
<sst xmlns="http://schemas.openxmlformats.org/spreadsheetml/2006/main" count="304" uniqueCount="178">
  <si>
    <t>x</t>
  </si>
  <si>
    <t>y</t>
  </si>
  <si>
    <t>Triangle outline</t>
  </si>
  <si>
    <t>X</t>
  </si>
  <si>
    <t>Y</t>
  </si>
  <si>
    <t>H</t>
  </si>
  <si>
    <t>10/10 Points</t>
  </si>
  <si>
    <t>10/10 Clay Lines</t>
  </si>
  <si>
    <t>10/10 Silt Lines</t>
  </si>
  <si>
    <t>10/10 Sand Lines</t>
  </si>
  <si>
    <t>10/10 Clay Ticks</t>
  </si>
  <si>
    <t>10/10 Silt Ticks</t>
  </si>
  <si>
    <t>10/10 Sand Ticks</t>
  </si>
  <si>
    <t>20/20 Clay Lines</t>
  </si>
  <si>
    <t>20/20 Silt Lines</t>
  </si>
  <si>
    <t>20/20 Sand Lines</t>
  </si>
  <si>
    <t>20/20 Clay Ticks</t>
  </si>
  <si>
    <t>20/20 Silt Ticks</t>
  </si>
  <si>
    <t>20/20 Sand Ticks</t>
  </si>
  <si>
    <t>100/100 Points</t>
  </si>
  <si>
    <t>Sand</t>
  </si>
  <si>
    <t>Loamy Sand</t>
  </si>
  <si>
    <t>Sandy Loam</t>
  </si>
  <si>
    <t>Sandy Clay Loam</t>
  </si>
  <si>
    <t>Loam</t>
  </si>
  <si>
    <t>Sandy Clay</t>
  </si>
  <si>
    <t>Clay Loam</t>
  </si>
  <si>
    <t>Silty Clay</t>
  </si>
  <si>
    <t>Silty Clay Loam</t>
  </si>
  <si>
    <t>Silt Loam</t>
  </si>
  <si>
    <t>Silt</t>
  </si>
  <si>
    <t>Clay</t>
  </si>
  <si>
    <t>Very Fine</t>
  </si>
  <si>
    <t>Fine</t>
  </si>
  <si>
    <t>Fine Silty</t>
  </si>
  <si>
    <t>Coarse Silty</t>
  </si>
  <si>
    <t>Fine Loamy</t>
  </si>
  <si>
    <t>Coarse Loamy</t>
  </si>
  <si>
    <t>Sandy</t>
  </si>
  <si>
    <t>Tick Labels</t>
  </si>
  <si>
    <t>Texture Labels</t>
  </si>
  <si>
    <t>Label</t>
  </si>
  <si>
    <t>S</t>
  </si>
  <si>
    <t>LS</t>
  </si>
  <si>
    <t>SL</t>
  </si>
  <si>
    <t>Family</t>
  </si>
  <si>
    <t>LCOS</t>
  </si>
  <si>
    <t>LFS</t>
  </si>
  <si>
    <t>LVFS</t>
  </si>
  <si>
    <t>COS</t>
  </si>
  <si>
    <t>FS</t>
  </si>
  <si>
    <t>VFS</t>
  </si>
  <si>
    <t>COSL</t>
  </si>
  <si>
    <t>FSL</t>
  </si>
  <si>
    <t>VFSL</t>
  </si>
  <si>
    <t>Sand Textures</t>
  </si>
  <si>
    <t>Sand Lables</t>
  </si>
  <si>
    <t xml:space="preserve">Sand (%)  </t>
  </si>
  <si>
    <t xml:space="preserve">Silt (%)  </t>
  </si>
  <si>
    <t xml:space="preserve">Clay (%)  </t>
  </si>
  <si>
    <t xml:space="preserve">Coarse Sand (%)  </t>
  </si>
  <si>
    <t xml:space="preserve">Medium Sand (%)  </t>
  </si>
  <si>
    <t xml:space="preserve">Fine Sand (%)  </t>
  </si>
  <si>
    <t xml:space="preserve">Very Fine Sand (%)  </t>
  </si>
  <si>
    <t>USDA Texture</t>
  </si>
  <si>
    <t>Basics</t>
  </si>
  <si>
    <t>((silt + 1.5*clay) &lt; 15)</t>
  </si>
  <si>
    <t>SAND</t>
  </si>
  <si>
    <t>((silt + 1.5*clay &gt;= 15) &amp;&amp; (silt + 2*clay &lt; 30))</t>
  </si>
  <si>
    <t>LOAMY SAND</t>
  </si>
  <si>
    <t>((clay &gt;= 7 &amp;&amp; clay &lt; 20) &amp;&amp; (sand &gt; 52) &amp;&amp; ((silt + 2*clay) &gt;= 30) || (clay &lt; 7 &amp;&amp; silt &lt; 50 &amp;&amp; (silt+2*clay)&gt;=30))</t>
  </si>
  <si>
    <t>SANDY LOAM</t>
  </si>
  <si>
    <t>((clay &gt;= 7 &amp;&amp; clay &lt; 27) &amp;&amp; (silt &gt;= 28 &amp;&amp; silt &lt; 50) &amp;&amp; (sand &lt;= 52))</t>
  </si>
  <si>
    <t>LOAM</t>
  </si>
  <si>
    <t>((silt &gt;= 50 &amp;&amp; (clay &gt;= 12 &amp;&amp; clay &lt; 27)) || ((silt &gt;= 50 &amp;&amp; silt &lt; 80) &amp;&amp; clay &lt; 12))</t>
  </si>
  <si>
    <t>SILT LOAM</t>
  </si>
  <si>
    <t>(silt &gt;= 80 &amp;&amp; clay &lt; 12)</t>
  </si>
  <si>
    <t>SILT</t>
  </si>
  <si>
    <t xml:space="preserve">((clay &gt;= 20 &amp;&amp; clay &lt; 35) &amp;&amp; (silt &lt; 28) &amp;&amp; (sand &gt; 45)) </t>
  </si>
  <si>
    <t>SANDY CLAY LOAM</t>
  </si>
  <si>
    <t>((clay &gt;= 27 &amp;&amp; clay &lt; 40) &amp;&amp; (sand &gt; 20 &amp;&amp; sand &lt;= 45))</t>
  </si>
  <si>
    <t>CLAY LOAM</t>
  </si>
  <si>
    <t>((clay &gt;= 27 &amp;&amp; clay &lt; 40) &amp;&amp; (sand  &lt;= 20))</t>
  </si>
  <si>
    <t>SILTY CLAY LOAM</t>
  </si>
  <si>
    <t>(clay &gt;= 35 &amp;&amp; sand &gt; 45)</t>
  </si>
  <si>
    <t>SANDY CLAY</t>
  </si>
  <si>
    <t>(clay &gt;= 40 &amp;&amp; silt &gt;= 40)</t>
  </si>
  <si>
    <t>SILTY CLAY</t>
  </si>
  <si>
    <t>(clay &gt;= 40 &amp;&amp; sand &lt;= 45 &amp;&amp; silt &lt; 40)</t>
  </si>
  <si>
    <t>CLAY</t>
  </si>
  <si>
    <t>vcscs &gt;= 25 &amp;&amp; ms &lt; 50 &amp;&amp; fs &lt; 50 &amp;&amp; vfs &lt; 50</t>
  </si>
  <si>
    <t>COARSE SAND</t>
  </si>
  <si>
    <t>vcscsms &gt;= 25 &amp;&amp; vcscs &lt; 25 &amp;&amp; fs &lt; 50 &amp;&amp; vfs &lt; 50</t>
  </si>
  <si>
    <t>ms &gt;= 50 &amp;&amp; vcscs &gt;= 25</t>
  </si>
  <si>
    <t>fs &gt;= 50 &amp;&amp; fs &gt; vfs</t>
  </si>
  <si>
    <t>FINE SAND</t>
  </si>
  <si>
    <t>vcscsms &lt; 25 &amp;&amp; vfs &lt; 50</t>
  </si>
  <si>
    <t>vfs &gt;= 50</t>
  </si>
  <si>
    <t>VERY FINE SAND</t>
  </si>
  <si>
    <t>Loam Sand</t>
  </si>
  <si>
    <t>LOAMY COARSE SAND</t>
  </si>
  <si>
    <t>fs &gt;= 50</t>
  </si>
  <si>
    <t>LOAMY FINE SAND</t>
  </si>
  <si>
    <t>LOAMY VERY FINE SAND</t>
  </si>
  <si>
    <t>Sand Loam</t>
  </si>
  <si>
    <t>COARSE SANDY LOAM</t>
  </si>
  <si>
    <t>vcscsms &gt;= 30 &amp;&amp; vfs &gt;= 30 &amp;&amp; vfs &lt; 50</t>
  </si>
  <si>
    <t>vcscsms &gt;= 30 &amp;&amp; vcscs &lt; 25 &amp;&amp; fs &lt; 30 &amp;&amp; vfs &lt; 30</t>
  </si>
  <si>
    <t>vcscsms &lt;= 15 &amp;&amp; fs &lt; 30 &amp;&amp; vfs &lt; 30 &amp;&amp; fsvfs &lt; 40</t>
  </si>
  <si>
    <t>vcscs &gt;= 25 &amp;&amp; ms &gt;= 50</t>
  </si>
  <si>
    <t>fs &gt;= 30 &amp;&amp; vfs &lt; 30 &amp;&amp; vcscs &lt; 25</t>
  </si>
  <si>
    <t>FINE SANDY LOAM</t>
  </si>
  <si>
    <t>vcscsms &gt;= 15 &amp;&amp; vcscsms &lt; 30 &amp;&amp; vcscs &lt; 25</t>
  </si>
  <si>
    <t>fsvfs &gt;= 40 &amp;&amp; fs &gt;= vfs &amp;&amp; vcscsms &lt;= 15</t>
  </si>
  <si>
    <t>vcscs &gt;= 25 &amp;&amp; fs &gt;= 50</t>
  </si>
  <si>
    <t>vfs &gt;= 30 &amp;&amp; vcscsms &lt; 15 &amp;&amp; vfs &gt; fs</t>
  </si>
  <si>
    <t>VERY FINE SANDY LOAM</t>
  </si>
  <si>
    <t>fsvfs &gt;= 40 &amp;&amp; vfs &gt; fs &amp;&amp; vcscsms &lt; 15</t>
  </si>
  <si>
    <t>vcscs &gt;= 25 &amp;&amp; vfs &gt;= 50</t>
  </si>
  <si>
    <t>vcscsms &gt;= 30 &amp;&amp; vfs &gt;= 50</t>
  </si>
  <si>
    <t>Total</t>
  </si>
  <si>
    <t xml:space="preserve">Very Coarse Sand (%)  </t>
  </si>
  <si>
    <t>Sand Fractions</t>
  </si>
  <si>
    <t>Texture Definitions</t>
  </si>
  <si>
    <t>Sands</t>
  </si>
  <si>
    <t>Loamy sands</t>
  </si>
  <si>
    <t>Sandy loams</t>
  </si>
  <si>
    <t>More than 85 percent sand, the percentage of silt plus 1.5 times the percentage of clay is less than 15.</t>
  </si>
  <si>
    <t>A total of 25 percent or more very coarse and coarse sand and less than 50 percent any other single grade of sand.</t>
  </si>
  <si>
    <t>A total of 25 percent or more very coarse, coarse, and medium sand, a total of less than 25 percent very coarse and coarse sand, and less than 50 percent fine sand and less than 50 percent very fine sand.</t>
  </si>
  <si>
    <t>50 percent or more fine sand; or a total of less than 25 percent very coarse, coarse, and medium sand and less than 50 percent very fine sand.</t>
  </si>
  <si>
    <t>50 percent or more very fine sand.</t>
  </si>
  <si>
    <t>Between 70 and 91 percent sand and the percentage of silt plus 1.5 times the percentage of clay is 15 or more; and the percentage of silt plus twice the percentage of clay is less than 30.</t>
  </si>
  <si>
    <t>A total of 25 percent or more very coarse, coarse, and medium sand and a total of less than 25 percent very coarse and coarse sand, and less than 50 percent fine sand and less than 50 percent very fine sand.</t>
  </si>
  <si>
    <t>50 percent or more fine sand; or less than 50 percent very fine sand and a total of less than 25 percent very coarse, coarse, and medium sand.</t>
  </si>
  <si>
    <t>7 to 20 percent clay, more than 52 percent sand, and the percentage of silt plus twice the percentage of clay is 30 or more; or less than 7 percent clay, less than 50 percent silt, and more than 43 percent sand.</t>
  </si>
  <si>
    <t>A total of 30 percent or more very coarse, coarse, and medium sand, but a total of less than 25 percent very coarse and coarse sand and less than 30 percent fine sand and less than 30 percent very fine sand; or a total of 15 percent or less very coarse, coarse, and medium sand, less than 30 percent fine sand and less than 30 percent very fine sand with a total of 40 percent or less fine and very fine sand.</t>
  </si>
  <si>
    <t>30 percent or more fine sand and less than 30 percent very fine sand; or a total of 15 to 30 percent very coarse, coarse, and medium sand; or a total of more than 40 percent fine and very fine sand, one half or more of which is fine sand, and a total of 15 percent or less very coarse, coarse, and medium sand.</t>
  </si>
  <si>
    <t>30 percent or more very fine sand and a total of less than 15 percent very coarse, coarse, and medium sand; or more than 40 percent fine and very fine sand, more than one half of which is very fine sand, and total of less than 15 percent very coarse, coarse, and medium sand.</t>
  </si>
  <si>
    <t>7 to 27 percent clay, 28 to 50 percent silt, and 52 percent or less sand.</t>
  </si>
  <si>
    <t>50 percent or more silt and 12 to 27 percent clay, or 50 to 80 percent silt and less than 12 percent clay.</t>
  </si>
  <si>
    <t>80 percent or more silt and less than 12 percent clay.</t>
  </si>
  <si>
    <t>20 to 35 percent clay, less than 28 percent silt, and more than 45 percent sand.</t>
  </si>
  <si>
    <t>27 to 40 percent clay and more than 20 to 46 percent sand.</t>
  </si>
  <si>
    <t>27 to 40 percent clay and 20 percent or less sand.</t>
  </si>
  <si>
    <t>35 percent or more clay and 45 percent or more sand.</t>
  </si>
  <si>
    <t>40 percent or more clay and 40 percent or more silt.</t>
  </si>
  <si>
    <t>40 percent or more clay, 45 percent or less sand, and less than 40 percent silt.</t>
  </si>
  <si>
    <t xml:space="preserve">  Coarse sand</t>
  </si>
  <si>
    <t xml:space="preserve">  Sand</t>
  </si>
  <si>
    <t xml:space="preserve">  Fine sand</t>
  </si>
  <si>
    <t xml:space="preserve">  Very fine sand</t>
  </si>
  <si>
    <t xml:space="preserve">  Loamy coarse sand</t>
  </si>
  <si>
    <t xml:space="preserve">  Loamy sand</t>
  </si>
  <si>
    <t xml:space="preserve">  Loamy fine sand</t>
  </si>
  <si>
    <t xml:space="preserve">  Coarse sandy loam</t>
  </si>
  <si>
    <t xml:space="preserve">  Sandy loam</t>
  </si>
  <si>
    <t xml:space="preserve">  Fine sandy loam</t>
  </si>
  <si>
    <t xml:space="preserve">  Very fine sandy loam</t>
  </si>
  <si>
    <t xml:space="preserve">  Loamy very fine sand</t>
  </si>
  <si>
    <t xml:space="preserve">  Loam</t>
  </si>
  <si>
    <t xml:space="preserve">  Silt loam</t>
  </si>
  <si>
    <t xml:space="preserve">  Silt</t>
  </si>
  <si>
    <t xml:space="preserve">  Sandy clay loam</t>
  </si>
  <si>
    <t xml:space="preserve">  Clay loam</t>
  </si>
  <si>
    <t xml:space="preserve">  Silty clay loam</t>
  </si>
  <si>
    <t xml:space="preserve">  Sandy clay</t>
  </si>
  <si>
    <t xml:space="preserve">  Silty clay</t>
  </si>
  <si>
    <t xml:space="preserve">  Clay</t>
  </si>
  <si>
    <t>mark.vanlear@usda.gov</t>
  </si>
  <si>
    <t xml:space="preserve">Send comments or suggestions to </t>
  </si>
  <si>
    <r>
      <rPr>
        <b/>
        <u/>
        <sz val="11"/>
        <color theme="1"/>
        <rFont val="Arial"/>
        <family val="2"/>
      </rPr>
      <t>Instructions:</t>
    </r>
    <r>
      <rPr>
        <b/>
        <sz val="11"/>
        <color theme="1"/>
        <rFont val="Arial"/>
        <family val="2"/>
      </rPr>
      <t xml:space="preserve"> </t>
    </r>
    <r>
      <rPr>
        <sz val="11"/>
        <color theme="1"/>
        <rFont val="Arial"/>
        <family val="2"/>
      </rPr>
      <t>Populate yellow cells. Total Sand, Silt, and Clay must equal 100%. Sand fractions are optional (only used with sands, loamy sands, and sandy loams if known), but if used must equal Total Sand.</t>
    </r>
  </si>
  <si>
    <t xml:space="preserve">Sand Fractions Sum  </t>
  </si>
  <si>
    <t>Point</t>
  </si>
  <si>
    <t>Texture</t>
  </si>
  <si>
    <t>VCS</t>
  </si>
  <si>
    <t>CS</t>
  </si>
  <si>
    <t>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</si>
</sst>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00000000000000"/>
  </numFmts>
  <fonts count="23" x14ac:knownFonts="1">
    <font>
      <sz val="11"/>
      <color theme="1"/>
      <name val="Calibri"/>
      <family val="2"/>
      <scheme val="minor"/>
    </font>
    <font>
      <sz val="8"/>
      <name val="Arial"/>
      <family val="2"/>
    </font>
    <font>
      <sz val="8"/>
      <color theme="1"/>
      <name val="Arial"/>
      <family val="2"/>
    </font>
    <font>
      <sz val="11"/>
      <color theme="1"/>
      <name val="Arial"/>
      <family val="2"/>
    </font>
    <font>
      <sz val="11"/>
      <name val="Arial"/>
      <family val="2"/>
    </font>
    <font>
      <b/>
      <sz val="11"/>
      <color theme="1"/>
      <name val="Arial"/>
      <family val="2"/>
    </font>
    <font>
      <sz val="11"/>
      <color theme="0"/>
      <name val="Arial"/>
      <family val="2"/>
    </font>
    <font>
      <b/>
      <u/>
      <sz val="10"/>
      <name val="Arial"/>
      <family val="2"/>
    </font>
    <font>
      <sz val="10"/>
      <name val="Arial"/>
      <family val="2"/>
    </font>
    <font>
      <u/>
      <sz val="10"/>
      <name val="Arial"/>
      <family val="2"/>
    </font>
    <font>
      <b/>
      <sz val="10"/>
      <name val="Arial"/>
      <family val="2"/>
    </font>
    <font>
      <u/>
      <sz val="11"/>
      <color theme="10"/>
      <name val="Calibri"/>
      <family val="2"/>
      <scheme val="minor"/>
    </font>
    <font>
      <sz val="11"/>
      <color rgb="FFFF0000"/>
      <name val="Arial"/>
      <family val="2"/>
    </font>
    <font>
      <b/>
      <u/>
      <sz val="11"/>
      <color theme="1"/>
      <name val="Arial"/>
      <family val="2"/>
    </font>
    <font>
      <sz val="11"/>
      <color rgb="FFFF0066"/>
      <name val="Arial"/>
      <family val="2"/>
    </font>
    <font>
      <sz val="9"/>
      <color theme="1"/>
      <name val="Arial"/>
      <family val="2"/>
    </font>
    <font>
      <sz val="9"/>
      <color rgb="FF000000"/>
      <name val="Arial"/>
      <family val="2"/>
    </font>
    <font>
      <sz val="10"/>
      <color theme="1"/>
      <name val="Arial"/>
      <family val="2"/>
    </font>
    <font>
      <sz val="10"/>
      <color rgb="FF000000"/>
      <name val="Arial"/>
      <family val="2"/>
    </font>
    <font>
      <b/>
      <sz val="10"/>
      <color theme="1"/>
      <name val="Arial"/>
      <family val="2"/>
    </font>
    <font>
      <sz val="10"/>
      <color rgb="FFFFFFFF"/>
      <name val="Arial"/>
      <family val="2"/>
    </font>
    <font>
      <sz val="10"/>
      <color theme="0" tint="-0.34998626667073579"/>
      <name val="Arial"/>
      <family val="2"/>
    </font>
    <font>
      <sz val="10"/>
      <color theme="0"/>
      <name val="Arial"/>
      <family val="2"/>
    </font>
  </fonts>
  <fills count="6">
    <fill>
      <patternFill patternType="none"/>
    </fill>
    <fill>
      <patternFill patternType="gray125"/>
    </fill>
    <fill>
      <patternFill patternType="solid">
        <fgColor theme="0"/>
        <bgColor indexed="64"/>
      </patternFill>
    </fill>
    <fill>
      <patternFill patternType="solid">
        <fgColor rgb="FF000000"/>
        <bgColor indexed="64"/>
      </patternFill>
    </fill>
    <fill>
      <patternFill patternType="solid">
        <fgColor rgb="FFFFFFCC"/>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applyNumberFormat="0" applyFill="0" applyBorder="0" applyAlignment="0" applyProtection="0"/>
  </cellStyleXfs>
  <cellXfs count="112">
    <xf numFmtId="0" fontId="0" fillId="0" borderId="0" xfId="0"/>
    <xf numFmtId="165" fontId="0" fillId="0" borderId="0" xfId="0" applyNumberFormat="1"/>
    <xf numFmtId="2" fontId="2" fillId="0" borderId="0" xfId="0" applyNumberFormat="1" applyFont="1" applyAlignment="1">
      <alignment horizontal="center"/>
    </xf>
    <xf numFmtId="164" fontId="2" fillId="0" borderId="0" xfId="0" applyNumberFormat="1" applyFont="1" applyAlignment="1">
      <alignment horizontal="center"/>
    </xf>
    <xf numFmtId="164" fontId="2" fillId="0" borderId="11" xfId="0" applyNumberFormat="1" applyFont="1" applyBorder="1"/>
    <xf numFmtId="164" fontId="2" fillId="0" borderId="9" xfId="0" applyNumberFormat="1" applyFont="1" applyBorder="1"/>
    <xf numFmtId="164" fontId="2" fillId="0" borderId="0" xfId="0" applyNumberFormat="1" applyFont="1"/>
    <xf numFmtId="164" fontId="2" fillId="0" borderId="4" xfId="0" applyNumberFormat="1" applyFont="1" applyBorder="1"/>
    <xf numFmtId="164" fontId="2" fillId="0" borderId="7" xfId="0" applyNumberFormat="1" applyFont="1" applyBorder="1"/>
    <xf numFmtId="164" fontId="2" fillId="0" borderId="6" xfId="0" applyNumberFormat="1" applyFont="1" applyBorder="1"/>
    <xf numFmtId="164" fontId="2" fillId="0" borderId="8" xfId="0" applyNumberFormat="1" applyFont="1" applyBorder="1"/>
    <xf numFmtId="164" fontId="2" fillId="0" borderId="3" xfId="0" applyNumberFormat="1" applyFont="1" applyBorder="1"/>
    <xf numFmtId="164" fontId="2" fillId="0" borderId="5" xfId="0" applyNumberFormat="1" applyFont="1" applyBorder="1"/>
    <xf numFmtId="164" fontId="2" fillId="0" borderId="10" xfId="0" applyNumberFormat="1" applyFont="1" applyBorder="1"/>
    <xf numFmtId="164" fontId="2" fillId="0" borderId="12" xfId="0" applyNumberFormat="1" applyFont="1" applyBorder="1"/>
    <xf numFmtId="164" fontId="2" fillId="0" borderId="13" xfId="0" applyNumberFormat="1" applyFont="1" applyBorder="1"/>
    <xf numFmtId="164" fontId="2" fillId="0" borderId="1" xfId="0" applyNumberFormat="1" applyFont="1" applyBorder="1" applyAlignment="1">
      <alignment horizontal="center" vertical="center"/>
    </xf>
    <xf numFmtId="164" fontId="1" fillId="0" borderId="9" xfId="0" applyNumberFormat="1" applyFont="1" applyBorder="1" applyAlignment="1">
      <alignment horizontal="center" vertical="center"/>
    </xf>
    <xf numFmtId="164" fontId="1" fillId="0" borderId="6" xfId="0" applyNumberFormat="1" applyFont="1" applyBorder="1" applyAlignment="1">
      <alignment horizontal="center" vertical="center"/>
    </xf>
    <xf numFmtId="1" fontId="2" fillId="0" borderId="0" xfId="0" applyNumberFormat="1" applyFont="1"/>
    <xf numFmtId="164" fontId="2" fillId="0" borderId="2" xfId="0" applyNumberFormat="1" applyFont="1" applyBorder="1" applyAlignment="1">
      <alignment horizontal="center" vertical="center"/>
    </xf>
    <xf numFmtId="0" fontId="1" fillId="0" borderId="2" xfId="0" applyFont="1" applyBorder="1" applyAlignment="1">
      <alignment horizontal="center" vertical="center"/>
    </xf>
    <xf numFmtId="1" fontId="2" fillId="0" borderId="2" xfId="0" applyNumberFormat="1" applyFont="1" applyBorder="1" applyAlignment="1">
      <alignment horizontal="center" vertical="center"/>
    </xf>
    <xf numFmtId="1" fontId="2" fillId="0" borderId="1" xfId="0" applyNumberFormat="1" applyFont="1" applyBorder="1" applyAlignment="1">
      <alignment horizontal="center" vertical="center"/>
    </xf>
    <xf numFmtId="0" fontId="1" fillId="0" borderId="8" xfId="0" applyFont="1" applyBorder="1" applyAlignment="1">
      <alignment horizontal="center" vertical="center"/>
    </xf>
    <xf numFmtId="1" fontId="2" fillId="0" borderId="14" xfId="0" applyNumberFormat="1"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1" fontId="2" fillId="0" borderId="15" xfId="0" applyNumberFormat="1" applyFont="1" applyBorder="1" applyAlignment="1">
      <alignment horizontal="center" vertical="center"/>
    </xf>
    <xf numFmtId="164" fontId="1" fillId="0" borderId="0" xfId="0" applyNumberFormat="1" applyFont="1"/>
    <xf numFmtId="164" fontId="2" fillId="0" borderId="0" xfId="0" applyNumberFormat="1" applyFont="1" applyAlignment="1">
      <alignment horizontal="center" vertical="center"/>
    </xf>
    <xf numFmtId="0" fontId="2" fillId="0" borderId="0" xfId="0" applyFont="1"/>
    <xf numFmtId="164" fontId="2" fillId="0" borderId="3" xfId="0" applyNumberFormat="1" applyFont="1" applyBorder="1" applyAlignment="1">
      <alignment horizontal="center" vertical="center"/>
    </xf>
    <xf numFmtId="164" fontId="2" fillId="0" borderId="4" xfId="0" applyNumberFormat="1" applyFont="1"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2" fillId="0" borderId="0" xfId="0" applyFont="1" applyAlignment="1">
      <alignment horizontal="center" vertical="center"/>
    </xf>
    <xf numFmtId="0" fontId="2" fillId="0" borderId="2" xfId="0" applyFont="1" applyBorder="1"/>
    <xf numFmtId="0" fontId="2" fillId="0" borderId="1" xfId="0" applyFont="1" applyBorder="1"/>
    <xf numFmtId="0" fontId="2" fillId="0" borderId="14" xfId="0" applyFont="1" applyBorder="1"/>
    <xf numFmtId="0" fontId="2" fillId="0" borderId="15" xfId="0" applyFont="1" applyBorder="1"/>
    <xf numFmtId="0" fontId="0" fillId="2" borderId="0" xfId="0" applyFill="1" applyAlignment="1">
      <alignment horizontal="left"/>
    </xf>
    <xf numFmtId="1" fontId="0" fillId="0" borderId="0" xfId="0" applyNumberFormat="1" applyAlignment="1">
      <alignment horizontal="left"/>
    </xf>
    <xf numFmtId="1" fontId="0" fillId="2" borderId="0" xfId="0" applyNumberFormat="1" applyFill="1" applyAlignment="1">
      <alignment horizontal="left"/>
    </xf>
    <xf numFmtId="0" fontId="2" fillId="0" borderId="2" xfId="0" applyFont="1" applyBorder="1" applyAlignment="1">
      <alignment horizontal="center"/>
    </xf>
    <xf numFmtId="0" fontId="3" fillId="0" borderId="0" xfId="0" applyFont="1"/>
    <xf numFmtId="0" fontId="3" fillId="0" borderId="0" xfId="0" applyFont="1" applyAlignment="1">
      <alignment horizontal="left"/>
    </xf>
    <xf numFmtId="0" fontId="1" fillId="0" borderId="0" xfId="0" applyFont="1" applyAlignment="1">
      <alignment vertical="center"/>
    </xf>
    <xf numFmtId="0" fontId="4" fillId="0" borderId="0" xfId="0" applyFont="1" applyAlignment="1">
      <alignment vertical="center"/>
    </xf>
    <xf numFmtId="0" fontId="1" fillId="0" borderId="0" xfId="0" applyFont="1"/>
    <xf numFmtId="0" fontId="4" fillId="0" borderId="0" xfId="0" applyFont="1"/>
    <xf numFmtId="0" fontId="6" fillId="0" borderId="0" xfId="0" applyFont="1" applyAlignment="1">
      <alignment vertical="center"/>
    </xf>
    <xf numFmtId="0" fontId="0" fillId="0" borderId="0" xfId="0" applyAlignment="1">
      <alignment horizontal="left" vertical="center" wrapText="1"/>
    </xf>
    <xf numFmtId="0" fontId="7" fillId="0" borderId="0" xfId="0" applyFont="1" applyAlignment="1">
      <alignment horizontal="left" vertical="center" wrapText="1"/>
    </xf>
    <xf numFmtId="0" fontId="8" fillId="0" borderId="0" xfId="0" applyFont="1" applyAlignment="1">
      <alignment vertical="center" wrapText="1"/>
    </xf>
    <xf numFmtId="0" fontId="9" fillId="0" borderId="0" xfId="0" applyFont="1" applyAlignment="1">
      <alignment horizontal="left" vertical="center" wrapText="1"/>
    </xf>
    <xf numFmtId="0" fontId="10" fillId="0" borderId="0" xfId="0" applyFont="1" applyAlignment="1">
      <alignment vertical="center" wrapText="1"/>
    </xf>
    <xf numFmtId="0" fontId="8" fillId="0" borderId="0" xfId="0" applyFont="1" applyAlignment="1">
      <alignment horizontal="left" vertical="center" wrapText="1"/>
    </xf>
    <xf numFmtId="0" fontId="10" fillId="0" borderId="0" xfId="0" applyFont="1" applyAlignment="1">
      <alignment horizontal="left" vertical="center" wrapText="1"/>
    </xf>
    <xf numFmtId="0" fontId="7" fillId="0" borderId="0" xfId="0" applyFont="1" applyAlignment="1">
      <alignment vertical="center" wrapText="1"/>
    </xf>
    <xf numFmtId="0" fontId="11" fillId="0" borderId="0" xfId="1" applyFill="1" applyBorder="1"/>
    <xf numFmtId="0" fontId="2" fillId="0" borderId="0" xfId="0" applyFont="1" applyAlignment="1">
      <alignment horizontal="right"/>
    </xf>
    <xf numFmtId="0" fontId="12" fillId="0" borderId="0" xfId="0" applyFont="1"/>
    <xf numFmtId="0" fontId="6" fillId="0" borderId="0" xfId="0" applyFont="1"/>
    <xf numFmtId="0" fontId="3" fillId="0" borderId="0" xfId="0" applyFont="1" applyAlignment="1">
      <alignment horizontal="right" vertical="center"/>
    </xf>
    <xf numFmtId="0" fontId="3" fillId="0" borderId="0" xfId="0" applyFont="1" applyAlignment="1">
      <alignment horizontal="center" vertical="center" wrapText="1"/>
    </xf>
    <xf numFmtId="0" fontId="3" fillId="0" borderId="0" xfId="0" applyFont="1" applyAlignment="1">
      <alignment horizontal="right"/>
    </xf>
    <xf numFmtId="0" fontId="12" fillId="0" borderId="0" xfId="0" applyFont="1" applyAlignment="1">
      <alignment horizontal="right"/>
    </xf>
    <xf numFmtId="0" fontId="6" fillId="0" borderId="0" xfId="0" applyFont="1" applyAlignment="1">
      <alignment horizontal="right"/>
    </xf>
    <xf numFmtId="0" fontId="0" fillId="0" borderId="2" xfId="0" applyBorder="1"/>
    <xf numFmtId="0" fontId="3" fillId="5" borderId="0" xfId="0" applyFont="1" applyFill="1" applyAlignment="1">
      <alignment horizontal="center" vertical="center" wrapText="1"/>
    </xf>
    <xf numFmtId="0" fontId="17" fillId="0" borderId="0" xfId="0" applyFont="1" applyAlignment="1">
      <alignment horizontal="center" vertical="center"/>
    </xf>
    <xf numFmtId="0" fontId="17" fillId="0" borderId="0" xfId="0" applyFont="1"/>
    <xf numFmtId="0" fontId="8" fillId="0" borderId="0" xfId="0" applyFont="1" applyAlignment="1">
      <alignment horizontal="right"/>
    </xf>
    <xf numFmtId="10" fontId="17" fillId="4" borderId="2"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0" fontId="20" fillId="0" borderId="0" xfId="0" applyFont="1" applyAlignment="1">
      <alignment horizontal="center" vertical="center" wrapText="1"/>
    </xf>
    <xf numFmtId="10" fontId="18" fillId="0" borderId="2" xfId="0" applyNumberFormat="1" applyFont="1" applyBorder="1" applyAlignment="1">
      <alignment horizontal="center" vertical="center"/>
    </xf>
    <xf numFmtId="0" fontId="17" fillId="0" borderId="0" xfId="0" applyFont="1" applyAlignment="1">
      <alignment horizontal="center" vertical="center" wrapText="1"/>
    </xf>
    <xf numFmtId="0" fontId="17" fillId="0" borderId="0" xfId="0" applyFont="1" applyAlignment="1">
      <alignment horizontal="right" vertical="center"/>
    </xf>
    <xf numFmtId="0" fontId="17" fillId="0" borderId="0" xfId="0" applyFont="1" applyAlignment="1">
      <alignment horizontal="right"/>
    </xf>
    <xf numFmtId="0" fontId="17" fillId="0" borderId="0" xfId="0" applyFont="1" applyAlignment="1">
      <alignment horizontal="left"/>
    </xf>
    <xf numFmtId="0" fontId="21" fillId="0" borderId="0" xfId="0" applyFont="1" applyAlignment="1">
      <alignment horizontal="right" vertical="top"/>
    </xf>
    <xf numFmtId="10" fontId="21" fillId="0" borderId="0" xfId="0" applyNumberFormat="1" applyFont="1" applyAlignment="1">
      <alignment vertical="top"/>
    </xf>
    <xf numFmtId="1" fontId="15" fillId="0" borderId="0" xfId="0" applyNumberFormat="1" applyFont="1" applyAlignment="1">
      <alignment horizontal="center" vertical="center"/>
    </xf>
    <xf numFmtId="10" fontId="16" fillId="0" borderId="0" xfId="0" applyNumberFormat="1" applyFont="1" applyAlignment="1" applyProtection="1">
      <alignment horizontal="center" vertical="center" wrapText="1"/>
      <protection locked="0"/>
    </xf>
    <xf numFmtId="10" fontId="15" fillId="0" borderId="0" xfId="0" applyNumberFormat="1" applyFont="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0" fontId="15"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5" fillId="5" borderId="0" xfId="0" applyFont="1" applyFill="1" applyAlignment="1">
      <alignment horizontal="center" vertical="center" wrapText="1"/>
    </xf>
    <xf numFmtId="0" fontId="0" fillId="5" borderId="0" xfId="0" applyFill="1" applyAlignment="1">
      <alignment horizontal="center" vertical="center" wrapText="1"/>
    </xf>
    <xf numFmtId="0" fontId="0" fillId="0" borderId="0" xfId="0" applyAlignment="1">
      <alignment horizontal="center" vertical="center" wrapText="1"/>
    </xf>
    <xf numFmtId="0" fontId="3" fillId="5" borderId="0" xfId="0" applyFont="1" applyFill="1" applyAlignment="1">
      <alignment horizontal="center" vertic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18" fillId="2" borderId="2" xfId="0" applyFont="1" applyFill="1" applyBorder="1" applyAlignment="1">
      <alignment horizontal="center" vertical="center" wrapText="1"/>
    </xf>
    <xf numFmtId="0" fontId="22" fillId="2" borderId="2" xfId="0" applyFont="1" applyFill="1" applyBorder="1" applyAlignment="1">
      <alignment horizontal="center" vertical="center" wrapText="1"/>
    </xf>
    <xf numFmtId="0" fontId="17" fillId="0" borderId="2" xfId="0" applyFont="1" applyBorder="1" applyAlignment="1">
      <alignment horizontal="center" vertical="center" wrapText="1"/>
    </xf>
    <xf numFmtId="0" fontId="14" fillId="2" borderId="0" xfId="0" applyFont="1" applyFill="1" applyAlignment="1">
      <alignment horizontal="right" wrapText="1"/>
    </xf>
    <xf numFmtId="0" fontId="14" fillId="3" borderId="0" xfId="0" applyFont="1" applyFill="1" applyAlignment="1">
      <alignment horizontal="right" wrapText="1"/>
    </xf>
    <xf numFmtId="164" fontId="2" fillId="0" borderId="10" xfId="0" applyNumberFormat="1" applyFont="1" applyBorder="1" applyAlignment="1">
      <alignment horizontal="center"/>
    </xf>
    <xf numFmtId="164" fontId="2" fillId="0" borderId="13" xfId="0" applyNumberFormat="1" applyFont="1" applyBorder="1" applyAlignment="1">
      <alignment horizontal="center"/>
    </xf>
    <xf numFmtId="164" fontId="2" fillId="0" borderId="2" xfId="0" applyNumberFormat="1" applyFont="1" applyBorder="1" applyAlignment="1">
      <alignment horizontal="center" vertical="center"/>
    </xf>
    <xf numFmtId="164" fontId="2" fillId="0" borderId="12" xfId="0" applyNumberFormat="1" applyFont="1" applyBorder="1" applyAlignment="1">
      <alignment horizontal="center"/>
    </xf>
    <xf numFmtId="164" fontId="2" fillId="0" borderId="2" xfId="0" applyNumberFormat="1" applyFont="1" applyBorder="1" applyAlignment="1">
      <alignment horizontal="center"/>
    </xf>
    <xf numFmtId="0" fontId="2" fillId="0" borderId="2" xfId="0" applyFont="1" applyBorder="1" applyAlignment="1">
      <alignment horizont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2" fillId="0" borderId="2" xfId="0"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FF0066"/>
      <color rgb="FFFFFFCC"/>
      <color rgb="FFFFFF99"/>
      <color rgb="FF2542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3275028293161916E-3"/>
          <c:w val="1"/>
          <c:h val="0.99767251749781283"/>
        </c:manualLayout>
      </c:layout>
      <c:scatterChart>
        <c:scatterStyle val="lineMarker"/>
        <c:varyColors val="0"/>
        <c:ser>
          <c:idx val="9"/>
          <c:order val="9"/>
          <c:tx>
            <c:v>20/20 Clay Lines</c:v>
          </c:tx>
          <c:spPr>
            <a:ln w="3175">
              <a:solidFill>
                <a:schemeClr val="bg1">
                  <a:lumMod val="65000"/>
                </a:schemeClr>
              </a:solidFill>
            </a:ln>
          </c:spPr>
          <c:marker>
            <c:spPr>
              <a:noFill/>
              <a:ln>
                <a:noFill/>
              </a:ln>
            </c:spPr>
          </c:marker>
          <c:xVal>
            <c:numRef>
              <c:f>ChartData!$Z$3:$Z$63</c:f>
              <c:numCache>
                <c:formatCode>0.000</c:formatCode>
                <c:ptCount val="61"/>
                <c:pt idx="0">
                  <c:v>0</c:v>
                </c:pt>
                <c:pt idx="1">
                  <c:v>1</c:v>
                </c:pt>
                <c:pt idx="3">
                  <c:v>2.5000000000000001E-2</c:v>
                </c:pt>
                <c:pt idx="4">
                  <c:v>0.97500000000000064</c:v>
                </c:pt>
                <c:pt idx="6">
                  <c:v>0.05</c:v>
                </c:pt>
                <c:pt idx="7">
                  <c:v>0.95</c:v>
                </c:pt>
                <c:pt idx="9">
                  <c:v>7.4999999999999997E-2</c:v>
                </c:pt>
                <c:pt idx="10">
                  <c:v>0.9250000000000006</c:v>
                </c:pt>
                <c:pt idx="12">
                  <c:v>9.9999999999999992E-2</c:v>
                </c:pt>
                <c:pt idx="13">
                  <c:v>0.89999999999999991</c:v>
                </c:pt>
                <c:pt idx="15">
                  <c:v>0.12499999999999997</c:v>
                </c:pt>
                <c:pt idx="16">
                  <c:v>0.87500000000000056</c:v>
                </c:pt>
                <c:pt idx="18">
                  <c:v>0.15</c:v>
                </c:pt>
                <c:pt idx="19">
                  <c:v>0.85</c:v>
                </c:pt>
                <c:pt idx="21">
                  <c:v>0.17500000000000002</c:v>
                </c:pt>
                <c:pt idx="22">
                  <c:v>0.82500000000000051</c:v>
                </c:pt>
                <c:pt idx="24">
                  <c:v>0.2</c:v>
                </c:pt>
                <c:pt idx="25">
                  <c:v>0.8</c:v>
                </c:pt>
                <c:pt idx="27">
                  <c:v>0.22500000000000006</c:v>
                </c:pt>
                <c:pt idx="28">
                  <c:v>0.77500000000000047</c:v>
                </c:pt>
                <c:pt idx="30">
                  <c:v>0.25</c:v>
                </c:pt>
                <c:pt idx="31">
                  <c:v>0.75</c:v>
                </c:pt>
                <c:pt idx="33">
                  <c:v>0.27500000000000008</c:v>
                </c:pt>
                <c:pt idx="34">
                  <c:v>0.72500000000000042</c:v>
                </c:pt>
                <c:pt idx="36">
                  <c:v>0.3</c:v>
                </c:pt>
                <c:pt idx="37">
                  <c:v>0.7</c:v>
                </c:pt>
                <c:pt idx="39">
                  <c:v>0.32500000000000012</c:v>
                </c:pt>
                <c:pt idx="40">
                  <c:v>0.67500000000000038</c:v>
                </c:pt>
                <c:pt idx="42">
                  <c:v>0.35</c:v>
                </c:pt>
                <c:pt idx="43">
                  <c:v>0.65</c:v>
                </c:pt>
                <c:pt idx="45">
                  <c:v>0.37500000000000017</c:v>
                </c:pt>
                <c:pt idx="46">
                  <c:v>0.62500000000000033</c:v>
                </c:pt>
                <c:pt idx="48">
                  <c:v>0.4</c:v>
                </c:pt>
                <c:pt idx="49">
                  <c:v>0.6</c:v>
                </c:pt>
                <c:pt idx="51">
                  <c:v>0.42500000000000021</c:v>
                </c:pt>
                <c:pt idx="52">
                  <c:v>0.57500000000000029</c:v>
                </c:pt>
                <c:pt idx="54">
                  <c:v>0.45</c:v>
                </c:pt>
                <c:pt idx="55">
                  <c:v>0.55000000000000004</c:v>
                </c:pt>
                <c:pt idx="57">
                  <c:v>0.47500000000000026</c:v>
                </c:pt>
                <c:pt idx="58">
                  <c:v>0.52500000000000024</c:v>
                </c:pt>
                <c:pt idx="60">
                  <c:v>0.5</c:v>
                </c:pt>
              </c:numCache>
            </c:numRef>
          </c:xVal>
          <c:yVal>
            <c:numRef>
              <c:f>ChartData!$AA$3:$AA$63</c:f>
              <c:numCache>
                <c:formatCode>0.000</c:formatCode>
                <c:ptCount val="61"/>
                <c:pt idx="0">
                  <c:v>0</c:v>
                </c:pt>
                <c:pt idx="1">
                  <c:v>0</c:v>
                </c:pt>
                <c:pt idx="3">
                  <c:v>4.330127018922194E-2</c:v>
                </c:pt>
                <c:pt idx="4">
                  <c:v>4.330127018922194E-2</c:v>
                </c:pt>
                <c:pt idx="6">
                  <c:v>8.6602540378443879E-2</c:v>
                </c:pt>
                <c:pt idx="7">
                  <c:v>8.6602540378443879E-2</c:v>
                </c:pt>
                <c:pt idx="9">
                  <c:v>0.12990381056766581</c:v>
                </c:pt>
                <c:pt idx="10">
                  <c:v>0.12990381056766581</c:v>
                </c:pt>
                <c:pt idx="12">
                  <c:v>0.17320508075688776</c:v>
                </c:pt>
                <c:pt idx="13">
                  <c:v>0.17320508075688776</c:v>
                </c:pt>
                <c:pt idx="15">
                  <c:v>0.21650635094610965</c:v>
                </c:pt>
                <c:pt idx="16">
                  <c:v>0.21650635094610965</c:v>
                </c:pt>
                <c:pt idx="18">
                  <c:v>0.25980762113533162</c:v>
                </c:pt>
                <c:pt idx="19">
                  <c:v>0.25980762113533162</c:v>
                </c:pt>
                <c:pt idx="21">
                  <c:v>0.30310889132455349</c:v>
                </c:pt>
                <c:pt idx="22">
                  <c:v>0.30310889132455349</c:v>
                </c:pt>
                <c:pt idx="24">
                  <c:v>0.34641016151377552</c:v>
                </c:pt>
                <c:pt idx="25">
                  <c:v>0.34641016151377552</c:v>
                </c:pt>
                <c:pt idx="27">
                  <c:v>0.38971143170299738</c:v>
                </c:pt>
                <c:pt idx="28">
                  <c:v>0.38971143170299738</c:v>
                </c:pt>
                <c:pt idx="30">
                  <c:v>0.4330127018922193</c:v>
                </c:pt>
                <c:pt idx="31">
                  <c:v>0.4330127018922193</c:v>
                </c:pt>
                <c:pt idx="33">
                  <c:v>0.47631397208144133</c:v>
                </c:pt>
                <c:pt idx="34">
                  <c:v>0.47631397208144133</c:v>
                </c:pt>
                <c:pt idx="36">
                  <c:v>0.51961524227066325</c:v>
                </c:pt>
                <c:pt idx="37">
                  <c:v>0.51961524227066325</c:v>
                </c:pt>
                <c:pt idx="39">
                  <c:v>0.56291651245988517</c:v>
                </c:pt>
                <c:pt idx="40">
                  <c:v>0.56291651245988517</c:v>
                </c:pt>
                <c:pt idx="42">
                  <c:v>0.60621778264910697</c:v>
                </c:pt>
                <c:pt idx="43">
                  <c:v>0.60621778264910697</c:v>
                </c:pt>
                <c:pt idx="45">
                  <c:v>0.649519052838329</c:v>
                </c:pt>
                <c:pt idx="46">
                  <c:v>0.649519052838329</c:v>
                </c:pt>
                <c:pt idx="48">
                  <c:v>0.69282032302755103</c:v>
                </c:pt>
                <c:pt idx="49">
                  <c:v>0.69282032302755103</c:v>
                </c:pt>
                <c:pt idx="51">
                  <c:v>0.73612159321677273</c:v>
                </c:pt>
                <c:pt idx="52">
                  <c:v>0.73612159321677273</c:v>
                </c:pt>
                <c:pt idx="54">
                  <c:v>0.77942286340599476</c:v>
                </c:pt>
                <c:pt idx="55">
                  <c:v>0.77942286340599476</c:v>
                </c:pt>
                <c:pt idx="57">
                  <c:v>0.82272413359521668</c:v>
                </c:pt>
                <c:pt idx="58">
                  <c:v>0.82272413359521668</c:v>
                </c:pt>
                <c:pt idx="60">
                  <c:v>0.8660254037844386</c:v>
                </c:pt>
              </c:numCache>
            </c:numRef>
          </c:yVal>
          <c:smooth val="0"/>
          <c:extLst>
            <c:ext xmlns:c16="http://schemas.microsoft.com/office/drawing/2014/chart" uri="{C3380CC4-5D6E-409C-BE32-E72D297353CC}">
              <c16:uniqueId val="{00000000-956A-456E-A399-DEEAAAA0A364}"/>
            </c:ext>
          </c:extLst>
        </c:ser>
        <c:ser>
          <c:idx val="10"/>
          <c:order val="10"/>
          <c:tx>
            <c:v>20/20 Silt Lines</c:v>
          </c:tx>
          <c:spPr>
            <a:ln w="3175">
              <a:solidFill>
                <a:schemeClr val="bg1">
                  <a:lumMod val="65000"/>
                </a:schemeClr>
              </a:solidFill>
            </a:ln>
          </c:spPr>
          <c:marker>
            <c:spPr>
              <a:noFill/>
              <a:ln>
                <a:noFill/>
              </a:ln>
            </c:spPr>
          </c:marker>
          <c:xVal>
            <c:numRef>
              <c:f>ChartData!$AC$3:$AC$63</c:f>
              <c:numCache>
                <c:formatCode>0.000</c:formatCode>
                <c:ptCount val="61"/>
                <c:pt idx="0">
                  <c:v>0</c:v>
                </c:pt>
                <c:pt idx="1">
                  <c:v>0.5</c:v>
                </c:pt>
                <c:pt idx="3">
                  <c:v>0.05</c:v>
                </c:pt>
                <c:pt idx="4">
                  <c:v>0.52500000000000024</c:v>
                </c:pt>
                <c:pt idx="6">
                  <c:v>0.1</c:v>
                </c:pt>
                <c:pt idx="7">
                  <c:v>0.55000000000000004</c:v>
                </c:pt>
                <c:pt idx="9">
                  <c:v>0.15</c:v>
                </c:pt>
                <c:pt idx="10">
                  <c:v>0.57500000000000029</c:v>
                </c:pt>
                <c:pt idx="12">
                  <c:v>0.2</c:v>
                </c:pt>
                <c:pt idx="13">
                  <c:v>0.6</c:v>
                </c:pt>
                <c:pt idx="15">
                  <c:v>0.25</c:v>
                </c:pt>
                <c:pt idx="16">
                  <c:v>0.62500000000000033</c:v>
                </c:pt>
                <c:pt idx="18">
                  <c:v>0.3</c:v>
                </c:pt>
                <c:pt idx="19">
                  <c:v>0.65</c:v>
                </c:pt>
                <c:pt idx="21">
                  <c:v>0.35</c:v>
                </c:pt>
                <c:pt idx="22">
                  <c:v>0.67500000000000038</c:v>
                </c:pt>
                <c:pt idx="24">
                  <c:v>0.4</c:v>
                </c:pt>
                <c:pt idx="25">
                  <c:v>0.7</c:v>
                </c:pt>
                <c:pt idx="27">
                  <c:v>0.45</c:v>
                </c:pt>
                <c:pt idx="28">
                  <c:v>0.72500000000000042</c:v>
                </c:pt>
                <c:pt idx="30">
                  <c:v>0.5</c:v>
                </c:pt>
                <c:pt idx="31">
                  <c:v>0.75</c:v>
                </c:pt>
                <c:pt idx="33">
                  <c:v>0.55000000000000004</c:v>
                </c:pt>
                <c:pt idx="34">
                  <c:v>0.77500000000000047</c:v>
                </c:pt>
                <c:pt idx="36">
                  <c:v>0.6</c:v>
                </c:pt>
                <c:pt idx="37">
                  <c:v>0.8</c:v>
                </c:pt>
                <c:pt idx="39">
                  <c:v>0.65</c:v>
                </c:pt>
                <c:pt idx="40">
                  <c:v>0.82500000000000051</c:v>
                </c:pt>
                <c:pt idx="42">
                  <c:v>0.7</c:v>
                </c:pt>
                <c:pt idx="43">
                  <c:v>0.85</c:v>
                </c:pt>
                <c:pt idx="45">
                  <c:v>0.75</c:v>
                </c:pt>
                <c:pt idx="46">
                  <c:v>0.87500000000000056</c:v>
                </c:pt>
                <c:pt idx="48">
                  <c:v>0.8</c:v>
                </c:pt>
                <c:pt idx="49">
                  <c:v>0.89999999999999991</c:v>
                </c:pt>
                <c:pt idx="51">
                  <c:v>0.85</c:v>
                </c:pt>
                <c:pt idx="52">
                  <c:v>0.9250000000000006</c:v>
                </c:pt>
                <c:pt idx="54">
                  <c:v>0.9</c:v>
                </c:pt>
                <c:pt idx="55">
                  <c:v>0.95</c:v>
                </c:pt>
                <c:pt idx="57">
                  <c:v>0.95</c:v>
                </c:pt>
                <c:pt idx="58">
                  <c:v>0.97500000000000064</c:v>
                </c:pt>
                <c:pt idx="60">
                  <c:v>1</c:v>
                </c:pt>
              </c:numCache>
            </c:numRef>
          </c:xVal>
          <c:yVal>
            <c:numRef>
              <c:f>ChartData!$AD$3:$AD$63</c:f>
              <c:numCache>
                <c:formatCode>0.000</c:formatCode>
                <c:ptCount val="61"/>
                <c:pt idx="0">
                  <c:v>0</c:v>
                </c:pt>
                <c:pt idx="1">
                  <c:v>0.8660254037844386</c:v>
                </c:pt>
                <c:pt idx="3">
                  <c:v>0</c:v>
                </c:pt>
                <c:pt idx="4">
                  <c:v>0.82272413359521668</c:v>
                </c:pt>
                <c:pt idx="6">
                  <c:v>0</c:v>
                </c:pt>
                <c:pt idx="7">
                  <c:v>0.77942286340599476</c:v>
                </c:pt>
                <c:pt idx="9">
                  <c:v>0</c:v>
                </c:pt>
                <c:pt idx="10">
                  <c:v>0.73612159321677273</c:v>
                </c:pt>
                <c:pt idx="12">
                  <c:v>0</c:v>
                </c:pt>
                <c:pt idx="13">
                  <c:v>0.69282032302755103</c:v>
                </c:pt>
                <c:pt idx="15">
                  <c:v>0</c:v>
                </c:pt>
                <c:pt idx="16">
                  <c:v>0.649519052838329</c:v>
                </c:pt>
                <c:pt idx="18">
                  <c:v>0</c:v>
                </c:pt>
                <c:pt idx="19">
                  <c:v>0.60621778264910697</c:v>
                </c:pt>
                <c:pt idx="21">
                  <c:v>0</c:v>
                </c:pt>
                <c:pt idx="22">
                  <c:v>0.56291651245988517</c:v>
                </c:pt>
                <c:pt idx="24">
                  <c:v>0</c:v>
                </c:pt>
                <c:pt idx="25">
                  <c:v>0.51961524227066325</c:v>
                </c:pt>
                <c:pt idx="27">
                  <c:v>0</c:v>
                </c:pt>
                <c:pt idx="28">
                  <c:v>0.47631397208144133</c:v>
                </c:pt>
                <c:pt idx="30">
                  <c:v>0</c:v>
                </c:pt>
                <c:pt idx="31">
                  <c:v>0.4330127018922193</c:v>
                </c:pt>
                <c:pt idx="33">
                  <c:v>0</c:v>
                </c:pt>
                <c:pt idx="34">
                  <c:v>0.38971143170299738</c:v>
                </c:pt>
                <c:pt idx="36">
                  <c:v>0</c:v>
                </c:pt>
                <c:pt idx="37">
                  <c:v>0.34641016151377552</c:v>
                </c:pt>
                <c:pt idx="39">
                  <c:v>0</c:v>
                </c:pt>
                <c:pt idx="40">
                  <c:v>0.30310889132455349</c:v>
                </c:pt>
                <c:pt idx="42">
                  <c:v>0</c:v>
                </c:pt>
                <c:pt idx="43">
                  <c:v>0.25980762113533162</c:v>
                </c:pt>
                <c:pt idx="45">
                  <c:v>0</c:v>
                </c:pt>
                <c:pt idx="46">
                  <c:v>0.21650635094610965</c:v>
                </c:pt>
                <c:pt idx="48">
                  <c:v>0</c:v>
                </c:pt>
                <c:pt idx="49">
                  <c:v>0.17320508075688776</c:v>
                </c:pt>
                <c:pt idx="51">
                  <c:v>0</c:v>
                </c:pt>
                <c:pt idx="52">
                  <c:v>0.12990381056766581</c:v>
                </c:pt>
                <c:pt idx="54">
                  <c:v>0</c:v>
                </c:pt>
                <c:pt idx="55">
                  <c:v>8.6602540378443879E-2</c:v>
                </c:pt>
                <c:pt idx="57">
                  <c:v>0</c:v>
                </c:pt>
                <c:pt idx="58">
                  <c:v>4.330127018922194E-2</c:v>
                </c:pt>
                <c:pt idx="60">
                  <c:v>0</c:v>
                </c:pt>
              </c:numCache>
            </c:numRef>
          </c:yVal>
          <c:smooth val="0"/>
          <c:extLst>
            <c:ext xmlns:c16="http://schemas.microsoft.com/office/drawing/2014/chart" uri="{C3380CC4-5D6E-409C-BE32-E72D297353CC}">
              <c16:uniqueId val="{00000001-956A-456E-A399-DEEAAAA0A364}"/>
            </c:ext>
          </c:extLst>
        </c:ser>
        <c:ser>
          <c:idx val="11"/>
          <c:order val="11"/>
          <c:tx>
            <c:v>20/20 Sand Lines</c:v>
          </c:tx>
          <c:spPr>
            <a:ln w="3175">
              <a:solidFill>
                <a:schemeClr val="bg1">
                  <a:lumMod val="65000"/>
                </a:schemeClr>
              </a:solidFill>
            </a:ln>
          </c:spPr>
          <c:marker>
            <c:spPr>
              <a:noFill/>
              <a:ln>
                <a:noFill/>
              </a:ln>
            </c:spPr>
          </c:marker>
          <c:xVal>
            <c:numRef>
              <c:f>ChartData!$AF$3:$AF$63</c:f>
              <c:numCache>
                <c:formatCode>0.000</c:formatCode>
                <c:ptCount val="61"/>
                <c:pt idx="0">
                  <c:v>1</c:v>
                </c:pt>
                <c:pt idx="1">
                  <c:v>0.5</c:v>
                </c:pt>
                <c:pt idx="3">
                  <c:v>0.95</c:v>
                </c:pt>
                <c:pt idx="4">
                  <c:v>0.47500000000000026</c:v>
                </c:pt>
                <c:pt idx="6">
                  <c:v>0.89999999999999991</c:v>
                </c:pt>
                <c:pt idx="7">
                  <c:v>0.45</c:v>
                </c:pt>
                <c:pt idx="9">
                  <c:v>0.85</c:v>
                </c:pt>
                <c:pt idx="10">
                  <c:v>0.42500000000000021</c:v>
                </c:pt>
                <c:pt idx="12">
                  <c:v>0.8</c:v>
                </c:pt>
                <c:pt idx="13">
                  <c:v>0.4</c:v>
                </c:pt>
                <c:pt idx="15">
                  <c:v>0.75</c:v>
                </c:pt>
                <c:pt idx="16">
                  <c:v>0.37500000000000017</c:v>
                </c:pt>
                <c:pt idx="18">
                  <c:v>0.7</c:v>
                </c:pt>
                <c:pt idx="19">
                  <c:v>0.35</c:v>
                </c:pt>
                <c:pt idx="21">
                  <c:v>0.65</c:v>
                </c:pt>
                <c:pt idx="22">
                  <c:v>0.32500000000000012</c:v>
                </c:pt>
                <c:pt idx="24">
                  <c:v>0.6</c:v>
                </c:pt>
                <c:pt idx="25">
                  <c:v>0.3</c:v>
                </c:pt>
                <c:pt idx="27">
                  <c:v>0.55000000000000004</c:v>
                </c:pt>
                <c:pt idx="28">
                  <c:v>0.27500000000000008</c:v>
                </c:pt>
                <c:pt idx="30">
                  <c:v>0.5</c:v>
                </c:pt>
                <c:pt idx="31">
                  <c:v>0.25</c:v>
                </c:pt>
                <c:pt idx="33">
                  <c:v>0.45</c:v>
                </c:pt>
                <c:pt idx="34">
                  <c:v>0.22500000000000006</c:v>
                </c:pt>
                <c:pt idx="36">
                  <c:v>0.4</c:v>
                </c:pt>
                <c:pt idx="37">
                  <c:v>0.2</c:v>
                </c:pt>
                <c:pt idx="39">
                  <c:v>0.35</c:v>
                </c:pt>
                <c:pt idx="40">
                  <c:v>0.17500000000000002</c:v>
                </c:pt>
                <c:pt idx="42">
                  <c:v>0.3</c:v>
                </c:pt>
                <c:pt idx="43">
                  <c:v>0.15</c:v>
                </c:pt>
                <c:pt idx="45">
                  <c:v>0.25</c:v>
                </c:pt>
                <c:pt idx="46">
                  <c:v>0.12499999999999997</c:v>
                </c:pt>
                <c:pt idx="48">
                  <c:v>0.2</c:v>
                </c:pt>
                <c:pt idx="49">
                  <c:v>9.9999999999999992E-2</c:v>
                </c:pt>
                <c:pt idx="51">
                  <c:v>0.15</c:v>
                </c:pt>
                <c:pt idx="52">
                  <c:v>7.4999999999999997E-2</c:v>
                </c:pt>
                <c:pt idx="54">
                  <c:v>0.1</c:v>
                </c:pt>
                <c:pt idx="55">
                  <c:v>0.05</c:v>
                </c:pt>
                <c:pt idx="57">
                  <c:v>0.05</c:v>
                </c:pt>
                <c:pt idx="58">
                  <c:v>2.5000000000000001E-2</c:v>
                </c:pt>
                <c:pt idx="60">
                  <c:v>0</c:v>
                </c:pt>
              </c:numCache>
            </c:numRef>
          </c:xVal>
          <c:yVal>
            <c:numRef>
              <c:f>ChartData!$AG$3:$AG$63</c:f>
              <c:numCache>
                <c:formatCode>0.000</c:formatCode>
                <c:ptCount val="61"/>
                <c:pt idx="0">
                  <c:v>0</c:v>
                </c:pt>
                <c:pt idx="1">
                  <c:v>0.8660254037844386</c:v>
                </c:pt>
                <c:pt idx="3">
                  <c:v>0</c:v>
                </c:pt>
                <c:pt idx="4">
                  <c:v>0.82272413359521668</c:v>
                </c:pt>
                <c:pt idx="6">
                  <c:v>0</c:v>
                </c:pt>
                <c:pt idx="7">
                  <c:v>0.77942286340599476</c:v>
                </c:pt>
                <c:pt idx="9">
                  <c:v>0</c:v>
                </c:pt>
                <c:pt idx="10">
                  <c:v>0.73612159321677273</c:v>
                </c:pt>
                <c:pt idx="12">
                  <c:v>0</c:v>
                </c:pt>
                <c:pt idx="13">
                  <c:v>0.69282032302755103</c:v>
                </c:pt>
                <c:pt idx="15">
                  <c:v>0</c:v>
                </c:pt>
                <c:pt idx="16">
                  <c:v>0.649519052838329</c:v>
                </c:pt>
                <c:pt idx="18">
                  <c:v>0</c:v>
                </c:pt>
                <c:pt idx="19">
                  <c:v>0.60621778264910697</c:v>
                </c:pt>
                <c:pt idx="21">
                  <c:v>0</c:v>
                </c:pt>
                <c:pt idx="22">
                  <c:v>0.56291651245988517</c:v>
                </c:pt>
                <c:pt idx="24">
                  <c:v>0</c:v>
                </c:pt>
                <c:pt idx="25">
                  <c:v>0.51961524227066325</c:v>
                </c:pt>
                <c:pt idx="27">
                  <c:v>0</c:v>
                </c:pt>
                <c:pt idx="28">
                  <c:v>0.47631397208144133</c:v>
                </c:pt>
                <c:pt idx="30">
                  <c:v>0</c:v>
                </c:pt>
                <c:pt idx="31">
                  <c:v>0.4330127018922193</c:v>
                </c:pt>
                <c:pt idx="33">
                  <c:v>0</c:v>
                </c:pt>
                <c:pt idx="34">
                  <c:v>0.38971143170299738</c:v>
                </c:pt>
                <c:pt idx="36">
                  <c:v>0</c:v>
                </c:pt>
                <c:pt idx="37">
                  <c:v>0.34641016151377552</c:v>
                </c:pt>
                <c:pt idx="39">
                  <c:v>0</c:v>
                </c:pt>
                <c:pt idx="40">
                  <c:v>0.30310889132455349</c:v>
                </c:pt>
                <c:pt idx="42">
                  <c:v>0</c:v>
                </c:pt>
                <c:pt idx="43">
                  <c:v>0.25980762113533162</c:v>
                </c:pt>
                <c:pt idx="45">
                  <c:v>0</c:v>
                </c:pt>
                <c:pt idx="46">
                  <c:v>0.21650635094610965</c:v>
                </c:pt>
                <c:pt idx="48">
                  <c:v>0</c:v>
                </c:pt>
                <c:pt idx="49">
                  <c:v>0.17320508075688776</c:v>
                </c:pt>
                <c:pt idx="51">
                  <c:v>0</c:v>
                </c:pt>
                <c:pt idx="52">
                  <c:v>0.12990381056766581</c:v>
                </c:pt>
                <c:pt idx="54">
                  <c:v>0</c:v>
                </c:pt>
                <c:pt idx="55">
                  <c:v>8.6602540378443879E-2</c:v>
                </c:pt>
                <c:pt idx="57">
                  <c:v>0</c:v>
                </c:pt>
                <c:pt idx="58">
                  <c:v>4.330127018922194E-2</c:v>
                </c:pt>
                <c:pt idx="60">
                  <c:v>0</c:v>
                </c:pt>
              </c:numCache>
            </c:numRef>
          </c:yVal>
          <c:smooth val="0"/>
          <c:extLst>
            <c:ext xmlns:c16="http://schemas.microsoft.com/office/drawing/2014/chart" uri="{C3380CC4-5D6E-409C-BE32-E72D297353CC}">
              <c16:uniqueId val="{00000002-956A-456E-A399-DEEAAAA0A364}"/>
            </c:ext>
          </c:extLst>
        </c:ser>
        <c:ser>
          <c:idx val="12"/>
          <c:order val="12"/>
          <c:tx>
            <c:v>20/20 Clay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03-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04-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05-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06-956A-456E-A399-DEEAAAA0A364}"/>
                </c:ext>
              </c:extLst>
            </c:dLbl>
            <c:dLbl>
              <c:idx val="6"/>
              <c:delete val="1"/>
              <c:extLst>
                <c:ext xmlns:c15="http://schemas.microsoft.com/office/drawing/2012/chart" uri="{CE6537A1-D6FC-4f65-9D91-7224C49458BB}"/>
                <c:ext xmlns:c16="http://schemas.microsoft.com/office/drawing/2014/chart" uri="{C3380CC4-5D6E-409C-BE32-E72D297353CC}">
                  <c16:uniqueId val="{00000007-956A-456E-A399-DEEAAAA0A364}"/>
                </c:ext>
              </c:extLst>
            </c:dLbl>
            <c:dLbl>
              <c:idx val="7"/>
              <c:layout>
                <c:manualLayout>
                  <c:x val="-5.0694444444444452E-2"/>
                  <c:y val="0"/>
                </c:manualLayout>
              </c:layout>
              <c:tx>
                <c:strRef>
                  <c:f>ChartData!$BD$4</c:f>
                  <c:strCache>
                    <c:ptCount val="1"/>
                    <c:pt idx="0">
                      <c:v>10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{E3A492A9-882C-4ACE-A1C2-DF5FC117BC4E}</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08-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09-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0A-956A-456E-A399-DEEAAAA0A364}"/>
                </c:ext>
              </c:extLst>
            </c:dLbl>
            <c:dLbl>
              <c:idx val="12"/>
              <c:delete val="1"/>
              <c:extLst>
                <c:ext xmlns:c15="http://schemas.microsoft.com/office/drawing/2012/chart" uri="{CE6537A1-D6FC-4f65-9D91-7224C49458BB}"/>
                <c:ext xmlns:c16="http://schemas.microsoft.com/office/drawing/2014/chart" uri="{C3380CC4-5D6E-409C-BE32-E72D297353CC}">
                  <c16:uniqueId val="{0000000B-956A-456E-A399-DEEAAAA0A364}"/>
                </c:ext>
              </c:extLst>
            </c:dLbl>
            <c:dLbl>
              <c:idx val="13"/>
              <c:layout>
                <c:manualLayout>
                  <c:x val="-4.8379629629629627E-2"/>
                  <c:y val="-8.5375594430514544E-17"/>
                </c:manualLayout>
              </c:layout>
              <c:tx>
                <c:strRef>
                  <c:f>ChartData!$BD$6</c:f>
                  <c:strCache>
                    <c:ptCount val="1"/>
                    <c:pt idx="0">
                      <c:v>20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{03EEB459-9619-4017-8FE0-7ADE4F747C26}</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0C-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0D-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0E-956A-456E-A399-DEEAAAA0A364}"/>
                </c:ext>
              </c:extLst>
            </c:dLbl>
            <c:dLbl>
              <c:idx val="18"/>
              <c:delete val="1"/>
              <c:extLst>
                <c:ext xmlns:c15="http://schemas.microsoft.com/office/drawing/2012/chart" uri="{CE6537A1-D6FC-4f65-9D91-7224C49458BB}"/>
                <c:ext xmlns:c16="http://schemas.microsoft.com/office/drawing/2014/chart" uri="{C3380CC4-5D6E-409C-BE32-E72D297353CC}">
                  <c16:uniqueId val="{0000000F-956A-456E-A399-DEEAAAA0A364}"/>
                </c:ext>
              </c:extLst>
            </c:dLbl>
            <c:dLbl>
              <c:idx val="19"/>
              <c:layout>
                <c:manualLayout>
                  <c:x val="-4.8379629629629627E-2"/>
                  <c:y val="-8.5375594430514544E-17"/>
                </c:manualLayout>
              </c:layout>
              <c:tx>
                <c:strRef>
                  <c:f>ChartData!$BD$8</c:f>
                  <c:strCache>
                    <c:ptCount val="1"/>
                    <c:pt idx="0">
                      <c:v>30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{848E23E8-8752-4047-A6B3-90D40DFD18F1}</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10-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11-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12-956A-456E-A399-DEEAAAA0A364}"/>
                </c:ext>
              </c:extLst>
            </c:dLbl>
            <c:dLbl>
              <c:idx val="24"/>
              <c:delete val="1"/>
              <c:extLst>
                <c:ext xmlns:c15="http://schemas.microsoft.com/office/drawing/2012/chart" uri="{CE6537A1-D6FC-4f65-9D91-7224C49458BB}"/>
                <c:ext xmlns:c16="http://schemas.microsoft.com/office/drawing/2014/chart" uri="{C3380CC4-5D6E-409C-BE32-E72D297353CC}">
                  <c16:uniqueId val="{00000013-956A-456E-A399-DEEAAAA0A364}"/>
                </c:ext>
              </c:extLst>
            </c:dLbl>
            <c:dLbl>
              <c:idx val="25"/>
              <c:layout>
                <c:manualLayout>
                  <c:x val="-4.8379629629629627E-2"/>
                  <c:y val="-8.5375594430514544E-17"/>
                </c:manualLayout>
              </c:layout>
              <c:tx>
                <c:strRef>
                  <c:f>ChartData!$BD$10</c:f>
                  <c:strCache>
                    <c:ptCount val="1"/>
                    <c:pt idx="0">
                      <c:v>40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{3BF4884A-B793-4A48-A480-E5EB4D8E8873}</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14-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15-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16-956A-456E-A399-DEEAAAA0A364}"/>
                </c:ext>
              </c:extLst>
            </c:dLbl>
            <c:dLbl>
              <c:idx val="30"/>
              <c:delete val="1"/>
              <c:extLst>
                <c:ext xmlns:c15="http://schemas.microsoft.com/office/drawing/2012/chart" uri="{CE6537A1-D6FC-4f65-9D91-7224C49458BB}"/>
                <c:ext xmlns:c16="http://schemas.microsoft.com/office/drawing/2014/chart" uri="{C3380CC4-5D6E-409C-BE32-E72D297353CC}">
                  <c16:uniqueId val="{00000017-956A-456E-A399-DEEAAAA0A364}"/>
                </c:ext>
              </c:extLst>
            </c:dLbl>
            <c:dLbl>
              <c:idx val="31"/>
              <c:layout>
                <c:manualLayout>
                  <c:x val="-4.8379629629629627E-2"/>
                  <c:y val="0"/>
                </c:manualLayout>
              </c:layout>
              <c:tx>
                <c:strRef>
                  <c:f>ChartData!$BD$12</c:f>
                  <c:strCache>
                    <c:ptCount val="1"/>
                    <c:pt idx="0">
                      <c:v>50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{2ED5A987-77BC-4F95-BF4E-E6C82B6A57A6}</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18-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19-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1A-956A-456E-A399-DEEAAAA0A364}"/>
                </c:ext>
              </c:extLst>
            </c:dLbl>
            <c:dLbl>
              <c:idx val="36"/>
              <c:delete val="1"/>
              <c:extLst>
                <c:ext xmlns:c15="http://schemas.microsoft.com/office/drawing/2012/chart" uri="{CE6537A1-D6FC-4f65-9D91-7224C49458BB}"/>
                <c:ext xmlns:c16="http://schemas.microsoft.com/office/drawing/2014/chart" uri="{C3380CC4-5D6E-409C-BE32-E72D297353CC}">
                  <c16:uniqueId val="{0000001B-956A-456E-A399-DEEAAAA0A364}"/>
                </c:ext>
              </c:extLst>
            </c:dLbl>
            <c:dLbl>
              <c:idx val="37"/>
              <c:layout>
                <c:manualLayout>
                  <c:x val="-4.8379629629629627E-2"/>
                  <c:y val="-8.5375594430514544E-17"/>
                </c:manualLayout>
              </c:layout>
              <c:tx>
                <c:strRef>
                  <c:f>ChartData!$BD$14</c:f>
                  <c:strCache>
                    <c:ptCount val="1"/>
                    <c:pt idx="0">
                      <c:v>60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{AED76CF0-C9A6-43A1-9F9B-106E1C0B6F5A}</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1C-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1D-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1E-956A-456E-A399-DEEAAAA0A364}"/>
                </c:ext>
              </c:extLst>
            </c:dLbl>
            <c:dLbl>
              <c:idx val="42"/>
              <c:delete val="1"/>
              <c:extLst>
                <c:ext xmlns:c15="http://schemas.microsoft.com/office/drawing/2012/chart" uri="{CE6537A1-D6FC-4f65-9D91-7224C49458BB}"/>
                <c:ext xmlns:c16="http://schemas.microsoft.com/office/drawing/2014/chart" uri="{C3380CC4-5D6E-409C-BE32-E72D297353CC}">
                  <c16:uniqueId val="{0000001F-956A-456E-A399-DEEAAAA0A364}"/>
                </c:ext>
              </c:extLst>
            </c:dLbl>
            <c:dLbl>
              <c:idx val="43"/>
              <c:layout>
                <c:manualLayout>
                  <c:x val="-4.8379629629629675E-2"/>
                  <c:y val="4.2687797215257272E-17"/>
                </c:manualLayout>
              </c:layout>
              <c:tx>
                <c:strRef>
                  <c:f>ChartData!$BD$16</c:f>
                  <c:strCache>
                    <c:ptCount val="1"/>
                    <c:pt idx="0">
                      <c:v>70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{8B481928-A488-401C-B11B-57AEA327E518}</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20-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21-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22-956A-456E-A399-DEEAAAA0A364}"/>
                </c:ext>
              </c:extLst>
            </c:dLbl>
            <c:dLbl>
              <c:idx val="48"/>
              <c:delete val="1"/>
              <c:extLst>
                <c:ext xmlns:c15="http://schemas.microsoft.com/office/drawing/2012/chart" uri="{CE6537A1-D6FC-4f65-9D91-7224C49458BB}"/>
                <c:ext xmlns:c16="http://schemas.microsoft.com/office/drawing/2014/chart" uri="{C3380CC4-5D6E-409C-BE32-E72D297353CC}">
                  <c16:uniqueId val="{00000023-956A-456E-A399-DEEAAAA0A364}"/>
                </c:ext>
              </c:extLst>
            </c:dLbl>
            <c:dLbl>
              <c:idx val="49"/>
              <c:layout>
                <c:manualLayout>
                  <c:x val="-5.0694444444444528E-2"/>
                  <c:y val="0"/>
                </c:manualLayout>
              </c:layout>
              <c:tx>
                <c:strRef>
                  <c:f>ChartData!$BD$18</c:f>
                  <c:strCache>
                    <c:ptCount val="1"/>
                    <c:pt idx="0">
                      <c:v>80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{B937DF00-089B-4572-9DF0-2F9D6590E92A}</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24-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25-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26-956A-456E-A399-DEEAAAA0A364}"/>
                </c:ext>
              </c:extLst>
            </c:dLbl>
            <c:dLbl>
              <c:idx val="54"/>
              <c:delete val="1"/>
              <c:extLst>
                <c:ext xmlns:c15="http://schemas.microsoft.com/office/drawing/2012/chart" uri="{CE6537A1-D6FC-4f65-9D91-7224C49458BB}"/>
                <c:ext xmlns:c16="http://schemas.microsoft.com/office/drawing/2014/chart" uri="{C3380CC4-5D6E-409C-BE32-E72D297353CC}">
                  <c16:uniqueId val="{00000027-956A-456E-A399-DEEAAAA0A364}"/>
                </c:ext>
              </c:extLst>
            </c:dLbl>
            <c:dLbl>
              <c:idx val="55"/>
              <c:layout>
                <c:manualLayout>
                  <c:x val="-4.8379629629629717E-2"/>
                  <c:y val="0"/>
                </c:manualLayout>
              </c:layout>
              <c:tx>
                <c:strRef>
                  <c:f>ChartData!$BD$20</c:f>
                  <c:strCache>
                    <c:ptCount val="1"/>
                    <c:pt idx="0">
                      <c:v>90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{2B184394-1E0E-44B0-AFFC-9477E781DCEA}</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28-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29-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2A-956A-456E-A399-DEEAAAA0A364}"/>
                </c:ext>
              </c:extLst>
            </c:dLbl>
            <c:dLbl>
              <c:idx val="60"/>
              <c:delete val="1"/>
              <c:extLst>
                <c:ext xmlns:c15="http://schemas.microsoft.com/office/drawing/2012/chart" uri="{CE6537A1-D6FC-4f65-9D91-7224C49458BB}"/>
                <c:ext xmlns:c16="http://schemas.microsoft.com/office/drawing/2014/chart" uri="{C3380CC4-5D6E-409C-BE32-E72D297353CC}">
                  <c16:uniqueId val="{0000002B-956A-456E-A399-DEEAAAA0A364}"/>
                </c:ext>
              </c:extLst>
            </c:dLbl>
            <c:dLbl>
              <c:idx val="61"/>
              <c:layout>
                <c:manualLayout>
                  <c:x val="-5.8680555555555555E-2"/>
                  <c:y val="0"/>
                </c:manualLayout>
              </c:layout>
              <c:tx>
                <c:strRef>
                  <c:f>ChartData!$BD$22</c:f>
                  <c:strCache>
                    <c:ptCount val="1"/>
                    <c:pt idx="0">
                      <c:v>100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{E5744B5D-8F8E-4E50-90D8-DC6D252795BC}</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2C-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ChartData!$AI$3:$AI$64</c:f>
              <c:numCache>
                <c:formatCode>0.000</c:formatCode>
                <c:ptCount val="62"/>
                <c:pt idx="0">
                  <c:v>0</c:v>
                </c:pt>
                <c:pt idx="1">
                  <c:v>-0.03</c:v>
                </c:pt>
                <c:pt idx="3">
                  <c:v>2.5000000000000001E-2</c:v>
                </c:pt>
                <c:pt idx="4">
                  <c:v>-4.9999999999999975E-3</c:v>
                </c:pt>
                <c:pt idx="6">
                  <c:v>0.05</c:v>
                </c:pt>
                <c:pt idx="7">
                  <c:v>2.0000000000000004E-2</c:v>
                </c:pt>
                <c:pt idx="9">
                  <c:v>7.4999999999999997E-2</c:v>
                </c:pt>
                <c:pt idx="10">
                  <c:v>4.4999999999999998E-2</c:v>
                </c:pt>
                <c:pt idx="12">
                  <c:v>9.9999999999999992E-2</c:v>
                </c:pt>
                <c:pt idx="13">
                  <c:v>6.9999999999999993E-2</c:v>
                </c:pt>
                <c:pt idx="15">
                  <c:v>0.125</c:v>
                </c:pt>
                <c:pt idx="16">
                  <c:v>9.5000000000000001E-2</c:v>
                </c:pt>
                <c:pt idx="18">
                  <c:v>0.15</c:v>
                </c:pt>
                <c:pt idx="19">
                  <c:v>0.12</c:v>
                </c:pt>
                <c:pt idx="21">
                  <c:v>0.17499999999999999</c:v>
                </c:pt>
                <c:pt idx="22">
                  <c:v>0.14499999999999999</c:v>
                </c:pt>
                <c:pt idx="24">
                  <c:v>0.2</c:v>
                </c:pt>
                <c:pt idx="25">
                  <c:v>0.17</c:v>
                </c:pt>
                <c:pt idx="27">
                  <c:v>0.22500000000000001</c:v>
                </c:pt>
                <c:pt idx="28">
                  <c:v>0.19500000000000001</c:v>
                </c:pt>
                <c:pt idx="30">
                  <c:v>0.25</c:v>
                </c:pt>
                <c:pt idx="31">
                  <c:v>0.22</c:v>
                </c:pt>
                <c:pt idx="33">
                  <c:v>0.27500000000000002</c:v>
                </c:pt>
                <c:pt idx="34">
                  <c:v>0.24500000000000002</c:v>
                </c:pt>
                <c:pt idx="36">
                  <c:v>0.3</c:v>
                </c:pt>
                <c:pt idx="37">
                  <c:v>0.27</c:v>
                </c:pt>
                <c:pt idx="39">
                  <c:v>0.32500000000000001</c:v>
                </c:pt>
                <c:pt idx="40">
                  <c:v>0.29500000000000004</c:v>
                </c:pt>
                <c:pt idx="42">
                  <c:v>0.35</c:v>
                </c:pt>
                <c:pt idx="43">
                  <c:v>0.31999999999999995</c:v>
                </c:pt>
                <c:pt idx="45">
                  <c:v>0.375</c:v>
                </c:pt>
                <c:pt idx="46">
                  <c:v>0.34499999999999997</c:v>
                </c:pt>
                <c:pt idx="48">
                  <c:v>0.4</c:v>
                </c:pt>
                <c:pt idx="49">
                  <c:v>0.37</c:v>
                </c:pt>
                <c:pt idx="51">
                  <c:v>0.42499999999999999</c:v>
                </c:pt>
                <c:pt idx="52">
                  <c:v>0.39500000000000002</c:v>
                </c:pt>
                <c:pt idx="54">
                  <c:v>0.45</c:v>
                </c:pt>
                <c:pt idx="55">
                  <c:v>0.42000000000000004</c:v>
                </c:pt>
                <c:pt idx="57">
                  <c:v>0.47499999999999998</c:v>
                </c:pt>
                <c:pt idx="58">
                  <c:v>0.44499999999999995</c:v>
                </c:pt>
                <c:pt idx="60">
                  <c:v>0.5</c:v>
                </c:pt>
                <c:pt idx="61">
                  <c:v>0.47</c:v>
                </c:pt>
              </c:numCache>
            </c:numRef>
          </c:xVal>
          <c:yVal>
            <c:numRef>
              <c:f>ChartData!$AJ$3:$AJ$64</c:f>
              <c:numCache>
                <c:formatCode>0.000</c:formatCode>
                <c:ptCount val="62"/>
                <c:pt idx="0">
                  <c:v>0</c:v>
                </c:pt>
                <c:pt idx="1">
                  <c:v>0</c:v>
                </c:pt>
                <c:pt idx="3">
                  <c:v>4.330127018922194E-2</c:v>
                </c:pt>
                <c:pt idx="4">
                  <c:v>4.330127018922194E-2</c:v>
                </c:pt>
                <c:pt idx="6">
                  <c:v>8.6602540378443879E-2</c:v>
                </c:pt>
                <c:pt idx="7">
                  <c:v>8.6602540378443879E-2</c:v>
                </c:pt>
                <c:pt idx="9">
                  <c:v>0.12990381056766581</c:v>
                </c:pt>
                <c:pt idx="10">
                  <c:v>0.12990381056766581</c:v>
                </c:pt>
                <c:pt idx="12">
                  <c:v>0.17320508075688776</c:v>
                </c:pt>
                <c:pt idx="13">
                  <c:v>0.17320508075688776</c:v>
                </c:pt>
                <c:pt idx="15">
                  <c:v>0.21650635094610965</c:v>
                </c:pt>
                <c:pt idx="16">
                  <c:v>0.21650635094610965</c:v>
                </c:pt>
                <c:pt idx="18">
                  <c:v>0.25980762113533162</c:v>
                </c:pt>
                <c:pt idx="19">
                  <c:v>0.25980762113533162</c:v>
                </c:pt>
                <c:pt idx="21">
                  <c:v>0.30310889132455349</c:v>
                </c:pt>
                <c:pt idx="22">
                  <c:v>0.30310889132455349</c:v>
                </c:pt>
                <c:pt idx="24">
                  <c:v>0.34641016151377552</c:v>
                </c:pt>
                <c:pt idx="25">
                  <c:v>0.34641016151377552</c:v>
                </c:pt>
                <c:pt idx="27">
                  <c:v>0.38971143170299738</c:v>
                </c:pt>
                <c:pt idx="28">
                  <c:v>0.38971143170299738</c:v>
                </c:pt>
                <c:pt idx="30">
                  <c:v>0.4330127018922193</c:v>
                </c:pt>
                <c:pt idx="31">
                  <c:v>0.4330127018922193</c:v>
                </c:pt>
                <c:pt idx="33">
                  <c:v>0.47631397208144133</c:v>
                </c:pt>
                <c:pt idx="34">
                  <c:v>0.47631397208144133</c:v>
                </c:pt>
                <c:pt idx="36">
                  <c:v>0.51961524227066325</c:v>
                </c:pt>
                <c:pt idx="37">
                  <c:v>0.51961524227066325</c:v>
                </c:pt>
                <c:pt idx="39">
                  <c:v>0.56291651245988517</c:v>
                </c:pt>
                <c:pt idx="40">
                  <c:v>0.56291651245988517</c:v>
                </c:pt>
                <c:pt idx="42">
                  <c:v>0.60621778264910697</c:v>
                </c:pt>
                <c:pt idx="43">
                  <c:v>0.60621778264910697</c:v>
                </c:pt>
                <c:pt idx="45">
                  <c:v>0.649519052838329</c:v>
                </c:pt>
                <c:pt idx="46">
                  <c:v>0.649519052838329</c:v>
                </c:pt>
                <c:pt idx="48">
                  <c:v>0.69282032302755103</c:v>
                </c:pt>
                <c:pt idx="49">
                  <c:v>0.69282032302755103</c:v>
                </c:pt>
                <c:pt idx="51">
                  <c:v>0.73612159321677273</c:v>
                </c:pt>
                <c:pt idx="52">
                  <c:v>0.73612159321677273</c:v>
                </c:pt>
                <c:pt idx="54">
                  <c:v>0.77942286340599476</c:v>
                </c:pt>
                <c:pt idx="55">
                  <c:v>0.77942286340599476</c:v>
                </c:pt>
                <c:pt idx="57">
                  <c:v>0.82272413359521668</c:v>
                </c:pt>
                <c:pt idx="58">
                  <c:v>0.82272413359521668</c:v>
                </c:pt>
                <c:pt idx="60">
                  <c:v>0.8660254037844386</c:v>
                </c:pt>
                <c:pt idx="61">
                  <c:v>0.8660254037844386</c:v>
                </c:pt>
              </c:numCache>
            </c:numRef>
          </c:yVal>
          <c:smooth val="0"/>
          <c:extLst>
            <c:ext xmlns:c16="http://schemas.microsoft.com/office/drawing/2014/chart" uri="{C3380CC4-5D6E-409C-BE32-E72D297353CC}">
              <c16:uniqueId val="{0000002D-956A-456E-A399-DEEAAAA0A364}"/>
            </c:ext>
          </c:extLst>
        </c:ser>
        <c:ser>
          <c:idx val="13"/>
          <c:order val="13"/>
          <c:tx>
            <c:v>20/20 Silt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2E-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2F-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30-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31-956A-456E-A399-DEEAAAA0A364}"/>
                </c:ext>
              </c:extLst>
            </c:dLbl>
            <c:dLbl>
              <c:idx val="6"/>
              <c:layout>
                <c:manualLayout>
                  <c:x val="-6.5553003791192768E-3"/>
                  <c:y val="-3.9613225430154587E-2"/>
                </c:manualLayout>
              </c:layout>
              <c:tx>
                <c:strRef>
                  <c:f>ChartData!$BD$4</c:f>
                  <c:strCache>
                    <c:ptCount val="1"/>
                    <c:pt idx="0">
                      <c:v>10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{7D96B846-7A67-41E0-A756-F3341A00CD72}</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32-956A-456E-A399-DEEAAAA0A364}"/>
                </c:ext>
              </c:extLst>
            </c:dLbl>
            <c:dLbl>
              <c:idx val="7"/>
              <c:delete val="1"/>
              <c:extLst>
                <c:ext xmlns:c15="http://schemas.microsoft.com/office/drawing/2012/chart" uri="{CE6537A1-D6FC-4f65-9D91-7224C49458BB}"/>
                <c:ext xmlns:c16="http://schemas.microsoft.com/office/drawing/2014/chart" uri="{C3380CC4-5D6E-409C-BE32-E72D297353CC}">
                  <c16:uniqueId val="{00000033-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34-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35-956A-456E-A399-DEEAAAA0A364}"/>
                </c:ext>
              </c:extLst>
            </c:dLbl>
            <c:dLbl>
              <c:idx val="12"/>
              <c:layout>
                <c:manualLayout>
                  <c:x val="-7.9519896127232623E-3"/>
                  <c:y val="-3.9595129836695962E-2"/>
                </c:manualLayout>
              </c:layout>
              <c:tx>
                <c:strRef>
                  <c:f>ChartData!$BD$6</c:f>
                  <c:strCache>
                    <c:ptCount val="1"/>
                    <c:pt idx="0">
                      <c:v>20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{D01104BB-9F47-41F6-820D-CF73AEB4128C}</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36-956A-456E-A399-DEEAAAA0A364}"/>
                </c:ext>
              </c:extLst>
            </c:dLbl>
            <c:dLbl>
              <c:idx val="13"/>
              <c:delete val="1"/>
              <c:extLst>
                <c:ext xmlns:c15="http://schemas.microsoft.com/office/drawing/2012/chart" uri="{CE6537A1-D6FC-4f65-9D91-7224C49458BB}"/>
                <c:ext xmlns:c16="http://schemas.microsoft.com/office/drawing/2014/chart" uri="{C3380CC4-5D6E-409C-BE32-E72D297353CC}">
                  <c16:uniqueId val="{00000037-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38-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39-956A-456E-A399-DEEAAAA0A364}"/>
                </c:ext>
              </c:extLst>
            </c:dLbl>
            <c:dLbl>
              <c:idx val="18"/>
              <c:layout>
                <c:manualLayout>
                  <c:x val="-7.0703154779791716E-3"/>
                  <c:y val="-4.0369008101964636E-2"/>
                </c:manualLayout>
              </c:layout>
              <c:tx>
                <c:strRef>
                  <c:f>ChartData!$BD$8</c:f>
                  <c:strCache>
                    <c:ptCount val="1"/>
                    <c:pt idx="0">
                      <c:v>30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{7481CF39-8824-4E81-85CB-1DB73772F746}</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3A-956A-456E-A399-DEEAAAA0A364}"/>
                </c:ext>
              </c:extLst>
            </c:dLbl>
            <c:dLbl>
              <c:idx val="19"/>
              <c:delete val="1"/>
              <c:extLst>
                <c:ext xmlns:c15="http://schemas.microsoft.com/office/drawing/2012/chart" uri="{CE6537A1-D6FC-4f65-9D91-7224C49458BB}"/>
                <c:ext xmlns:c16="http://schemas.microsoft.com/office/drawing/2014/chart" uri="{C3380CC4-5D6E-409C-BE32-E72D297353CC}">
                  <c16:uniqueId val="{0000003B-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3C-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3D-956A-456E-A399-DEEAAAA0A364}"/>
                </c:ext>
              </c:extLst>
            </c:dLbl>
            <c:dLbl>
              <c:idx val="24"/>
              <c:layout>
                <c:manualLayout>
                  <c:x val="-7.2330440115727906E-3"/>
                  <c:y val="-4.0310090377370621E-2"/>
                </c:manualLayout>
              </c:layout>
              <c:tx>
                <c:strRef>
                  <c:f>ChartData!$BD$10</c:f>
                  <c:strCache>
                    <c:ptCount val="1"/>
                    <c:pt idx="0">
                      <c:v>40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{A679F400-8FC9-4F84-92BE-82EDA81A6ED7}</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3E-956A-456E-A399-DEEAAAA0A364}"/>
                </c:ext>
              </c:extLst>
            </c:dLbl>
            <c:dLbl>
              <c:idx val="25"/>
              <c:delete val="1"/>
              <c:extLst>
                <c:ext xmlns:c15="http://schemas.microsoft.com/office/drawing/2012/chart" uri="{CE6537A1-D6FC-4f65-9D91-7224C49458BB}"/>
                <c:ext xmlns:c16="http://schemas.microsoft.com/office/drawing/2014/chart" uri="{C3380CC4-5D6E-409C-BE32-E72D297353CC}">
                  <c16:uniqueId val="{0000003F-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40-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41-956A-456E-A399-DEEAAAA0A364}"/>
                </c:ext>
              </c:extLst>
            </c:dLbl>
            <c:dLbl>
              <c:idx val="30"/>
              <c:layout>
                <c:manualLayout>
                  <c:x val="-7.0703154779791716E-3"/>
                  <c:y val="-4.0310090377370621E-2"/>
                </c:manualLayout>
              </c:layout>
              <c:tx>
                <c:strRef>
                  <c:f>ChartData!$BD$12</c:f>
                  <c:strCache>
                    <c:ptCount val="1"/>
                    <c:pt idx="0">
                      <c:v>50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{238B2071-C96A-41F6-8877-2D9874D4A578}</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42-956A-456E-A399-DEEAAAA0A364}"/>
                </c:ext>
              </c:extLst>
            </c:dLbl>
            <c:dLbl>
              <c:idx val="31"/>
              <c:delete val="1"/>
              <c:extLst>
                <c:ext xmlns:c15="http://schemas.microsoft.com/office/drawing/2012/chart" uri="{CE6537A1-D6FC-4f65-9D91-7224C49458BB}"/>
                <c:ext xmlns:c16="http://schemas.microsoft.com/office/drawing/2014/chart" uri="{C3380CC4-5D6E-409C-BE32-E72D297353CC}">
                  <c16:uniqueId val="{00000043-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44-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45-956A-456E-A399-DEEAAAA0A364}"/>
                </c:ext>
              </c:extLst>
            </c:dLbl>
            <c:dLbl>
              <c:idx val="36"/>
              <c:layout>
                <c:manualLayout>
                  <c:x val="-7.7892610791294847E-3"/>
                  <c:y val="-3.7620262997664716E-2"/>
                </c:manualLayout>
              </c:layout>
              <c:tx>
                <c:strRef>
                  <c:f>ChartData!$BD$14</c:f>
                  <c:strCache>
                    <c:ptCount val="1"/>
                    <c:pt idx="0">
                      <c:v>60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{BE438CDA-2EA2-4DF8-8184-E015FD30A540}</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46-956A-456E-A399-DEEAAAA0A364}"/>
                </c:ext>
              </c:extLst>
            </c:dLbl>
            <c:dLbl>
              <c:idx val="37"/>
              <c:delete val="1"/>
              <c:extLst>
                <c:ext xmlns:c15="http://schemas.microsoft.com/office/drawing/2012/chart" uri="{CE6537A1-D6FC-4f65-9D91-7224C49458BB}"/>
                <c:ext xmlns:c16="http://schemas.microsoft.com/office/drawing/2014/chart" uri="{C3380CC4-5D6E-409C-BE32-E72D297353CC}">
                  <c16:uniqueId val="{00000047-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48-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49-956A-456E-A399-DEEAAAA0A364}"/>
                </c:ext>
              </c:extLst>
            </c:dLbl>
            <c:dLbl>
              <c:idx val="42"/>
              <c:layout>
                <c:manualLayout>
                  <c:x val="-7.2330440115728704E-3"/>
                  <c:y val="-4.054904408151587E-2"/>
                </c:manualLayout>
              </c:layout>
              <c:tx>
                <c:strRef>
                  <c:f>ChartData!$BD$16</c:f>
                  <c:strCache>
                    <c:ptCount val="1"/>
                    <c:pt idx="0">
                      <c:v>70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{92265EC9-12AD-427B-B85B-215D261796AD}</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4A-956A-456E-A399-DEEAAAA0A364}"/>
                </c:ext>
              </c:extLst>
            </c:dLbl>
            <c:dLbl>
              <c:idx val="43"/>
              <c:delete val="1"/>
              <c:extLst>
                <c:ext xmlns:c15="http://schemas.microsoft.com/office/drawing/2012/chart" uri="{CE6537A1-D6FC-4f65-9D91-7224C49458BB}"/>
                <c:ext xmlns:c16="http://schemas.microsoft.com/office/drawing/2014/chart" uri="{C3380CC4-5D6E-409C-BE32-E72D297353CC}">
                  <c16:uniqueId val="{0000004B-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4C-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4D-956A-456E-A399-DEEAAAA0A364}"/>
                </c:ext>
              </c:extLst>
            </c:dLbl>
            <c:dLbl>
              <c:idx val="48"/>
              <c:layout>
                <c:manualLayout>
                  <c:x val="-1.0104040282833132E-2"/>
                  <c:y val="-4.054904408151587E-2"/>
                </c:manualLayout>
              </c:layout>
              <c:tx>
                <c:strRef>
                  <c:f>ChartData!$BD$18</c:f>
                  <c:strCache>
                    <c:ptCount val="1"/>
                    <c:pt idx="0">
                      <c:v>80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{8C2B21C3-533D-4207-ADEB-7ECF4BF6AAF3}</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4E-956A-456E-A399-DEEAAAA0A364}"/>
                </c:ext>
              </c:extLst>
            </c:dLbl>
            <c:dLbl>
              <c:idx val="49"/>
              <c:delete val="1"/>
              <c:extLst>
                <c:ext xmlns:c15="http://schemas.microsoft.com/office/drawing/2012/chart" uri="{CE6537A1-D6FC-4f65-9D91-7224C49458BB}"/>
                <c:ext xmlns:c16="http://schemas.microsoft.com/office/drawing/2014/chart" uri="{C3380CC4-5D6E-409C-BE32-E72D297353CC}">
                  <c16:uniqueId val="{0000004F-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50-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51-956A-456E-A399-DEEAAAA0A364}"/>
                </c:ext>
              </c:extLst>
            </c:dLbl>
            <c:dLbl>
              <c:idx val="54"/>
              <c:layout>
                <c:manualLayout>
                  <c:x val="-9.9600831146106732E-3"/>
                  <c:y val="-3.9814595094456999E-2"/>
                </c:manualLayout>
              </c:layout>
              <c:tx>
                <c:strRef>
                  <c:f>ChartData!$BD$20</c:f>
                  <c:strCache>
                    <c:ptCount val="1"/>
                    <c:pt idx="0">
                      <c:v>90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{D8F44214-D4D0-4572-BA97-25F683A3E062}</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52-956A-456E-A399-DEEAAAA0A364}"/>
                </c:ext>
              </c:extLst>
            </c:dLbl>
            <c:dLbl>
              <c:idx val="55"/>
              <c:delete val="1"/>
              <c:extLst>
                <c:ext xmlns:c15="http://schemas.microsoft.com/office/drawing/2012/chart" uri="{CE6537A1-D6FC-4f65-9D91-7224C49458BB}"/>
                <c:ext xmlns:c16="http://schemas.microsoft.com/office/drawing/2014/chart" uri="{C3380CC4-5D6E-409C-BE32-E72D297353CC}">
                  <c16:uniqueId val="{00000053-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54-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55-956A-456E-A399-DEEAAAA0A364}"/>
                </c:ext>
              </c:extLst>
            </c:dLbl>
            <c:dLbl>
              <c:idx val="60"/>
              <c:layout>
                <c:manualLayout>
                  <c:x val="-7.9239574219889183E-3"/>
                  <c:y val="-4.3698630815103112E-2"/>
                </c:manualLayout>
              </c:layout>
              <c:tx>
                <c:strRef>
                  <c:f>ChartData!$BD$22</c:f>
                  <c:strCache>
                    <c:ptCount val="1"/>
                    <c:pt idx="0">
                      <c:v>100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{EBE628DD-2437-49C5-8BAF-5F306B41D14F}</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56-956A-456E-A399-DEEAAAA0A364}"/>
                </c:ext>
              </c:extLst>
            </c:dLbl>
            <c:dLbl>
              <c:idx val="61"/>
              <c:delete val="1"/>
              <c:extLst>
                <c:ext xmlns:c15="http://schemas.microsoft.com/office/drawing/2012/chart" uri="{CE6537A1-D6FC-4f65-9D91-7224C49458BB}"/>
                <c:ext xmlns:c16="http://schemas.microsoft.com/office/drawing/2014/chart" uri="{C3380CC4-5D6E-409C-BE32-E72D297353CC}">
                  <c16:uniqueId val="{00000057-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ChartData!$AL$3:$AL$64</c:f>
              <c:numCache>
                <c:formatCode>0.000</c:formatCode>
                <c:ptCount val="62"/>
                <c:pt idx="0">
                  <c:v>0.5</c:v>
                </c:pt>
                <c:pt idx="1">
                  <c:v>0.51500000000000001</c:v>
                </c:pt>
                <c:pt idx="3">
                  <c:v>0.52500000000000002</c:v>
                </c:pt>
                <c:pt idx="4">
                  <c:v>0.54</c:v>
                </c:pt>
                <c:pt idx="6">
                  <c:v>0.55000000000000004</c:v>
                </c:pt>
                <c:pt idx="7">
                  <c:v>0.56500000000000006</c:v>
                </c:pt>
                <c:pt idx="9">
                  <c:v>0.57499999999999996</c:v>
                </c:pt>
                <c:pt idx="10">
                  <c:v>0.59</c:v>
                </c:pt>
                <c:pt idx="12">
                  <c:v>0.6</c:v>
                </c:pt>
                <c:pt idx="13">
                  <c:v>0.61499999999999999</c:v>
                </c:pt>
                <c:pt idx="15">
                  <c:v>0.625</c:v>
                </c:pt>
                <c:pt idx="16">
                  <c:v>0.64</c:v>
                </c:pt>
                <c:pt idx="18">
                  <c:v>0.65</c:v>
                </c:pt>
                <c:pt idx="19">
                  <c:v>0.66500000000000004</c:v>
                </c:pt>
                <c:pt idx="21">
                  <c:v>0.67500000000000004</c:v>
                </c:pt>
                <c:pt idx="22">
                  <c:v>0.69000000000000006</c:v>
                </c:pt>
                <c:pt idx="24">
                  <c:v>0.7</c:v>
                </c:pt>
                <c:pt idx="25">
                  <c:v>0.71499999999999997</c:v>
                </c:pt>
                <c:pt idx="27">
                  <c:v>0.72499999999999998</c:v>
                </c:pt>
                <c:pt idx="28">
                  <c:v>0.74</c:v>
                </c:pt>
                <c:pt idx="30">
                  <c:v>0.75</c:v>
                </c:pt>
                <c:pt idx="31">
                  <c:v>0.76500000000000001</c:v>
                </c:pt>
                <c:pt idx="33">
                  <c:v>0.77500000000000002</c:v>
                </c:pt>
                <c:pt idx="34">
                  <c:v>0.79</c:v>
                </c:pt>
                <c:pt idx="36">
                  <c:v>0.8</c:v>
                </c:pt>
                <c:pt idx="37">
                  <c:v>0.81500000000000006</c:v>
                </c:pt>
                <c:pt idx="39">
                  <c:v>0.82499999999999996</c:v>
                </c:pt>
                <c:pt idx="40">
                  <c:v>0.84</c:v>
                </c:pt>
                <c:pt idx="42">
                  <c:v>0.85</c:v>
                </c:pt>
                <c:pt idx="43">
                  <c:v>0.86499999999999999</c:v>
                </c:pt>
                <c:pt idx="45">
                  <c:v>0.875</c:v>
                </c:pt>
                <c:pt idx="46">
                  <c:v>0.89</c:v>
                </c:pt>
                <c:pt idx="48">
                  <c:v>0.89999999999999991</c:v>
                </c:pt>
                <c:pt idx="49">
                  <c:v>0.91499999999999992</c:v>
                </c:pt>
                <c:pt idx="51">
                  <c:v>0.92500000000000004</c:v>
                </c:pt>
                <c:pt idx="52">
                  <c:v>0.94000000000000006</c:v>
                </c:pt>
                <c:pt idx="54">
                  <c:v>0.95</c:v>
                </c:pt>
                <c:pt idx="55">
                  <c:v>0.96499999999999997</c:v>
                </c:pt>
                <c:pt idx="57">
                  <c:v>0.97499999999999998</c:v>
                </c:pt>
                <c:pt idx="58">
                  <c:v>0.99</c:v>
                </c:pt>
                <c:pt idx="60">
                  <c:v>1</c:v>
                </c:pt>
                <c:pt idx="61">
                  <c:v>1.0149999999999999</c:v>
                </c:pt>
              </c:numCache>
            </c:numRef>
          </c:xVal>
          <c:yVal>
            <c:numRef>
              <c:f>ChartData!$AM$3:$AM$64</c:f>
              <c:numCache>
                <c:formatCode>0.000</c:formatCode>
                <c:ptCount val="62"/>
                <c:pt idx="0">
                  <c:v>0.8660254037844386</c:v>
                </c:pt>
                <c:pt idx="1">
                  <c:v>0.8920054037844386</c:v>
                </c:pt>
                <c:pt idx="3">
                  <c:v>0.82272413359521668</c:v>
                </c:pt>
                <c:pt idx="4">
                  <c:v>0.84870413359521668</c:v>
                </c:pt>
                <c:pt idx="6">
                  <c:v>0.77942286340599476</c:v>
                </c:pt>
                <c:pt idx="7">
                  <c:v>0.80540286340599476</c:v>
                </c:pt>
                <c:pt idx="9">
                  <c:v>0.73612159321677273</c:v>
                </c:pt>
                <c:pt idx="10">
                  <c:v>0.76210159321677273</c:v>
                </c:pt>
                <c:pt idx="12">
                  <c:v>0.69282032302755103</c:v>
                </c:pt>
                <c:pt idx="13">
                  <c:v>0.71880032302755104</c:v>
                </c:pt>
                <c:pt idx="15">
                  <c:v>0.649519052838329</c:v>
                </c:pt>
                <c:pt idx="16">
                  <c:v>0.67549905283832901</c:v>
                </c:pt>
                <c:pt idx="18">
                  <c:v>0.60621778264910697</c:v>
                </c:pt>
                <c:pt idx="19">
                  <c:v>0.63219778264910698</c:v>
                </c:pt>
                <c:pt idx="21">
                  <c:v>0.56291651245988517</c:v>
                </c:pt>
                <c:pt idx="22">
                  <c:v>0.58889651245988517</c:v>
                </c:pt>
                <c:pt idx="24">
                  <c:v>0.51961524227066325</c:v>
                </c:pt>
                <c:pt idx="25">
                  <c:v>0.54559524227066325</c:v>
                </c:pt>
                <c:pt idx="27">
                  <c:v>0.47631397208144133</c:v>
                </c:pt>
                <c:pt idx="28">
                  <c:v>0.50229397208144133</c:v>
                </c:pt>
                <c:pt idx="30">
                  <c:v>0.4330127018922193</c:v>
                </c:pt>
                <c:pt idx="31">
                  <c:v>0.4589927018922193</c:v>
                </c:pt>
                <c:pt idx="33">
                  <c:v>0.38971143170299738</c:v>
                </c:pt>
                <c:pt idx="34">
                  <c:v>0.41569143170299738</c:v>
                </c:pt>
                <c:pt idx="36">
                  <c:v>0.34641016151377552</c:v>
                </c:pt>
                <c:pt idx="37">
                  <c:v>0.37239016151377552</c:v>
                </c:pt>
                <c:pt idx="39">
                  <c:v>0.30310889132455349</c:v>
                </c:pt>
                <c:pt idx="40">
                  <c:v>0.32908889132455349</c:v>
                </c:pt>
                <c:pt idx="42">
                  <c:v>0.25980762113533162</c:v>
                </c:pt>
                <c:pt idx="43">
                  <c:v>0.28578762113533163</c:v>
                </c:pt>
                <c:pt idx="45">
                  <c:v>0.21650635094610965</c:v>
                </c:pt>
                <c:pt idx="46">
                  <c:v>0.24248635094610965</c:v>
                </c:pt>
                <c:pt idx="48">
                  <c:v>0.17320508075688776</c:v>
                </c:pt>
                <c:pt idx="49">
                  <c:v>0.19918508075688776</c:v>
                </c:pt>
                <c:pt idx="51">
                  <c:v>0.12990381056766581</c:v>
                </c:pt>
                <c:pt idx="52">
                  <c:v>0.15588381056766581</c:v>
                </c:pt>
                <c:pt idx="54">
                  <c:v>8.6602540378443879E-2</c:v>
                </c:pt>
                <c:pt idx="55">
                  <c:v>0.11258254037844388</c:v>
                </c:pt>
                <c:pt idx="57">
                  <c:v>4.330127018922194E-2</c:v>
                </c:pt>
                <c:pt idx="58">
                  <c:v>6.9281270189221936E-2</c:v>
                </c:pt>
                <c:pt idx="60">
                  <c:v>0</c:v>
                </c:pt>
                <c:pt idx="61">
                  <c:v>2.598E-2</c:v>
                </c:pt>
              </c:numCache>
            </c:numRef>
          </c:yVal>
          <c:smooth val="0"/>
          <c:extLst>
            <c:ext xmlns:c16="http://schemas.microsoft.com/office/drawing/2014/chart" uri="{C3380CC4-5D6E-409C-BE32-E72D297353CC}">
              <c16:uniqueId val="{00000058-956A-456E-A399-DEEAAAA0A364}"/>
            </c:ext>
          </c:extLst>
        </c:ser>
        <c:ser>
          <c:idx val="14"/>
          <c:order val="14"/>
          <c:tx>
            <c:v>20/20 Sand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59-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5A-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5B-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5C-956A-456E-A399-DEEAAAA0A364}"/>
                </c:ext>
              </c:extLst>
            </c:dLbl>
            <c:dLbl>
              <c:idx val="6"/>
              <c:delete val="1"/>
              <c:extLst>
                <c:ext xmlns:c15="http://schemas.microsoft.com/office/drawing/2012/chart" uri="{CE6537A1-D6FC-4f65-9D91-7224C49458BB}"/>
                <c:ext xmlns:c16="http://schemas.microsoft.com/office/drawing/2014/chart" uri="{C3380CC4-5D6E-409C-BE32-E72D297353CC}">
                  <c16:uniqueId val="{0000005D-956A-456E-A399-DEEAAAA0A364}"/>
                </c:ext>
              </c:extLst>
            </c:dLbl>
            <c:dLbl>
              <c:idx val="7"/>
              <c:layout>
                <c:manualLayout>
                  <c:x val="-2.0456496449309951E-2"/>
                  <c:y val="1.8336713146695053E-2"/>
                </c:manualLayout>
              </c:layout>
              <c:tx>
                <c:strRef>
                  <c:f>ChartData!$BD$4</c:f>
                  <c:strCache>
                    <c:ptCount val="1"/>
                    <c:pt idx="0">
                      <c:v>10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{06601154-DF1C-4505-82F8-BF707B98C3DD}</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5E-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5F-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60-956A-456E-A399-DEEAAAA0A364}"/>
                </c:ext>
              </c:extLst>
            </c:dLbl>
            <c:dLbl>
              <c:idx val="12"/>
              <c:delete val="1"/>
              <c:extLst>
                <c:ext xmlns:c15="http://schemas.microsoft.com/office/drawing/2012/chart" uri="{CE6537A1-D6FC-4f65-9D91-7224C49458BB}"/>
                <c:ext xmlns:c16="http://schemas.microsoft.com/office/drawing/2014/chart" uri="{C3380CC4-5D6E-409C-BE32-E72D297353CC}">
                  <c16:uniqueId val="{00000061-956A-456E-A399-DEEAAAA0A364}"/>
                </c:ext>
              </c:extLst>
            </c:dLbl>
            <c:dLbl>
              <c:idx val="13"/>
              <c:layout>
                <c:manualLayout>
                  <c:x val="-2.0456496449310042E-2"/>
                  <c:y val="1.8336713146695053E-2"/>
                </c:manualLayout>
              </c:layout>
              <c:tx>
                <c:strRef>
                  <c:f>ChartData!$BD$6</c:f>
                  <c:strCache>
                    <c:ptCount val="1"/>
                    <c:pt idx="0">
                      <c:v>20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{39D72406-D6CD-4B1E-A0B4-608674CDC28A}</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62-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63-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64-956A-456E-A399-DEEAAAA0A364}"/>
                </c:ext>
              </c:extLst>
            </c:dLbl>
            <c:dLbl>
              <c:idx val="18"/>
              <c:delete val="1"/>
              <c:extLst>
                <c:ext xmlns:c15="http://schemas.microsoft.com/office/drawing/2012/chart" uri="{CE6537A1-D6FC-4f65-9D91-7224C49458BB}"/>
                <c:ext xmlns:c16="http://schemas.microsoft.com/office/drawing/2014/chart" uri="{C3380CC4-5D6E-409C-BE32-E72D297353CC}">
                  <c16:uniqueId val="{00000065-956A-456E-A399-DEEAAAA0A364}"/>
                </c:ext>
              </c:extLst>
            </c:dLbl>
            <c:dLbl>
              <c:idx val="19"/>
              <c:layout>
                <c:manualLayout>
                  <c:x val="-2.0456496449310042E-2"/>
                  <c:y val="1.8336713146695053E-2"/>
                </c:manualLayout>
              </c:layout>
              <c:tx>
                <c:strRef>
                  <c:f>ChartData!$BD$8</c:f>
                  <c:strCache>
                    <c:ptCount val="1"/>
                    <c:pt idx="0">
                      <c:v>30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{450A74A5-4358-4750-933C-7458A5D6975C}</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66-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67-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68-956A-456E-A399-DEEAAAA0A364}"/>
                </c:ext>
              </c:extLst>
            </c:dLbl>
            <c:dLbl>
              <c:idx val="24"/>
              <c:delete val="1"/>
              <c:extLst>
                <c:ext xmlns:c15="http://schemas.microsoft.com/office/drawing/2012/chart" uri="{CE6537A1-D6FC-4f65-9D91-7224C49458BB}"/>
                <c:ext xmlns:c16="http://schemas.microsoft.com/office/drawing/2014/chart" uri="{C3380CC4-5D6E-409C-BE32-E72D297353CC}">
                  <c16:uniqueId val="{00000069-956A-456E-A399-DEEAAAA0A364}"/>
                </c:ext>
              </c:extLst>
            </c:dLbl>
            <c:dLbl>
              <c:idx val="25"/>
              <c:layout>
                <c:manualLayout>
                  <c:x val="-2.0456496449310042E-2"/>
                  <c:y val="1.8336713146695053E-2"/>
                </c:manualLayout>
              </c:layout>
              <c:tx>
                <c:strRef>
                  <c:f>ChartData!$BD$10</c:f>
                  <c:strCache>
                    <c:ptCount val="1"/>
                    <c:pt idx="0">
                      <c:v>40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{4B96930C-86C7-4B6B-B00F-9BFA09652440}</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6A-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6B-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6C-956A-456E-A399-DEEAAAA0A364}"/>
                </c:ext>
              </c:extLst>
            </c:dLbl>
            <c:dLbl>
              <c:idx val="30"/>
              <c:delete val="1"/>
              <c:extLst>
                <c:ext xmlns:c15="http://schemas.microsoft.com/office/drawing/2012/chart" uri="{CE6537A1-D6FC-4f65-9D91-7224C49458BB}"/>
                <c:ext xmlns:c16="http://schemas.microsoft.com/office/drawing/2014/chart" uri="{C3380CC4-5D6E-409C-BE32-E72D297353CC}">
                  <c16:uniqueId val="{0000006D-956A-456E-A399-DEEAAAA0A364}"/>
                </c:ext>
              </c:extLst>
            </c:dLbl>
            <c:dLbl>
              <c:idx val="31"/>
              <c:layout>
                <c:manualLayout>
                  <c:x val="-2.0456496449310042E-2"/>
                  <c:y val="1.8336713146695053E-2"/>
                </c:manualLayout>
              </c:layout>
              <c:tx>
                <c:strRef>
                  <c:f>ChartData!$BD$12</c:f>
                  <c:strCache>
                    <c:ptCount val="1"/>
                    <c:pt idx="0">
                      <c:v>50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{CCBBCBE7-DE1E-4BB9-870E-A8B9EF364E47}</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6E-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6F-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70-956A-456E-A399-DEEAAAA0A364}"/>
                </c:ext>
              </c:extLst>
            </c:dLbl>
            <c:dLbl>
              <c:idx val="36"/>
              <c:delete val="1"/>
              <c:extLst>
                <c:ext xmlns:c15="http://schemas.microsoft.com/office/drawing/2012/chart" uri="{CE6537A1-D6FC-4f65-9D91-7224C49458BB}"/>
                <c:ext xmlns:c16="http://schemas.microsoft.com/office/drawing/2014/chart" uri="{C3380CC4-5D6E-409C-BE32-E72D297353CC}">
                  <c16:uniqueId val="{00000071-956A-456E-A399-DEEAAAA0A364}"/>
                </c:ext>
              </c:extLst>
            </c:dLbl>
            <c:dLbl>
              <c:idx val="37"/>
              <c:layout>
                <c:manualLayout>
                  <c:x val="-2.0456496449310083E-2"/>
                  <c:y val="2.0628621824781597E-2"/>
                </c:manualLayout>
              </c:layout>
              <c:tx>
                <c:strRef>
                  <c:f>ChartData!$BD$14</c:f>
                  <c:strCache>
                    <c:ptCount val="1"/>
                    <c:pt idx="0">
                      <c:v>60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{B033710D-35FE-4055-8BCE-A38415C8B65F}</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72-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73-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74-956A-456E-A399-DEEAAAA0A364}"/>
                </c:ext>
              </c:extLst>
            </c:dLbl>
            <c:dLbl>
              <c:idx val="42"/>
              <c:delete val="1"/>
              <c:extLst>
                <c:ext xmlns:c15="http://schemas.microsoft.com/office/drawing/2012/chart" uri="{CE6537A1-D6FC-4f65-9D91-7224C49458BB}"/>
                <c:ext xmlns:c16="http://schemas.microsoft.com/office/drawing/2014/chart" uri="{C3380CC4-5D6E-409C-BE32-E72D297353CC}">
                  <c16:uniqueId val="{00000075-956A-456E-A399-DEEAAAA0A364}"/>
                </c:ext>
              </c:extLst>
            </c:dLbl>
            <c:dLbl>
              <c:idx val="43"/>
              <c:layout>
                <c:manualLayout>
                  <c:x val="-2.0456496449310042E-2"/>
                  <c:y val="1.8336713146695053E-2"/>
                </c:manualLayout>
              </c:layout>
              <c:tx>
                <c:strRef>
                  <c:f>ChartData!$BD$16</c:f>
                  <c:strCache>
                    <c:ptCount val="1"/>
                    <c:pt idx="0">
                      <c:v>70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{791494DF-0D78-4514-A9E1-B458B13C2AB6}</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76-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77-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78-956A-456E-A399-DEEAAAA0A364}"/>
                </c:ext>
              </c:extLst>
            </c:dLbl>
            <c:dLbl>
              <c:idx val="48"/>
              <c:delete val="1"/>
              <c:extLst>
                <c:ext xmlns:c15="http://schemas.microsoft.com/office/drawing/2012/chart" uri="{CE6537A1-D6FC-4f65-9D91-7224C49458BB}"/>
                <c:ext xmlns:c16="http://schemas.microsoft.com/office/drawing/2014/chart" uri="{C3380CC4-5D6E-409C-BE32-E72D297353CC}">
                  <c16:uniqueId val="{00000079-956A-456E-A399-DEEAAAA0A364}"/>
                </c:ext>
              </c:extLst>
            </c:dLbl>
            <c:dLbl>
              <c:idx val="49"/>
              <c:layout>
                <c:manualLayout>
                  <c:x val="-2.2861561250656422E-2"/>
                  <c:y val="1.8336713146695053E-2"/>
                </c:manualLayout>
              </c:layout>
              <c:tx>
                <c:strRef>
                  <c:f>ChartData!$BD$18</c:f>
                  <c:strCache>
                    <c:ptCount val="1"/>
                    <c:pt idx="0">
                      <c:v>80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{3823EBB9-8E1D-4CCC-B2FE-5033EE7635AE}</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7A-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7B-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7C-956A-456E-A399-DEEAAAA0A364}"/>
                </c:ext>
              </c:extLst>
            </c:dLbl>
            <c:dLbl>
              <c:idx val="54"/>
              <c:delete val="1"/>
              <c:extLst>
                <c:ext xmlns:c15="http://schemas.microsoft.com/office/drawing/2012/chart" uri="{CE6537A1-D6FC-4f65-9D91-7224C49458BB}"/>
                <c:ext xmlns:c16="http://schemas.microsoft.com/office/drawing/2014/chart" uri="{C3380CC4-5D6E-409C-BE32-E72D297353CC}">
                  <c16:uniqueId val="{0000007D-956A-456E-A399-DEEAAAA0A364}"/>
                </c:ext>
              </c:extLst>
            </c:dLbl>
            <c:dLbl>
              <c:idx val="55"/>
              <c:layout>
                <c:manualLayout>
                  <c:x val="-2.0456496449310042E-2"/>
                  <c:y val="1.8336713146695053E-2"/>
                </c:manualLayout>
              </c:layout>
              <c:tx>
                <c:strRef>
                  <c:f>ChartData!$BD$20</c:f>
                  <c:strCache>
                    <c:ptCount val="1"/>
                    <c:pt idx="0">
                      <c:v>90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{0DD562D7-380F-4ED3-BC80-EC3516C5EAC3}</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7E-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7F-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80-956A-456E-A399-DEEAAAA0A364}"/>
                </c:ext>
              </c:extLst>
            </c:dLbl>
            <c:dLbl>
              <c:idx val="60"/>
              <c:delete val="1"/>
              <c:extLst>
                <c:ext xmlns:c15="http://schemas.microsoft.com/office/drawing/2012/chart" uri="{CE6537A1-D6FC-4f65-9D91-7224C49458BB}"/>
                <c:ext xmlns:c16="http://schemas.microsoft.com/office/drawing/2014/chart" uri="{C3380CC4-5D6E-409C-BE32-E72D297353CC}">
                  <c16:uniqueId val="{00000081-956A-456E-A399-DEEAAAA0A364}"/>
                </c:ext>
              </c:extLst>
            </c:dLbl>
            <c:dLbl>
              <c:idx val="61"/>
              <c:layout>
                <c:manualLayout>
                  <c:x val="-2.3132178384603193E-2"/>
                  <c:y val="2.2753058750642766E-2"/>
                </c:manualLayout>
              </c:layout>
              <c:tx>
                <c:strRef>
                  <c:f>ChartData!$BD$22</c:f>
                  <c:strCache>
                    <c:ptCount val="1"/>
                    <c:pt idx="0">
                      <c:v>100</c:v>
                    </c:pt>
                  </c:strCache>
                </c:strRef>
              </c:tx>
              <c:spPr>
                <a:noFill/>
                <a:ln>
                  <a:noFill/>
                </a:ln>
                <a:effectLst/>
              </c:spPr>
              <c:txPr>
                <a:bodyPr rot="3600000"/>
                <a:lstStyle/>
                <a:p>
                  <a:pPr>
                    <a:defRPr/>
                  </a:pPr>
                  <a:endParaRPr lang="en-BE"/>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{E24E4E03-08C8-4CB5-94D3-5314D720DA84}</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82-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ChartData!$AO$3:$AO$64</c:f>
              <c:numCache>
                <c:formatCode>0.000</c:formatCode>
                <c:ptCount val="62"/>
                <c:pt idx="0">
                  <c:v>1</c:v>
                </c:pt>
                <c:pt idx="1">
                  <c:v>1.0149999999999999</c:v>
                </c:pt>
                <c:pt idx="3">
                  <c:v>0.95</c:v>
                </c:pt>
                <c:pt idx="4">
                  <c:v>0.96499999999999997</c:v>
                </c:pt>
                <c:pt idx="6">
                  <c:v>0.89999999999999991</c:v>
                </c:pt>
                <c:pt idx="7">
                  <c:v>0.91499999999999992</c:v>
                </c:pt>
                <c:pt idx="9">
                  <c:v>0.85</c:v>
                </c:pt>
                <c:pt idx="10">
                  <c:v>0.86499999999999999</c:v>
                </c:pt>
                <c:pt idx="12">
                  <c:v>0.8</c:v>
                </c:pt>
                <c:pt idx="13">
                  <c:v>0.81500000000000006</c:v>
                </c:pt>
                <c:pt idx="15">
                  <c:v>0.75</c:v>
                </c:pt>
                <c:pt idx="16">
                  <c:v>0.76500000000000001</c:v>
                </c:pt>
                <c:pt idx="18">
                  <c:v>0.7</c:v>
                </c:pt>
                <c:pt idx="19">
                  <c:v>0.71499999999999997</c:v>
                </c:pt>
                <c:pt idx="21">
                  <c:v>0.65</c:v>
                </c:pt>
                <c:pt idx="22">
                  <c:v>0.66500000000000004</c:v>
                </c:pt>
                <c:pt idx="24">
                  <c:v>0.6</c:v>
                </c:pt>
                <c:pt idx="25">
                  <c:v>0.61499999999999999</c:v>
                </c:pt>
                <c:pt idx="27">
                  <c:v>0.55000000000000004</c:v>
                </c:pt>
                <c:pt idx="28">
                  <c:v>0.56500000000000006</c:v>
                </c:pt>
                <c:pt idx="30">
                  <c:v>0.5</c:v>
                </c:pt>
                <c:pt idx="31">
                  <c:v>0.51500000000000001</c:v>
                </c:pt>
                <c:pt idx="33">
                  <c:v>0.45</c:v>
                </c:pt>
                <c:pt idx="34">
                  <c:v>0.46500000000000002</c:v>
                </c:pt>
                <c:pt idx="36">
                  <c:v>0.4</c:v>
                </c:pt>
                <c:pt idx="37">
                  <c:v>0.41500000000000004</c:v>
                </c:pt>
                <c:pt idx="39">
                  <c:v>0.35</c:v>
                </c:pt>
                <c:pt idx="40">
                  <c:v>0.36499999999999999</c:v>
                </c:pt>
                <c:pt idx="42">
                  <c:v>0.3</c:v>
                </c:pt>
                <c:pt idx="43">
                  <c:v>0.315</c:v>
                </c:pt>
                <c:pt idx="45">
                  <c:v>0.25</c:v>
                </c:pt>
                <c:pt idx="46">
                  <c:v>0.26500000000000001</c:v>
                </c:pt>
                <c:pt idx="48">
                  <c:v>0.2</c:v>
                </c:pt>
                <c:pt idx="49">
                  <c:v>0.21500000000000002</c:v>
                </c:pt>
                <c:pt idx="51">
                  <c:v>0.15</c:v>
                </c:pt>
                <c:pt idx="52">
                  <c:v>0.16499999999999998</c:v>
                </c:pt>
                <c:pt idx="54">
                  <c:v>0.1</c:v>
                </c:pt>
                <c:pt idx="55">
                  <c:v>0.115</c:v>
                </c:pt>
                <c:pt idx="57">
                  <c:v>0.05</c:v>
                </c:pt>
                <c:pt idx="58">
                  <c:v>6.5000000000000002E-2</c:v>
                </c:pt>
                <c:pt idx="60">
                  <c:v>0</c:v>
                </c:pt>
                <c:pt idx="61">
                  <c:v>1.4999999999999999E-2</c:v>
                </c:pt>
              </c:numCache>
            </c:numRef>
          </c:xVal>
          <c:yVal>
            <c:numRef>
              <c:f>ChartData!$AP$3:$AP$64</c:f>
              <c:numCache>
                <c:formatCode>0.000</c:formatCode>
                <c:ptCount val="62"/>
                <c:pt idx="0">
                  <c:v>0</c:v>
                </c:pt>
                <c:pt idx="1">
                  <c:v>-2.598E-2</c:v>
                </c:pt>
                <c:pt idx="3">
                  <c:v>0</c:v>
                </c:pt>
                <c:pt idx="4">
                  <c:v>-2.598E-2</c:v>
                </c:pt>
                <c:pt idx="6">
                  <c:v>0</c:v>
                </c:pt>
                <c:pt idx="7">
                  <c:v>-2.598E-2</c:v>
                </c:pt>
                <c:pt idx="9">
                  <c:v>0</c:v>
                </c:pt>
                <c:pt idx="10">
                  <c:v>-2.598E-2</c:v>
                </c:pt>
                <c:pt idx="12">
                  <c:v>0</c:v>
                </c:pt>
                <c:pt idx="13">
                  <c:v>-2.598E-2</c:v>
                </c:pt>
                <c:pt idx="15">
                  <c:v>0</c:v>
                </c:pt>
                <c:pt idx="16">
                  <c:v>-2.598E-2</c:v>
                </c:pt>
                <c:pt idx="18">
                  <c:v>0</c:v>
                </c:pt>
                <c:pt idx="19">
                  <c:v>-2.598E-2</c:v>
                </c:pt>
                <c:pt idx="21">
                  <c:v>0</c:v>
                </c:pt>
                <c:pt idx="22">
                  <c:v>-2.598E-2</c:v>
                </c:pt>
                <c:pt idx="24">
                  <c:v>0</c:v>
                </c:pt>
                <c:pt idx="25">
                  <c:v>-2.598E-2</c:v>
                </c:pt>
                <c:pt idx="27">
                  <c:v>0</c:v>
                </c:pt>
                <c:pt idx="28">
                  <c:v>-2.598E-2</c:v>
                </c:pt>
                <c:pt idx="30">
                  <c:v>0</c:v>
                </c:pt>
                <c:pt idx="31">
                  <c:v>-2.598E-2</c:v>
                </c:pt>
                <c:pt idx="33">
                  <c:v>0</c:v>
                </c:pt>
                <c:pt idx="34">
                  <c:v>-2.598E-2</c:v>
                </c:pt>
                <c:pt idx="36">
                  <c:v>0</c:v>
                </c:pt>
                <c:pt idx="37">
                  <c:v>-2.598E-2</c:v>
                </c:pt>
                <c:pt idx="39">
                  <c:v>0</c:v>
                </c:pt>
                <c:pt idx="40">
                  <c:v>-2.598E-2</c:v>
                </c:pt>
                <c:pt idx="42">
                  <c:v>0</c:v>
                </c:pt>
                <c:pt idx="43">
                  <c:v>-2.598E-2</c:v>
                </c:pt>
                <c:pt idx="45">
                  <c:v>0</c:v>
                </c:pt>
                <c:pt idx="46">
                  <c:v>-2.598E-2</c:v>
                </c:pt>
                <c:pt idx="48">
                  <c:v>0</c:v>
                </c:pt>
                <c:pt idx="49">
                  <c:v>-2.598E-2</c:v>
                </c:pt>
                <c:pt idx="51">
                  <c:v>0</c:v>
                </c:pt>
                <c:pt idx="52">
                  <c:v>-2.598E-2</c:v>
                </c:pt>
                <c:pt idx="54">
                  <c:v>0</c:v>
                </c:pt>
                <c:pt idx="55">
                  <c:v>-2.598E-2</c:v>
                </c:pt>
                <c:pt idx="57">
                  <c:v>0</c:v>
                </c:pt>
                <c:pt idx="58">
                  <c:v>-2.598E-2</c:v>
                </c:pt>
                <c:pt idx="60">
                  <c:v>0</c:v>
                </c:pt>
                <c:pt idx="61">
                  <c:v>-2.598E-2</c:v>
                </c:pt>
              </c:numCache>
            </c:numRef>
          </c:yVal>
          <c:smooth val="0"/>
          <c:extLst>
            <c:ext xmlns:c16="http://schemas.microsoft.com/office/drawing/2014/chart" uri="{C3380CC4-5D6E-409C-BE32-E72D297353CC}">
              <c16:uniqueId val="{00000083-956A-456E-A399-DEEAAAA0A364}"/>
            </c:ext>
          </c:extLst>
        </c:ser>
        <c:ser>
          <c:idx val="15"/>
          <c:order val="15"/>
          <c:tx>
            <c:v>Sand</c:v>
          </c:tx>
          <c:spPr>
            <a:ln w="12700">
              <a:solidFill>
                <a:schemeClr val="tx1"/>
              </a:solidFill>
            </a:ln>
          </c:spPr>
          <c:marker>
            <c:spPr>
              <a:noFill/>
              <a:ln>
                <a:noFill/>
              </a:ln>
            </c:spPr>
          </c:marker>
          <c:xVal>
            <c:numRef>
              <c:f>ChartData!$AU$3:$AU$6</c:f>
              <c:numCache>
                <c:formatCode>0.000</c:formatCode>
                <c:ptCount val="4"/>
                <c:pt idx="0">
                  <c:v>0.05</c:v>
                </c:pt>
                <c:pt idx="1">
                  <c:v>0.15</c:v>
                </c:pt>
                <c:pt idx="2">
                  <c:v>0</c:v>
                </c:pt>
                <c:pt idx="3">
                  <c:v>0.05</c:v>
                </c:pt>
              </c:numCache>
            </c:numRef>
          </c:xVal>
          <c:yVal>
            <c:numRef>
              <c:f>ChartData!$AV$3:$AV$6</c:f>
              <c:numCache>
                <c:formatCode>0.000</c:formatCode>
                <c:ptCount val="4"/>
                <c:pt idx="0">
                  <c:v>8.6602540378443879E-2</c:v>
                </c:pt>
                <c:pt idx="1">
                  <c:v>0</c:v>
                </c:pt>
                <c:pt idx="2">
                  <c:v>0</c:v>
                </c:pt>
                <c:pt idx="3">
                  <c:v>8.6602540378443879E-2</c:v>
                </c:pt>
              </c:numCache>
            </c:numRef>
          </c:yVal>
          <c:smooth val="0"/>
          <c:extLst>
            <c:ext xmlns:c16="http://schemas.microsoft.com/office/drawing/2014/chart" uri="{C3380CC4-5D6E-409C-BE32-E72D297353CC}">
              <c16:uniqueId val="{00000084-956A-456E-A399-DEEAAAA0A364}"/>
            </c:ext>
          </c:extLst>
        </c:ser>
        <c:ser>
          <c:idx val="16"/>
          <c:order val="16"/>
          <c:tx>
            <c:v>Loamy Sand</c:v>
          </c:tx>
          <c:spPr>
            <a:ln w="12700">
              <a:solidFill>
                <a:schemeClr val="tx1"/>
              </a:solidFill>
            </a:ln>
          </c:spPr>
          <c:marker>
            <c:spPr>
              <a:noFill/>
              <a:ln>
                <a:noFill/>
              </a:ln>
            </c:spPr>
          </c:marker>
          <c:xVal>
            <c:numRef>
              <c:f>ChartData!$AU$10:$AU$14</c:f>
              <c:numCache>
                <c:formatCode>0.000</c:formatCode>
                <c:ptCount val="5"/>
                <c:pt idx="0">
                  <c:v>7.4999999999999997E-2</c:v>
                </c:pt>
                <c:pt idx="1">
                  <c:v>0.3</c:v>
                </c:pt>
                <c:pt idx="2">
                  <c:v>0.15</c:v>
                </c:pt>
                <c:pt idx="3">
                  <c:v>0.05</c:v>
                </c:pt>
                <c:pt idx="4">
                  <c:v>7.4999999999999997E-2</c:v>
                </c:pt>
              </c:numCache>
            </c:numRef>
          </c:xVal>
          <c:yVal>
            <c:numRef>
              <c:f>ChartData!$AV$10:$AV$14</c:f>
              <c:numCache>
                <c:formatCode>0.000</c:formatCode>
                <c:ptCount val="5"/>
                <c:pt idx="0">
                  <c:v>0.12990381056766581</c:v>
                </c:pt>
                <c:pt idx="1">
                  <c:v>0</c:v>
                </c:pt>
                <c:pt idx="2">
                  <c:v>0</c:v>
                </c:pt>
                <c:pt idx="3">
                  <c:v>8.6602540378443879E-2</c:v>
                </c:pt>
                <c:pt idx="4">
                  <c:v>0.12990381056766581</c:v>
                </c:pt>
              </c:numCache>
            </c:numRef>
          </c:yVal>
          <c:smooth val="0"/>
          <c:extLst>
            <c:ext xmlns:c16="http://schemas.microsoft.com/office/drawing/2014/chart" uri="{C3380CC4-5D6E-409C-BE32-E72D297353CC}">
              <c16:uniqueId val="{00000085-956A-456E-A399-DEEAAAA0A364}"/>
            </c:ext>
          </c:extLst>
        </c:ser>
        <c:ser>
          <c:idx val="17"/>
          <c:order val="17"/>
          <c:tx>
            <c:v>Sandy Loam</c:v>
          </c:tx>
          <c:spPr>
            <a:ln w="12700">
              <a:solidFill>
                <a:schemeClr val="tx1"/>
              </a:solidFill>
            </a:ln>
          </c:spPr>
          <c:marker>
            <c:spPr>
              <a:noFill/>
              <a:ln>
                <a:noFill/>
              </a:ln>
            </c:spPr>
          </c:marker>
          <c:xVal>
            <c:numRef>
              <c:f>ChartData!$AU$18:$AU$25</c:f>
              <c:numCache>
                <c:formatCode>0.000</c:formatCode>
                <c:ptCount val="8"/>
                <c:pt idx="0">
                  <c:v>9.9999999999999992E-2</c:v>
                </c:pt>
                <c:pt idx="1">
                  <c:v>0.38000000000000017</c:v>
                </c:pt>
                <c:pt idx="2">
                  <c:v>0.44500000000000023</c:v>
                </c:pt>
                <c:pt idx="3">
                  <c:v>0.53500000000000025</c:v>
                </c:pt>
                <c:pt idx="4">
                  <c:v>0.5</c:v>
                </c:pt>
                <c:pt idx="5">
                  <c:v>0.3</c:v>
                </c:pt>
                <c:pt idx="6">
                  <c:v>7.4999999999999997E-2</c:v>
                </c:pt>
                <c:pt idx="7">
                  <c:v>9.9999999999999992E-2</c:v>
                </c:pt>
              </c:numCache>
            </c:numRef>
          </c:xVal>
          <c:yVal>
            <c:numRef>
              <c:f>ChartData!$AV$18:$AV$25</c:f>
              <c:numCache>
                <c:formatCode>0.000</c:formatCode>
                <c:ptCount val="8"/>
                <c:pt idx="0">
                  <c:v>0.17320508075688776</c:v>
                </c:pt>
                <c:pt idx="1">
                  <c:v>0.17320508075688776</c:v>
                </c:pt>
                <c:pt idx="2">
                  <c:v>6.0621778264910706E-2</c:v>
                </c:pt>
                <c:pt idx="3">
                  <c:v>6.0621778264910706E-2</c:v>
                </c:pt>
                <c:pt idx="4">
                  <c:v>0</c:v>
                </c:pt>
                <c:pt idx="5">
                  <c:v>0</c:v>
                </c:pt>
                <c:pt idx="6">
                  <c:v>0.12990381056766581</c:v>
                </c:pt>
                <c:pt idx="7">
                  <c:v>0.17320508075688776</c:v>
                </c:pt>
              </c:numCache>
            </c:numRef>
          </c:yVal>
          <c:smooth val="0"/>
          <c:extLst>
            <c:ext xmlns:c16="http://schemas.microsoft.com/office/drawing/2014/chart" uri="{C3380CC4-5D6E-409C-BE32-E72D297353CC}">
              <c16:uniqueId val="{00000086-956A-456E-A399-DEEAAAA0A364}"/>
            </c:ext>
          </c:extLst>
        </c:ser>
        <c:ser>
          <c:idx val="18"/>
          <c:order val="18"/>
          <c:tx>
            <c:v>Sandy Clay Loam</c:v>
          </c:tx>
          <c:spPr>
            <a:ln w="12700">
              <a:solidFill>
                <a:schemeClr val="tx1"/>
              </a:solidFill>
            </a:ln>
          </c:spPr>
          <c:marker>
            <c:spPr>
              <a:noFill/>
              <a:ln>
                <a:noFill/>
              </a:ln>
            </c:spPr>
          </c:marker>
          <c:xVal>
            <c:numRef>
              <c:f>ChartData!$AU$29:$AU$34</c:f>
              <c:numCache>
                <c:formatCode>0.000</c:formatCode>
                <c:ptCount val="6"/>
                <c:pt idx="0">
                  <c:v>0.17500000000000002</c:v>
                </c:pt>
                <c:pt idx="1">
                  <c:v>0.37500000000000017</c:v>
                </c:pt>
                <c:pt idx="2">
                  <c:v>0.4150000000000002</c:v>
                </c:pt>
                <c:pt idx="3">
                  <c:v>0.38000000000000017</c:v>
                </c:pt>
                <c:pt idx="4">
                  <c:v>9.9999999999999992E-2</c:v>
                </c:pt>
                <c:pt idx="5">
                  <c:v>0.17500000000000002</c:v>
                </c:pt>
              </c:numCache>
            </c:numRef>
          </c:xVal>
          <c:yVal>
            <c:numRef>
              <c:f>ChartData!$AV$29:$AV$34</c:f>
              <c:numCache>
                <c:formatCode>0.000</c:formatCode>
                <c:ptCount val="6"/>
                <c:pt idx="0">
                  <c:v>0.30310889132455349</c:v>
                </c:pt>
                <c:pt idx="1">
                  <c:v>0.30310889132455349</c:v>
                </c:pt>
                <c:pt idx="2">
                  <c:v>0.23382685902179845</c:v>
                </c:pt>
                <c:pt idx="3">
                  <c:v>0.17320508075688776</c:v>
                </c:pt>
                <c:pt idx="4">
                  <c:v>0.17320508075688776</c:v>
                </c:pt>
                <c:pt idx="5">
                  <c:v>0.30310889132455349</c:v>
                </c:pt>
              </c:numCache>
            </c:numRef>
          </c:yVal>
          <c:smooth val="0"/>
          <c:extLst>
            <c:ext xmlns:c16="http://schemas.microsoft.com/office/drawing/2014/chart" uri="{C3380CC4-5D6E-409C-BE32-E72D297353CC}">
              <c16:uniqueId val="{00000087-956A-456E-A399-DEEAAAA0A364}"/>
            </c:ext>
          </c:extLst>
        </c:ser>
        <c:ser>
          <c:idx val="19"/>
          <c:order val="19"/>
          <c:tx>
            <c:v>Loam</c:v>
          </c:tx>
          <c:spPr>
            <a:ln w="12700">
              <a:solidFill>
                <a:schemeClr val="tx1"/>
              </a:solidFill>
            </a:ln>
          </c:spPr>
          <c:marker>
            <c:spPr>
              <a:noFill/>
              <a:ln>
                <a:noFill/>
              </a:ln>
            </c:spPr>
          </c:marker>
          <c:xVal>
            <c:numRef>
              <c:f>ChartData!$AU$38:$AU$43</c:f>
              <c:numCache>
                <c:formatCode>0.000</c:formatCode>
                <c:ptCount val="6"/>
                <c:pt idx="0">
                  <c:v>0.4150000000000002</c:v>
                </c:pt>
                <c:pt idx="1">
                  <c:v>0.63500000000000034</c:v>
                </c:pt>
                <c:pt idx="2">
                  <c:v>0.53500000000000025</c:v>
                </c:pt>
                <c:pt idx="3">
                  <c:v>0.44500000000000023</c:v>
                </c:pt>
                <c:pt idx="4">
                  <c:v>0.38000000000000017</c:v>
                </c:pt>
                <c:pt idx="5">
                  <c:v>0.4150000000000002</c:v>
                </c:pt>
              </c:numCache>
            </c:numRef>
          </c:xVal>
          <c:yVal>
            <c:numRef>
              <c:f>ChartData!$AV$38:$AV$43</c:f>
              <c:numCache>
                <c:formatCode>0.000</c:formatCode>
                <c:ptCount val="6"/>
                <c:pt idx="0">
                  <c:v>0.23382685902179845</c:v>
                </c:pt>
                <c:pt idx="1">
                  <c:v>0.23382685902179845</c:v>
                </c:pt>
                <c:pt idx="2">
                  <c:v>6.0621778264910706E-2</c:v>
                </c:pt>
                <c:pt idx="3">
                  <c:v>6.0621778264910706E-2</c:v>
                </c:pt>
                <c:pt idx="4">
                  <c:v>0.17320508075688776</c:v>
                </c:pt>
                <c:pt idx="5">
                  <c:v>0.23382685902179845</c:v>
                </c:pt>
              </c:numCache>
            </c:numRef>
          </c:yVal>
          <c:smooth val="0"/>
          <c:extLst>
            <c:ext xmlns:c16="http://schemas.microsoft.com/office/drawing/2014/chart" uri="{C3380CC4-5D6E-409C-BE32-E72D297353CC}">
              <c16:uniqueId val="{00000088-956A-456E-A399-DEEAAAA0A364}"/>
            </c:ext>
          </c:extLst>
        </c:ser>
        <c:ser>
          <c:idx val="20"/>
          <c:order val="20"/>
          <c:tx>
            <c:v>Sandy Clay</c:v>
          </c:tx>
          <c:spPr>
            <a:ln w="12700">
              <a:solidFill>
                <a:schemeClr val="tx1"/>
              </a:solidFill>
            </a:ln>
          </c:spPr>
          <c:marker>
            <c:spPr>
              <a:noFill/>
              <a:ln>
                <a:noFill/>
              </a:ln>
            </c:spPr>
          </c:marker>
          <c:xVal>
            <c:numRef>
              <c:f>ChartData!$AX$3:$AX$6</c:f>
              <c:numCache>
                <c:formatCode>0.000</c:formatCode>
                <c:ptCount val="4"/>
                <c:pt idx="0">
                  <c:v>0.27500000000000008</c:v>
                </c:pt>
                <c:pt idx="1">
                  <c:v>0.37500000000000017</c:v>
                </c:pt>
                <c:pt idx="2">
                  <c:v>0.17500000000000002</c:v>
                </c:pt>
                <c:pt idx="3">
                  <c:v>0.27500000000000008</c:v>
                </c:pt>
              </c:numCache>
            </c:numRef>
          </c:xVal>
          <c:yVal>
            <c:numRef>
              <c:f>ChartData!$AY$3:$AY$6</c:f>
              <c:numCache>
                <c:formatCode>0.000</c:formatCode>
                <c:ptCount val="4"/>
                <c:pt idx="0">
                  <c:v>0.47631397208144133</c:v>
                </c:pt>
                <c:pt idx="1">
                  <c:v>0.30310889132455349</c:v>
                </c:pt>
                <c:pt idx="2">
                  <c:v>0.30310889132455349</c:v>
                </c:pt>
                <c:pt idx="3">
                  <c:v>0.47631397208144133</c:v>
                </c:pt>
              </c:numCache>
            </c:numRef>
          </c:yVal>
          <c:smooth val="0"/>
          <c:extLst>
            <c:ext xmlns:c16="http://schemas.microsoft.com/office/drawing/2014/chart" uri="{C3380CC4-5D6E-409C-BE32-E72D297353CC}">
              <c16:uniqueId val="{00000089-956A-456E-A399-DEEAAAA0A364}"/>
            </c:ext>
          </c:extLst>
        </c:ser>
        <c:ser>
          <c:idx val="21"/>
          <c:order val="21"/>
          <c:tx>
            <c:v>Clay Loam</c:v>
          </c:tx>
          <c:spPr>
            <a:ln w="12700">
              <a:solidFill>
                <a:schemeClr val="tx1"/>
              </a:solidFill>
            </a:ln>
          </c:spPr>
          <c:marker>
            <c:spPr>
              <a:noFill/>
              <a:ln>
                <a:noFill/>
              </a:ln>
            </c:spPr>
          </c:marker>
          <c:xVal>
            <c:numRef>
              <c:f>ChartData!$AX$10:$AX$14</c:f>
              <c:numCache>
                <c:formatCode>0.000</c:formatCode>
                <c:ptCount val="5"/>
                <c:pt idx="0">
                  <c:v>0.35000000000000014</c:v>
                </c:pt>
                <c:pt idx="1">
                  <c:v>0.60000000000000031</c:v>
                </c:pt>
                <c:pt idx="2">
                  <c:v>0.66500000000000037</c:v>
                </c:pt>
                <c:pt idx="3">
                  <c:v>0.4150000000000002</c:v>
                </c:pt>
                <c:pt idx="4">
                  <c:v>0.35000000000000014</c:v>
                </c:pt>
              </c:numCache>
            </c:numRef>
          </c:xVal>
          <c:yVal>
            <c:numRef>
              <c:f>ChartData!$AY$10:$AY$14</c:f>
              <c:numCache>
                <c:formatCode>0.000</c:formatCode>
                <c:ptCount val="5"/>
                <c:pt idx="0">
                  <c:v>0.34641016151377552</c:v>
                </c:pt>
                <c:pt idx="1">
                  <c:v>0.34641016151377552</c:v>
                </c:pt>
                <c:pt idx="2">
                  <c:v>0.23382685902179845</c:v>
                </c:pt>
                <c:pt idx="3">
                  <c:v>0.23382685902179845</c:v>
                </c:pt>
                <c:pt idx="4">
                  <c:v>0.34641016151377552</c:v>
                </c:pt>
              </c:numCache>
            </c:numRef>
          </c:yVal>
          <c:smooth val="0"/>
          <c:extLst>
            <c:ext xmlns:c16="http://schemas.microsoft.com/office/drawing/2014/chart" uri="{C3380CC4-5D6E-409C-BE32-E72D297353CC}">
              <c16:uniqueId val="{0000008A-956A-456E-A399-DEEAAAA0A364}"/>
            </c:ext>
          </c:extLst>
        </c:ser>
        <c:ser>
          <c:idx val="22"/>
          <c:order val="22"/>
          <c:tx>
            <c:v>Silty Clay</c:v>
          </c:tx>
          <c:spPr>
            <a:ln w="12700">
              <a:solidFill>
                <a:schemeClr val="tx1"/>
              </a:solidFill>
            </a:ln>
          </c:spPr>
          <c:marker>
            <c:spPr>
              <a:noFill/>
              <a:ln>
                <a:noFill/>
              </a:ln>
            </c:spPr>
          </c:marker>
          <c:xVal>
            <c:numRef>
              <c:f>ChartData!$AX$18:$AX$21</c:f>
              <c:numCache>
                <c:formatCode>0.000</c:formatCode>
                <c:ptCount val="4"/>
                <c:pt idx="0">
                  <c:v>0.7</c:v>
                </c:pt>
                <c:pt idx="1">
                  <c:v>0.8</c:v>
                </c:pt>
                <c:pt idx="2">
                  <c:v>0.60000000000000031</c:v>
                </c:pt>
                <c:pt idx="3">
                  <c:v>0.7</c:v>
                </c:pt>
              </c:numCache>
            </c:numRef>
          </c:xVal>
          <c:yVal>
            <c:numRef>
              <c:f>ChartData!$AY$18:$AY$21</c:f>
              <c:numCache>
                <c:formatCode>0.000</c:formatCode>
                <c:ptCount val="4"/>
                <c:pt idx="0">
                  <c:v>0.51961524227066325</c:v>
                </c:pt>
                <c:pt idx="1">
                  <c:v>0.34641016151377552</c:v>
                </c:pt>
                <c:pt idx="2">
                  <c:v>0.34641016151377552</c:v>
                </c:pt>
                <c:pt idx="3">
                  <c:v>0.51961524227066325</c:v>
                </c:pt>
              </c:numCache>
            </c:numRef>
          </c:yVal>
          <c:smooth val="0"/>
          <c:extLst>
            <c:ext xmlns:c16="http://schemas.microsoft.com/office/drawing/2014/chart" uri="{C3380CC4-5D6E-409C-BE32-E72D297353CC}">
              <c16:uniqueId val="{0000008B-956A-456E-A399-DEEAAAA0A364}"/>
            </c:ext>
          </c:extLst>
        </c:ser>
        <c:ser>
          <c:idx val="23"/>
          <c:order val="23"/>
          <c:tx>
            <c:v>Silty Clay Loam</c:v>
          </c:tx>
          <c:spPr>
            <a:ln w="12700">
              <a:solidFill>
                <a:schemeClr val="tx1"/>
              </a:solidFill>
            </a:ln>
          </c:spPr>
          <c:marker>
            <c:spPr>
              <a:noFill/>
              <a:ln>
                <a:noFill/>
              </a:ln>
            </c:spPr>
          </c:marker>
          <c:xVal>
            <c:numRef>
              <c:f>ChartData!$AX$25:$AX$29</c:f>
              <c:numCache>
                <c:formatCode>0.000</c:formatCode>
                <c:ptCount val="5"/>
                <c:pt idx="0">
                  <c:v>0.60000000000000031</c:v>
                </c:pt>
                <c:pt idx="1">
                  <c:v>0.8</c:v>
                </c:pt>
                <c:pt idx="2">
                  <c:v>0.86500000000000055</c:v>
                </c:pt>
                <c:pt idx="3">
                  <c:v>0.66500000000000037</c:v>
                </c:pt>
                <c:pt idx="4">
                  <c:v>0.60000000000000031</c:v>
                </c:pt>
              </c:numCache>
            </c:numRef>
          </c:xVal>
          <c:yVal>
            <c:numRef>
              <c:f>ChartData!$AY$25:$AY$29</c:f>
              <c:numCache>
                <c:formatCode>0.000</c:formatCode>
                <c:ptCount val="5"/>
                <c:pt idx="0">
                  <c:v>0.34641016151377552</c:v>
                </c:pt>
                <c:pt idx="1">
                  <c:v>0.34641016151377552</c:v>
                </c:pt>
                <c:pt idx="2">
                  <c:v>0.23382685902179845</c:v>
                </c:pt>
                <c:pt idx="3">
                  <c:v>0.23382685902179845</c:v>
                </c:pt>
                <c:pt idx="4">
                  <c:v>0.34641016151377552</c:v>
                </c:pt>
              </c:numCache>
            </c:numRef>
          </c:yVal>
          <c:smooth val="0"/>
          <c:extLst>
            <c:ext xmlns:c16="http://schemas.microsoft.com/office/drawing/2014/chart" uri="{C3380CC4-5D6E-409C-BE32-E72D297353CC}">
              <c16:uniqueId val="{0000008C-956A-456E-A399-DEEAAAA0A364}"/>
            </c:ext>
          </c:extLst>
        </c:ser>
        <c:ser>
          <c:idx val="24"/>
          <c:order val="24"/>
          <c:tx>
            <c:v>Silt Loam</c:v>
          </c:tx>
          <c:spPr>
            <a:ln w="12700">
              <a:solidFill>
                <a:schemeClr val="tx1"/>
              </a:solidFill>
            </a:ln>
          </c:spPr>
          <c:marker>
            <c:spPr>
              <a:noFill/>
              <a:ln>
                <a:noFill/>
              </a:ln>
            </c:spPr>
          </c:marker>
          <c:xVal>
            <c:numRef>
              <c:f>ChartData!$AX$33:$AX$39</c:f>
              <c:numCache>
                <c:formatCode>0.000</c:formatCode>
                <c:ptCount val="7"/>
                <c:pt idx="0">
                  <c:v>0.63500000000000034</c:v>
                </c:pt>
                <c:pt idx="1">
                  <c:v>0.86500000000000055</c:v>
                </c:pt>
                <c:pt idx="2">
                  <c:v>0.94000000000000061</c:v>
                </c:pt>
                <c:pt idx="3">
                  <c:v>0.86000000000000054</c:v>
                </c:pt>
                <c:pt idx="4">
                  <c:v>0.80000000000000049</c:v>
                </c:pt>
                <c:pt idx="5">
                  <c:v>0.5</c:v>
                </c:pt>
                <c:pt idx="6">
                  <c:v>0.63500000000000034</c:v>
                </c:pt>
              </c:numCache>
            </c:numRef>
          </c:xVal>
          <c:yVal>
            <c:numRef>
              <c:f>ChartData!$AY$33:$AY$39</c:f>
              <c:numCache>
                <c:formatCode>0.000</c:formatCode>
                <c:ptCount val="7"/>
                <c:pt idx="0">
                  <c:v>0.23382685902179845</c:v>
                </c:pt>
                <c:pt idx="1">
                  <c:v>0.23382685902179845</c:v>
                </c:pt>
                <c:pt idx="2">
                  <c:v>0.10392304845413264</c:v>
                </c:pt>
                <c:pt idx="3">
                  <c:v>0.10392304845413264</c:v>
                </c:pt>
                <c:pt idx="4">
                  <c:v>0</c:v>
                </c:pt>
                <c:pt idx="5">
                  <c:v>0</c:v>
                </c:pt>
                <c:pt idx="6">
                  <c:v>0.23382685902179845</c:v>
                </c:pt>
              </c:numCache>
            </c:numRef>
          </c:yVal>
          <c:smooth val="0"/>
          <c:extLst>
            <c:ext xmlns:c16="http://schemas.microsoft.com/office/drawing/2014/chart" uri="{C3380CC4-5D6E-409C-BE32-E72D297353CC}">
              <c16:uniqueId val="{0000008D-956A-456E-A399-DEEAAAA0A364}"/>
            </c:ext>
          </c:extLst>
        </c:ser>
        <c:ser>
          <c:idx val="25"/>
          <c:order val="25"/>
          <c:tx>
            <c:v>Silt</c:v>
          </c:tx>
          <c:spPr>
            <a:ln w="12700">
              <a:solidFill>
                <a:schemeClr val="tx1"/>
              </a:solidFill>
            </a:ln>
          </c:spPr>
          <c:marker>
            <c:spPr>
              <a:noFill/>
              <a:ln>
                <a:noFill/>
              </a:ln>
            </c:spPr>
          </c:marker>
          <c:xVal>
            <c:numRef>
              <c:f>ChartData!$AX$43:$AX$47</c:f>
              <c:numCache>
                <c:formatCode>0.000</c:formatCode>
                <c:ptCount val="5"/>
                <c:pt idx="0">
                  <c:v>0.86000000000000054</c:v>
                </c:pt>
                <c:pt idx="1">
                  <c:v>0.94000000000000061</c:v>
                </c:pt>
                <c:pt idx="2">
                  <c:v>1</c:v>
                </c:pt>
                <c:pt idx="3">
                  <c:v>0.80000000000000049</c:v>
                </c:pt>
                <c:pt idx="4">
                  <c:v>0.86000000000000054</c:v>
                </c:pt>
              </c:numCache>
            </c:numRef>
          </c:xVal>
          <c:yVal>
            <c:numRef>
              <c:f>ChartData!$AY$43:$AY$47</c:f>
              <c:numCache>
                <c:formatCode>0.000</c:formatCode>
                <c:ptCount val="5"/>
                <c:pt idx="0">
                  <c:v>0.10392304845413264</c:v>
                </c:pt>
                <c:pt idx="1">
                  <c:v>0.10392304845413264</c:v>
                </c:pt>
                <c:pt idx="2">
                  <c:v>0</c:v>
                </c:pt>
                <c:pt idx="3">
                  <c:v>0</c:v>
                </c:pt>
                <c:pt idx="4">
                  <c:v>0.10392304845413264</c:v>
                </c:pt>
              </c:numCache>
            </c:numRef>
          </c:yVal>
          <c:smooth val="0"/>
          <c:extLst>
            <c:ext xmlns:c16="http://schemas.microsoft.com/office/drawing/2014/chart" uri="{C3380CC4-5D6E-409C-BE32-E72D297353CC}">
              <c16:uniqueId val="{0000008E-956A-456E-A399-DEEAAAA0A364}"/>
            </c:ext>
          </c:extLst>
        </c:ser>
        <c:ser>
          <c:idx val="26"/>
          <c:order val="26"/>
          <c:tx>
            <c:v>Clay</c:v>
          </c:tx>
          <c:spPr>
            <a:ln w="12700">
              <a:solidFill>
                <a:schemeClr val="tx1"/>
              </a:solidFill>
            </a:ln>
          </c:spPr>
          <c:marker>
            <c:spPr>
              <a:noFill/>
              <a:ln>
                <a:noFill/>
              </a:ln>
            </c:spPr>
          </c:marker>
          <c:xVal>
            <c:numRef>
              <c:f>ChartData!$AU$47:$AU$52</c:f>
              <c:numCache>
                <c:formatCode>0.000</c:formatCode>
                <c:ptCount val="6"/>
                <c:pt idx="0">
                  <c:v>0.5</c:v>
                </c:pt>
                <c:pt idx="1">
                  <c:v>0.7</c:v>
                </c:pt>
                <c:pt idx="2">
                  <c:v>0.60000000000000031</c:v>
                </c:pt>
                <c:pt idx="3">
                  <c:v>0.35000000000000014</c:v>
                </c:pt>
                <c:pt idx="4">
                  <c:v>0.27500000000000008</c:v>
                </c:pt>
                <c:pt idx="5">
                  <c:v>0.5</c:v>
                </c:pt>
              </c:numCache>
            </c:numRef>
          </c:xVal>
          <c:yVal>
            <c:numRef>
              <c:f>ChartData!$AV$47:$AV$52</c:f>
              <c:numCache>
                <c:formatCode>0.000</c:formatCode>
                <c:ptCount val="6"/>
                <c:pt idx="0">
                  <c:v>0.8660254037844386</c:v>
                </c:pt>
                <c:pt idx="1">
                  <c:v>0.51961524227066325</c:v>
                </c:pt>
                <c:pt idx="2">
                  <c:v>0.34641016151377552</c:v>
                </c:pt>
                <c:pt idx="3">
                  <c:v>0.34641016151377552</c:v>
                </c:pt>
                <c:pt idx="4">
                  <c:v>0.47631397208144133</c:v>
                </c:pt>
                <c:pt idx="5">
                  <c:v>0.8660254037844386</c:v>
                </c:pt>
              </c:numCache>
            </c:numRef>
          </c:yVal>
          <c:smooth val="0"/>
          <c:extLst>
            <c:ext xmlns:c16="http://schemas.microsoft.com/office/drawing/2014/chart" uri="{C3380CC4-5D6E-409C-BE32-E72D297353CC}">
              <c16:uniqueId val="{0000008F-956A-456E-A399-DEEAAAA0A364}"/>
            </c:ext>
          </c:extLst>
        </c:ser>
        <c:ser>
          <c:idx val="34"/>
          <c:order val="34"/>
          <c:tx>
            <c:v>Texture Labels</c:v>
          </c:tx>
          <c:spPr>
            <a:ln>
              <a:noFill/>
            </a:ln>
          </c:spPr>
          <c:marker>
            <c:symbol val="circle"/>
            <c:size val="3"/>
            <c:spPr>
              <a:noFill/>
              <a:ln>
                <a:noFill/>
              </a:ln>
            </c:spPr>
          </c:marker>
          <c:dLbls>
            <c:dLbl>
              <c:idx val="0"/>
              <c:layout>
                <c:manualLayout>
                  <c:x val="-1.9532297531920005E-2"/>
                  <c:y val="4.3337220365084833E-2"/>
                </c:manualLayout>
              </c:layout>
              <c:tx>
                <c:strRef>
                  <c:f>ChartData!$BH$3</c:f>
                  <c:strCache>
                    <c:ptCount val="1"/>
                    <c:pt idx="0">
                      <c:v>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{0B76D4A8-A1B0-413B-AB42-3BFFF5C725EA}</c15:txfldGUID>
                      <c15:f>ChartData!$BH$3</c15:f>
                      <c15:dlblFieldTableCache>
                        <c:ptCount val="1"/>
                        <c:pt idx="0">
                          <c:v>Clay</c:v>
                        </c:pt>
                      </c15:dlblFieldTableCache>
                    </c15:dlblFTEntry>
                  </c15:dlblFieldTable>
                  <c15:showDataLabelsRange val="0"/>
                </c:ext>
                <c:ext xmlns:c16="http://schemas.microsoft.com/office/drawing/2014/chart" uri="{C3380CC4-5D6E-409C-BE32-E72D297353CC}">
                  <c16:uniqueId val="{00000090-956A-456E-A399-DEEAAAA0A364}"/>
                </c:ext>
              </c:extLst>
            </c:dLbl>
            <c:dLbl>
              <c:idx val="1"/>
              <c:layout>
                <c:manualLayout>
                  <c:x val="-5.9068963347141554E-2"/>
                  <c:y val="2.5109336650267093E-2"/>
                </c:manualLayout>
              </c:layout>
              <c:tx>
                <c:strRef>
                  <c:f>ChartData!$BH$4</c:f>
                  <c:strCache>
                    <c:ptCount val="1"/>
                    <c:pt idx="0">
                      <c:v>Sandy 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{9AF155BD-937E-4E61-BE3C-5CD24974341C}</c15:txfldGUID>
                      <c15:f>ChartData!$BH$4</c15:f>
                      <c15:dlblFieldTableCache>
                        <c:ptCount val="1"/>
                        <c:pt idx="0">
                          <c:v>Sandy Clay</c:v>
                        </c:pt>
                      </c15:dlblFieldTableCache>
                    </c15:dlblFTEntry>
                  </c15:dlblFieldTable>
                  <c15:showDataLabelsRange val="0"/>
                </c:ext>
                <c:ext xmlns:c16="http://schemas.microsoft.com/office/drawing/2014/chart" uri="{C3380CC4-5D6E-409C-BE32-E72D297353CC}">
                  <c16:uniqueId val="{00000091-956A-456E-A399-DEEAAAA0A364}"/>
                </c:ext>
              </c:extLst>
            </c:dLbl>
            <c:dLbl>
              <c:idx val="2"/>
              <c:layout>
                <c:manualLayout>
                  <c:x val="-4.798685072687494E-2"/>
                  <c:y val="2.3228753669543002E-2"/>
                </c:manualLayout>
              </c:layout>
              <c:tx>
                <c:strRef>
                  <c:f>ChartData!$BH$5</c:f>
                  <c:strCache>
                    <c:ptCount val="1"/>
                    <c:pt idx="0">
                      <c:v>Silty 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{E8119061-0171-4D11-9116-FAB4DF0742B2}</c15:txfldGUID>
                      <c15:f>ChartData!$BH$5</c15:f>
                      <c15:dlblFieldTableCache>
                        <c:ptCount val="1"/>
                        <c:pt idx="0">
                          <c:v>Silty Clay</c:v>
                        </c:pt>
                      </c15:dlblFieldTableCache>
                    </c15:dlblFTEntry>
                  </c15:dlblFieldTable>
                  <c15:showDataLabelsRange val="0"/>
                </c:ext>
                <c:ext xmlns:c16="http://schemas.microsoft.com/office/drawing/2014/chart" uri="{C3380CC4-5D6E-409C-BE32-E72D297353CC}">
                  <c16:uniqueId val="{00000092-956A-456E-A399-DEEAAAA0A364}"/>
                </c:ext>
              </c:extLst>
            </c:dLbl>
            <c:dLbl>
              <c:idx val="3"/>
              <c:layout>
                <c:manualLayout>
                  <c:x val="-6.1620370370370457E-2"/>
                  <c:y val="6.9444444444443599E-3"/>
                </c:manualLayout>
              </c:layout>
              <c:tx>
                <c:strRef>
                  <c:f>ChartData!$BH$6</c:f>
                  <c:strCache>
                    <c:ptCount val="1"/>
                    <c:pt idx="0">
                      <c:v>Clay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{125B6B47-DB70-441E-9322-74A556C8D4A8}</c15:txfldGUID>
                      <c15:f>ChartData!$BH$6</c15:f>
                      <c15:dlblFieldTableCache>
                        <c:ptCount val="1"/>
                        <c:pt idx="0">
                          <c:v>Clay Loam</c:v>
                        </c:pt>
                      </c15:dlblFieldTableCache>
                    </c15:dlblFTEntry>
                  </c15:dlblFieldTable>
                  <c15:showDataLabelsRange val="0"/>
                </c:ext>
                <c:ext xmlns:c16="http://schemas.microsoft.com/office/drawing/2014/chart" uri="{C3380CC4-5D6E-409C-BE32-E72D297353CC}">
                  <c16:uniqueId val="{00000093-956A-456E-A399-DEEAAAA0A364}"/>
                </c:ext>
              </c:extLst>
            </c:dLbl>
            <c:dLbl>
              <c:idx val="4"/>
              <c:tx>
                <c:strRef>
                  <c:f>ChartData!$BH$7</c:f>
                  <c:strCache>
                    <c:ptCount val="1"/>
                    <c:pt idx="0">
                      <c:v>Sandy Clay Loam</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{D14A0270-B37D-4FE9-B354-779A9EE907AE}</c15:txfldGUID>
                      <c15:f>ChartData!$BH$7</c15:f>
                      <c15:dlblFieldTableCache>
                        <c:ptCount val="1"/>
                        <c:pt idx="0">
                          <c:v>Sandy Clay Loam</c:v>
                        </c:pt>
                      </c15:dlblFieldTableCache>
                    </c15:dlblFTEntry>
                  </c15:dlblFieldTable>
                  <c15:showDataLabelsRange val="0"/>
                </c:ext>
                <c:ext xmlns:c16="http://schemas.microsoft.com/office/drawing/2014/chart" uri="{C3380CC4-5D6E-409C-BE32-E72D297353CC}">
                  <c16:uniqueId val="{00000094-956A-456E-A399-DEEAAAA0A364}"/>
                </c:ext>
              </c:extLst>
            </c:dLbl>
            <c:dLbl>
              <c:idx val="5"/>
              <c:layout>
                <c:manualLayout>
                  <c:x val="-7.8357229323767527E-2"/>
                  <c:y val="6.9443858304735883E-3"/>
                </c:manualLayout>
              </c:layout>
              <c:tx>
                <c:strRef>
                  <c:f>ChartData!$BH$8</c:f>
                  <c:strCache>
                    <c:ptCount val="1"/>
                    <c:pt idx="0">
                      <c:v>Silty Clay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{70507144-573A-4CE5-8313-EBDABB7A8984}</c15:txfldGUID>
                      <c15:f>ChartData!$BH$8</c15:f>
                      <c15:dlblFieldTableCache>
                        <c:ptCount val="1"/>
                        <c:pt idx="0">
                          <c:v>Silty Clay Loam</c:v>
                        </c:pt>
                      </c15:dlblFieldTableCache>
                    </c15:dlblFTEntry>
                  </c15:dlblFieldTable>
                  <c15:showDataLabelsRange val="0"/>
                </c:ext>
                <c:ext xmlns:c16="http://schemas.microsoft.com/office/drawing/2014/chart" uri="{C3380CC4-5D6E-409C-BE32-E72D297353CC}">
                  <c16:uniqueId val="{00000095-956A-456E-A399-DEEAAAA0A364}"/>
                </c:ext>
              </c:extLst>
            </c:dLbl>
            <c:dLbl>
              <c:idx val="6"/>
              <c:tx>
                <c:strRef>
                  <c:f>ChartData!$BH$9</c:f>
                  <c:strCache>
                    <c:ptCount val="1"/>
                    <c:pt idx="0">
                      <c:v>Loam</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{C07A5FE3-F564-450E-855D-EF354AE2AB5F}</c15:txfldGUID>
                      <c15:f>ChartData!$BH$9</c15:f>
                      <c15:dlblFieldTableCache>
                        <c:ptCount val="1"/>
                        <c:pt idx="0">
                          <c:v>Loam</c:v>
                        </c:pt>
                      </c15:dlblFieldTableCache>
                    </c15:dlblFTEntry>
                  </c15:dlblFieldTable>
                  <c15:showDataLabelsRange val="0"/>
                </c:ext>
                <c:ext xmlns:c16="http://schemas.microsoft.com/office/drawing/2014/chart" uri="{C3380CC4-5D6E-409C-BE32-E72D297353CC}">
                  <c16:uniqueId val="{00000096-956A-456E-A399-DEEAAAA0A364}"/>
                </c:ext>
              </c:extLst>
            </c:dLbl>
            <c:dLbl>
              <c:idx val="7"/>
              <c:layout>
                <c:manualLayout>
                  <c:x val="-6.2413240011665205E-2"/>
                  <c:y val="1.3888888888888888E-2"/>
                </c:manualLayout>
              </c:layout>
              <c:tx>
                <c:strRef>
                  <c:f>ChartData!$BH$10</c:f>
                  <c:strCache>
                    <c:ptCount val="1"/>
                    <c:pt idx="0">
                      <c:v>Sandy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{9C62675B-3215-4509-82FE-D8802D3E745C}</c15:txfldGUID>
                      <c15:f>ChartData!$BH$10</c15:f>
                      <c15:dlblFieldTableCache>
                        <c:ptCount val="1"/>
                        <c:pt idx="0">
                          <c:v>Sandy Loam</c:v>
                        </c:pt>
                      </c15:dlblFieldTableCache>
                    </c15:dlblFTEntry>
                  </c15:dlblFieldTable>
                  <c15:showDataLabelsRange val="0"/>
                </c:ext>
                <c:ext xmlns:c16="http://schemas.microsoft.com/office/drawing/2014/chart" uri="{C3380CC4-5D6E-409C-BE32-E72D297353CC}">
                  <c16:uniqueId val="{00000097-956A-456E-A399-DEEAAAA0A364}"/>
                </c:ext>
              </c:extLst>
            </c:dLbl>
            <c:dLbl>
              <c:idx val="8"/>
              <c:layout>
                <c:manualLayout>
                  <c:x val="-5.3645924467774948E-2"/>
                  <c:y val="6.9444444444444441E-3"/>
                </c:manualLayout>
              </c:layout>
              <c:tx>
                <c:strRef>
                  <c:f>ChartData!$BH$11</c:f>
                  <c:strCache>
                    <c:ptCount val="1"/>
                    <c:pt idx="0">
                      <c:v>Silt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{FE1BCFD5-899B-4926-89A6-C83ECF77696E}</c15:txfldGUID>
                      <c15:f>ChartData!$BH$11</c15:f>
                      <c15:dlblFieldTableCache>
                        <c:ptCount val="1"/>
                        <c:pt idx="0">
                          <c:v>Silt Loam</c:v>
                        </c:pt>
                      </c15:dlblFieldTableCache>
                    </c15:dlblFTEntry>
                  </c15:dlblFieldTable>
                  <c15:showDataLabelsRange val="0"/>
                </c:ext>
                <c:ext xmlns:c16="http://schemas.microsoft.com/office/drawing/2014/chart" uri="{C3380CC4-5D6E-409C-BE32-E72D297353CC}">
                  <c16:uniqueId val="{00000098-956A-456E-A399-DEEAAAA0A364}"/>
                </c:ext>
              </c:extLst>
            </c:dLbl>
            <c:dLbl>
              <c:idx val="9"/>
              <c:layout>
                <c:manualLayout>
                  <c:x val="-4.9487615176452733E-2"/>
                  <c:y val="3.0544813774159754E-2"/>
                </c:manualLayout>
              </c:layout>
              <c:tx>
                <c:strRef>
                  <c:f>ChartData!$BH$12</c:f>
                  <c:strCache>
                    <c:ptCount val="1"/>
                    <c:pt idx="0">
                      <c:v>Loamy Sand</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{8DC35BBF-D959-429D-834A-4DF7C1537207}</c15:txfldGUID>
                      <c15:f>ChartData!$BH$12</c15:f>
                      <c15:dlblFieldTableCache>
                        <c:ptCount val="1"/>
                        <c:pt idx="0">
                          <c:v>Loamy Sand</c:v>
                        </c:pt>
                      </c15:dlblFieldTableCache>
                    </c15:dlblFTEntry>
                  </c15:dlblFieldTable>
                  <c15:showDataLabelsRange val="0"/>
                </c:ext>
                <c:ext xmlns:c16="http://schemas.microsoft.com/office/drawing/2014/chart" uri="{C3380CC4-5D6E-409C-BE32-E72D297353CC}">
                  <c16:uniqueId val="{00000099-956A-456E-A399-DEEAAAA0A364}"/>
                </c:ext>
              </c:extLst>
            </c:dLbl>
            <c:dLbl>
              <c:idx val="10"/>
              <c:layout>
                <c:manualLayout>
                  <c:x val="-4.6513036364107516E-2"/>
                  <c:y val="1.4205509219668983E-2"/>
                </c:manualLayout>
              </c:layout>
              <c:tx>
                <c:strRef>
                  <c:f>ChartData!$BH$13</c:f>
                  <c:strCache>
                    <c:ptCount val="1"/>
                    <c:pt idx="0">
                      <c:v>Sand</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{A7780D63-1C24-44E0-B074-B7F0B9CAF21D}</c15:txfldGUID>
                      <c15:f>ChartData!$BH$13</c15:f>
                      <c15:dlblFieldTableCache>
                        <c:ptCount val="1"/>
                        <c:pt idx="0">
                          <c:v>Sand</c:v>
                        </c:pt>
                      </c15:dlblFieldTableCache>
                    </c15:dlblFTEntry>
                  </c15:dlblFieldTable>
                  <c15:showDataLabelsRange val="0"/>
                </c:ext>
                <c:ext xmlns:c16="http://schemas.microsoft.com/office/drawing/2014/chart" uri="{C3380CC4-5D6E-409C-BE32-E72D297353CC}">
                  <c16:uniqueId val="{0000009A-956A-456E-A399-DEEAAAA0A364}"/>
                </c:ext>
              </c:extLst>
            </c:dLbl>
            <c:dLbl>
              <c:idx val="11"/>
              <c:layout>
                <c:manualLayout>
                  <c:x val="-2.6458765996986763E-2"/>
                  <c:y val="-3.1832198690255396E-3"/>
                </c:manualLayout>
              </c:layout>
              <c:tx>
                <c:strRef>
                  <c:f>ChartData!$BH$14</c:f>
                  <c:strCache>
                    <c:ptCount val="1"/>
                    <c:pt idx="0">
                      <c:v>Silt</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{AD482763-DF02-4773-8159-04EB817E55F7}</c15:txfldGUID>
                      <c15:f>ChartData!$BH$14</c15:f>
                      <c15:dlblFieldTableCache>
                        <c:ptCount val="1"/>
                        <c:pt idx="0">
                          <c:v>Silt</c:v>
                        </c:pt>
                      </c15:dlblFieldTableCache>
                    </c15:dlblFTEntry>
                  </c15:dlblFieldTable>
                  <c15:showDataLabelsRange val="0"/>
                </c:ext>
                <c:ext xmlns:c16="http://schemas.microsoft.com/office/drawing/2014/chart" uri="{C3380CC4-5D6E-409C-BE32-E72D297353CC}">
                  <c16:uniqueId val="{0000009B-956A-456E-A399-DEEAAAA0A364}"/>
                </c:ext>
              </c:extLst>
            </c:dLbl>
            <c:spPr>
              <a:noFill/>
              <a:ln>
                <a:noFill/>
              </a:ln>
              <a:effectLst/>
            </c:sp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Ref>
              <c:f>ChartData!$BF$3:$BF$14</c:f>
              <c:numCache>
                <c:formatCode>0.000</c:formatCode>
                <c:ptCount val="12"/>
                <c:pt idx="0">
                  <c:v>0.48750000000000004</c:v>
                </c:pt>
                <c:pt idx="1">
                  <c:v>0.27500000000000008</c:v>
                </c:pt>
                <c:pt idx="2">
                  <c:v>0.70000000000000018</c:v>
                </c:pt>
                <c:pt idx="3">
                  <c:v>0.50750000000000028</c:v>
                </c:pt>
                <c:pt idx="4">
                  <c:v>0.25750000000000012</c:v>
                </c:pt>
                <c:pt idx="5">
                  <c:v>0.73250000000000037</c:v>
                </c:pt>
                <c:pt idx="6">
                  <c:v>0.50750000000000028</c:v>
                </c:pt>
                <c:pt idx="7">
                  <c:v>0.3050000000000001</c:v>
                </c:pt>
                <c:pt idx="8">
                  <c:v>0.72000000000000031</c:v>
                </c:pt>
                <c:pt idx="9">
                  <c:v>0.17499999999999999</c:v>
                </c:pt>
                <c:pt idx="10">
                  <c:v>7.4999999999999997E-2</c:v>
                </c:pt>
                <c:pt idx="11">
                  <c:v>0.90000000000000024</c:v>
                </c:pt>
              </c:numCache>
            </c:numRef>
          </c:xVal>
          <c:yVal>
            <c:numRef>
              <c:f>ChartData!$BG$3:$BG$14</c:f>
              <c:numCache>
                <c:formatCode>0.000</c:formatCode>
                <c:ptCount val="12"/>
                <c:pt idx="0">
                  <c:v>0.60621778264910708</c:v>
                </c:pt>
                <c:pt idx="1">
                  <c:v>0.38971143170299738</c:v>
                </c:pt>
                <c:pt idx="2">
                  <c:v>0.43301270189221941</c:v>
                </c:pt>
                <c:pt idx="3">
                  <c:v>0.29011851026778701</c:v>
                </c:pt>
                <c:pt idx="4">
                  <c:v>0.23815698604072061</c:v>
                </c:pt>
                <c:pt idx="5">
                  <c:v>0.29011851026778701</c:v>
                </c:pt>
                <c:pt idx="6">
                  <c:v>0.14722431864335458</c:v>
                </c:pt>
                <c:pt idx="7">
                  <c:v>8.6602540378443879E-2</c:v>
                </c:pt>
                <c:pt idx="8">
                  <c:v>0.11691342951089922</c:v>
                </c:pt>
                <c:pt idx="9">
                  <c:v>6.4951905283832906E-2</c:v>
                </c:pt>
                <c:pt idx="10">
                  <c:v>4.330127018922194E-2</c:v>
                </c:pt>
                <c:pt idx="11">
                  <c:v>5.1961524227066319E-2</c:v>
                </c:pt>
              </c:numCache>
            </c:numRef>
          </c:yVal>
          <c:smooth val="0"/>
          <c:extLst>
            <c:ext xmlns:c16="http://schemas.microsoft.com/office/drawing/2014/chart" uri="{C3380CC4-5D6E-409C-BE32-E72D297353CC}">
              <c16:uniqueId val="{0000009C-956A-456E-A399-DEEAAAA0A364}"/>
            </c:ext>
          </c:extLst>
        </c:ser>
        <c:ser>
          <c:idx val="36"/>
          <c:order val="35"/>
          <c:tx>
            <c:v>Family</c:v>
          </c:tx>
          <c:spPr>
            <a:ln w="12700">
              <a:solidFill>
                <a:srgbClr val="FF0000"/>
              </a:solidFill>
            </a:ln>
          </c:spPr>
          <c:marker>
            <c:symbol val="diamond"/>
            <c:size val="2"/>
            <c:spPr>
              <a:solidFill>
                <a:schemeClr val="tx1"/>
              </a:solidFill>
              <a:ln w="9525">
                <a:noFill/>
              </a:ln>
            </c:spPr>
          </c:marker>
          <c:xVal>
            <c:numRef>
              <c:f>ChartData!$BJ$3:$BJ$16</c:f>
              <c:numCache>
                <c:formatCode>0.000</c:formatCode>
                <c:ptCount val="14"/>
                <c:pt idx="0">
                  <c:v>0.7</c:v>
                </c:pt>
                <c:pt idx="1">
                  <c:v>0.3</c:v>
                </c:pt>
                <c:pt idx="3">
                  <c:v>0.82500000000000051</c:v>
                </c:pt>
                <c:pt idx="4">
                  <c:v>0.17500000000000002</c:v>
                </c:pt>
                <c:pt idx="6">
                  <c:v>0.09</c:v>
                </c:pt>
                <c:pt idx="7">
                  <c:v>0.91000000000000059</c:v>
                </c:pt>
                <c:pt idx="9">
                  <c:v>0.67500000000000038</c:v>
                </c:pt>
                <c:pt idx="10">
                  <c:v>0.85000000000000053</c:v>
                </c:pt>
                <c:pt idx="12">
                  <c:v>7.4999999999999997E-2</c:v>
                </c:pt>
                <c:pt idx="13">
                  <c:v>0.3</c:v>
                </c:pt>
              </c:numCache>
            </c:numRef>
          </c:xVal>
          <c:yVal>
            <c:numRef>
              <c:f>ChartData!$BK$3:$BK$16</c:f>
              <c:numCache>
                <c:formatCode>0.000</c:formatCode>
                <c:ptCount val="14"/>
                <c:pt idx="0">
                  <c:v>0.51961524227066325</c:v>
                </c:pt>
                <c:pt idx="1">
                  <c:v>0.51961524227066325</c:v>
                </c:pt>
                <c:pt idx="3">
                  <c:v>0.30310889132455349</c:v>
                </c:pt>
                <c:pt idx="4">
                  <c:v>0.30310889132455349</c:v>
                </c:pt>
                <c:pt idx="6">
                  <c:v>0.15588457268119896</c:v>
                </c:pt>
                <c:pt idx="7">
                  <c:v>0.15588457268119896</c:v>
                </c:pt>
                <c:pt idx="9">
                  <c:v>0.30310889132455349</c:v>
                </c:pt>
                <c:pt idx="10">
                  <c:v>0</c:v>
                </c:pt>
                <c:pt idx="12">
                  <c:v>0.12990381056766581</c:v>
                </c:pt>
                <c:pt idx="13">
                  <c:v>0</c:v>
                </c:pt>
              </c:numCache>
            </c:numRef>
          </c:yVal>
          <c:smooth val="0"/>
          <c:extLst>
            <c:ext xmlns:c16="http://schemas.microsoft.com/office/drawing/2014/chart" uri="{C3380CC4-5D6E-409C-BE32-E72D297353CC}">
              <c16:uniqueId val="{0000009E-956A-456E-A399-DEEAAAA0A364}"/>
            </c:ext>
          </c:extLst>
        </c:ser>
        <c:ser>
          <c:idx val="39"/>
          <c:order val="36"/>
          <c:tx>
            <c:v>Point Data</c:v>
          </c:tx>
          <c:spPr>
            <a:ln>
              <a:noFill/>
            </a:ln>
          </c:spPr>
          <c:marker>
            <c:symbol val="circle"/>
            <c:size val="12"/>
            <c:spPr>
              <a:solidFill>
                <a:srgbClr val="FF0000">
                  <a:alpha val="50000"/>
                </a:srgbClr>
              </a:solidFill>
              <a:ln>
                <a:noFill/>
              </a:ln>
            </c:spPr>
          </c:marker>
          <c:dLbls>
            <c:dLbl>
              <c:idx val="0"/>
              <c:tx>
                <c:rich>
                  <a:bodyPr/>
                  <a:lstStyle/>
                  <a:p>
                    <a:fld id="{7D921617-DD77-4CE4-A94E-A9AAA907C27D}"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03-4AD4-8BA9-2A6CD9D03B2C}"/>
                </c:ext>
              </c:extLst>
            </c:dLbl>
            <c:dLbl>
              <c:idx val="1"/>
              <c:tx>
                <c:rich>
                  <a:bodyPr/>
                  <a:lstStyle/>
                  <a:p>
                    <a:fld id="{4CFA55C5-6E47-4959-A520-383611C0D238}"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03-4AD4-8BA9-2A6CD9D03B2C}"/>
                </c:ext>
              </c:extLst>
            </c:dLbl>
            <c:dLbl>
              <c:idx val="2"/>
              <c:tx>
                <c:rich>
                  <a:bodyPr/>
                  <a:lstStyle/>
                  <a:p>
                    <a:fld id="{FCA18956-36E7-4D35-A47F-5BC40ADB5A3B}"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03-4AD4-8BA9-2A6CD9D03B2C}"/>
                </c:ext>
              </c:extLst>
            </c:dLbl>
            <c:dLbl>
              <c:idx val="3"/>
              <c:tx>
                <c:rich>
                  <a:bodyPr/>
                  <a:lstStyle/>
                  <a:p>
                    <a:fld id="{EE88AB0D-DCA9-43D8-AAEC-33E8C0823C5F}"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03-4AD4-8BA9-2A6CD9D03B2C}"/>
                </c:ext>
              </c:extLst>
            </c:dLbl>
            <c:dLbl>
              <c:idx val="4"/>
              <c:tx>
                <c:rich>
                  <a:bodyPr/>
                  <a:lstStyle/>
                  <a:p>
                    <a:fld id="{381ADE2C-2791-4C16-AF77-5EA450E2B162}"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03-4AD4-8BA9-2A6CD9D03B2C}"/>
                </c:ext>
              </c:extLst>
            </c:dLbl>
            <c:dLbl>
              <c:idx val="5"/>
              <c:tx>
                <c:rich>
                  <a:bodyPr/>
                  <a:lstStyle/>
                  <a:p>
                    <a:fld id="{591A0307-2A93-4240-8262-2AF52B451B45}"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D03-4AD4-8BA9-2A6CD9D03B2C}"/>
                </c:ext>
              </c:extLst>
            </c:dLbl>
            <c:dLbl>
              <c:idx val="6"/>
              <c:tx>
                <c:rich>
                  <a:bodyPr/>
                  <a:lstStyle/>
                  <a:p>
                    <a:fld id="{BA9D03CE-5BDC-43FD-A837-C5C2E99B619D}" type="CELLRANGE">
                      <a:rPr lang="en-BE"/>
                      <a:pPr/>
                      <a:t>[CELLRANGE]</a:t>
                    </a:fld>
                    <a:endParaRPr lang="en-BE"/>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D03-4AD4-8BA9-2A6CD9D03B2C}"/>
                </c:ext>
              </c:extLst>
            </c:dLbl>
            <c:dLbl>
              <c:idx val="7"/>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0D03-4AD4-8BA9-2A6CD9D03B2C}"/>
                </c:ext>
              </c:extLst>
            </c:dLbl>
            <c:dLbl>
              <c:idx val="8"/>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0D03-4AD4-8BA9-2A6CD9D03B2C}"/>
                </c:ext>
              </c:extLst>
            </c:dLbl>
            <c:dLbl>
              <c:idx val="9"/>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0D03-4AD4-8BA9-2A6CD9D03B2C}"/>
                </c:ext>
              </c:extLst>
            </c:dLbl>
            <c:dLbl>
              <c:idx val="10"/>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0D03-4AD4-8BA9-2A6CD9D03B2C}"/>
                </c:ext>
              </c:extLst>
            </c:dLbl>
            <c:dLbl>
              <c:idx val="11"/>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0D03-4AD4-8BA9-2A6CD9D03B2C}"/>
                </c:ext>
              </c:extLst>
            </c:dLbl>
            <c:dLbl>
              <c:idx val="12"/>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0D03-4AD4-8BA9-2A6CD9D03B2C}"/>
                </c:ext>
              </c:extLst>
            </c:dLbl>
            <c:dLbl>
              <c:idx val="13"/>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0D03-4AD4-8BA9-2A6CD9D03B2C}"/>
                </c:ext>
              </c:extLst>
            </c:dLbl>
            <c:dLbl>
              <c:idx val="14"/>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0D03-4AD4-8BA9-2A6CD9D03B2C}"/>
                </c:ext>
              </c:extLst>
            </c:dLbl>
            <c:dLbl>
              <c:idx val="15"/>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0D03-4AD4-8BA9-2A6CD9D03B2C}"/>
                </c:ext>
              </c:extLst>
            </c:dLbl>
            <c:dLbl>
              <c:idx val="16"/>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0D03-4AD4-8BA9-2A6CD9D03B2C}"/>
                </c:ext>
              </c:extLst>
            </c:dLbl>
            <c:dLbl>
              <c:idx val="17"/>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0D03-4AD4-8BA9-2A6CD9D03B2C}"/>
                </c:ext>
              </c:extLst>
            </c:dLbl>
            <c:dLbl>
              <c:idx val="18"/>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0D03-4AD4-8BA9-2A6CD9D03B2C}"/>
                </c:ext>
              </c:extLst>
            </c:dLbl>
            <c:dLbl>
              <c:idx val="19"/>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0D03-4AD4-8BA9-2A6CD9D03B2C}"/>
                </c:ext>
              </c:extLst>
            </c:dLbl>
            <c:dLbl>
              <c:idx val="20"/>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0D03-4AD4-8BA9-2A6CD9D03B2C}"/>
                </c:ext>
              </c:extLst>
            </c:dLbl>
            <c:dLbl>
              <c:idx val="21"/>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0D03-4AD4-8BA9-2A6CD9D03B2C}"/>
                </c:ext>
              </c:extLst>
            </c:dLbl>
            <c:dLbl>
              <c:idx val="22"/>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0D03-4AD4-8BA9-2A6CD9D03B2C}"/>
                </c:ext>
              </c:extLst>
            </c:dLbl>
            <c:dLbl>
              <c:idx val="23"/>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0D03-4AD4-8BA9-2A6CD9D03B2C}"/>
                </c:ext>
              </c:extLst>
            </c:dLbl>
            <c:dLbl>
              <c:idx val="24"/>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0D03-4AD4-8BA9-2A6CD9D03B2C}"/>
                </c:ext>
              </c:extLst>
            </c:dLbl>
            <c:dLbl>
              <c:idx val="25"/>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0D03-4AD4-8BA9-2A6CD9D03B2C}"/>
                </c:ext>
              </c:extLst>
            </c:dLbl>
            <c:dLbl>
              <c:idx val="26"/>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0D03-4AD4-8BA9-2A6CD9D03B2C}"/>
                </c:ext>
              </c:extLst>
            </c:dLbl>
            <c:dLbl>
              <c:idx val="27"/>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D03-4AD4-8BA9-2A6CD9D03B2C}"/>
                </c:ext>
              </c:extLst>
            </c:dLbl>
            <c:dLbl>
              <c:idx val="28"/>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0D03-4AD4-8BA9-2A6CD9D03B2C}"/>
                </c:ext>
              </c:extLst>
            </c:dLbl>
            <c:dLbl>
              <c:idx val="29"/>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0D03-4AD4-8BA9-2A6CD9D03B2C}"/>
                </c:ext>
              </c:extLst>
            </c:dLbl>
            <c:dLbl>
              <c:idx val="30"/>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0D03-4AD4-8BA9-2A6CD9D03B2C}"/>
                </c:ext>
              </c:extLst>
            </c:dLbl>
            <c:dLbl>
              <c:idx val="31"/>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D03-4AD4-8BA9-2A6CD9D03B2C}"/>
                </c:ext>
              </c:extLst>
            </c:dLbl>
            <c:dLbl>
              <c:idx val="32"/>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0D03-4AD4-8BA9-2A6CD9D03B2C}"/>
                </c:ext>
              </c:extLst>
            </c:dLbl>
            <c:dLbl>
              <c:idx val="33"/>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0D03-4AD4-8BA9-2A6CD9D03B2C}"/>
                </c:ext>
              </c:extLst>
            </c:dLbl>
            <c:dLbl>
              <c:idx val="34"/>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0D03-4AD4-8BA9-2A6CD9D03B2C}"/>
                </c:ext>
              </c:extLst>
            </c:dLbl>
            <c:dLbl>
              <c:idx val="35"/>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0D03-4AD4-8BA9-2A6CD9D03B2C}"/>
                </c:ext>
              </c:extLst>
            </c:dLbl>
            <c:dLbl>
              <c:idx val="36"/>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0D03-4AD4-8BA9-2A6CD9D03B2C}"/>
                </c:ext>
              </c:extLst>
            </c:dLbl>
            <c:dLbl>
              <c:idx val="37"/>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0D03-4AD4-8BA9-2A6CD9D03B2C}"/>
                </c:ext>
              </c:extLst>
            </c:dLbl>
            <c:dLbl>
              <c:idx val="38"/>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0D03-4AD4-8BA9-2A6CD9D03B2C}"/>
                </c:ext>
              </c:extLst>
            </c:dLbl>
            <c:dLbl>
              <c:idx val="39"/>
              <c:tx>
                <c:rich>
                  <a:bodyPr/>
                  <a:lstStyle/>
                  <a:p>
                    <a:endParaRPr lang="en-BE"/>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0D03-4AD4-8BA9-2A6CD9D03B2C}"/>
                </c:ext>
              </c:extLst>
            </c:dLbl>
            <c:spPr>
              <a:noFill/>
              <a:ln>
                <a:noFill/>
              </a:ln>
              <a:effectLst/>
            </c:spPr>
            <c:txPr>
              <a:bodyPr/>
              <a:lstStyle/>
              <a:p>
                <a:pPr>
                  <a:defRPr>
                    <a:solidFill>
                      <a:schemeClr val="bg1"/>
                    </a:solidFill>
                  </a:defRPr>
                </a:pPr>
                <a:endParaRPr lang="en-BE"/>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Triangle!$S$3:$S$42</c:f>
              <c:numCache>
                <c:formatCode>General</c:formatCode>
                <c:ptCount val="40"/>
                <c:pt idx="0">
                  <c:v>0</c:v>
                </c:pt>
                <c:pt idx="1">
                  <c:v>0.26500000000000001</c:v>
                </c:pt>
                <c:pt idx="2">
                  <c:v>0.3085</c:v>
                </c:pt>
                <c:pt idx="3">
                  <c:v>0.36250000000000004</c:v>
                </c:pt>
                <c:pt idx="4">
                  <c:v>0.39400000000000002</c:v>
                </c:pt>
                <c:pt idx="5">
                  <c:v>0.40550000000000003</c:v>
                </c:pt>
                <c:pt idx="6">
                  <c:v>0.72500000000000009</c:v>
                </c:pt>
              </c:numCache>
            </c:numRef>
          </c:xVal>
          <c:yVal>
            <c:numRef>
              <c:f>Triangle!$T$3:$T$42</c:f>
              <c:numCache>
                <c:formatCode>General</c:formatCode>
                <c:ptCount val="40"/>
                <c:pt idx="0">
                  <c:v>0</c:v>
                </c:pt>
                <c:pt idx="1">
                  <c:v>2.7712812921102035E-2</c:v>
                </c:pt>
                <c:pt idx="2">
                  <c:v>4.5899346400575247E-2</c:v>
                </c:pt>
                <c:pt idx="3">
                  <c:v>4.4167295593006368E-2</c:v>
                </c:pt>
                <c:pt idx="4">
                  <c:v>6.5817930687617335E-2</c:v>
                </c:pt>
                <c:pt idx="5">
                  <c:v>0.20871212231204969</c:v>
                </c:pt>
                <c:pt idx="6">
                  <c:v>0.11258330249197702</c:v>
                </c:pt>
              </c:numCache>
            </c:numRef>
          </c:yVal>
          <c:smooth val="0"/>
          <c:extLst>
            <c:ext xmlns:c15="http://schemas.microsoft.com/office/drawing/2012/chart" uri="{02D57815-91ED-43cb-92C2-25804820EDAC}">
              <c15:datalabelsRange>
                <c15:f>Triangle!$J$3:$J$42</c15:f>
                <c15:dlblRangeCach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15:dlblRangeCache>
              </c15:datalabelsRange>
            </c:ext>
            <c:ext xmlns:c16="http://schemas.microsoft.com/office/drawing/2014/chart" uri="{C3380CC4-5D6E-409C-BE32-E72D297353CC}">
              <c16:uniqueId val="{00000001-41A7-4348-AEAB-F95BDD3E4ECA}"/>
            </c:ext>
          </c:extLst>
        </c:ser>
        <c:dLbls>
          <c:showLegendKey val="0"/>
          <c:showVal val="0"/>
          <c:showCatName val="0"/>
          <c:showSerName val="0"/>
          <c:showPercent val="0"/>
          <c:showBubbleSize val="0"/>
        </c:dLbls>
        <c:axId val="340533688"/>
        <c:axId val="340534080"/>
        <c:extLst>
          <c:ext xmlns:c15="http://schemas.microsoft.com/office/drawing/2012/chart" uri="{02D57815-91ED-43cb-92C2-25804820EDAC}">
            <c15:filteredScatterSeries>
              <c15:ser>
                <c:idx val="6"/>
                <c:order val="0"/>
                <c:tx>
                  <c:v>Triangle outline</c:v>
                </c:tx>
                <c:spPr>
                  <a:ln w="31750">
                    <a:solidFill>
                      <a:srgbClr val="000000"/>
                    </a:solidFill>
                  </a:ln>
                </c:spPr>
                <c:marker>
                  <c:spPr>
                    <a:noFill/>
                    <a:ln>
                      <a:noFill/>
                    </a:ln>
                  </c:spPr>
                </c:marker>
                <c:xVal>
                  <c:numRef>
                    <c:extLst>
                      <c:ext uri="{02D57815-91ED-43cb-92C2-25804820EDAC}">
                        <c15:formulaRef>
                          <c15:sqref>ChartData!$A$3:$A$6</c15:sqref>
                        </c15:formulaRef>
                      </c:ext>
                    </c:extLst>
                    <c:numCache>
                      <c:formatCode>General</c:formatCode>
                      <c:ptCount val="4"/>
                      <c:pt idx="0">
                        <c:v>0.5</c:v>
                      </c:pt>
                      <c:pt idx="1">
                        <c:v>0</c:v>
                      </c:pt>
                      <c:pt idx="2">
                        <c:v>1</c:v>
                      </c:pt>
                      <c:pt idx="3">
                        <c:v>0.5</c:v>
                      </c:pt>
                    </c:numCache>
                  </c:numRef>
                </c:xVal>
                <c:yVal>
                  <c:numRef>
                    <c:extLst>
                      <c:ext uri="{02D57815-91ED-43cb-92C2-25804820EDAC}">
                        <c15:formulaRef>
                          <c15:sqref>ChartData!$B$3:$B$6</c15:sqref>
                        </c15:formulaRef>
                      </c:ext>
                    </c:extLst>
                    <c:numCache>
                      <c:formatCode>General</c:formatCode>
                      <c:ptCount val="4"/>
                      <c:pt idx="0" formatCode="0.000">
                        <c:v>0.8660254037844386</c:v>
                      </c:pt>
                      <c:pt idx="1">
                        <c:v>0</c:v>
                      </c:pt>
                      <c:pt idx="2">
                        <c:v>0</c:v>
                      </c:pt>
                      <c:pt idx="3" formatCode="0.000">
                        <c:v>0.8660254037844386</c:v>
                      </c:pt>
                    </c:numCache>
                  </c:numRef>
                </c:yVal>
                <c:smooth val="0"/>
                <c:extLst>
                  <c:ext xmlns:c16="http://schemas.microsoft.com/office/drawing/2014/chart" uri="{C3380CC4-5D6E-409C-BE32-E72D297353CC}">
                    <c16:uniqueId val="{000000DD-956A-456E-A399-DEEAAAA0A364}"/>
                  </c:ext>
                </c:extLst>
              </c15:ser>
            </c15:filteredScatterSeries>
            <c15:filteredScatterSeries>
              <c15:ser>
                <c:idx val="1"/>
                <c:order val="1"/>
                <c:tx>
                  <c:v>10/10 Points</c:v>
                </c:tx>
                <c:spPr>
                  <a:ln w="19050">
                    <a:solidFill>
                      <a:srgbClr val="92D050"/>
                    </a:solidFill>
                  </a:ln>
                </c:spPr>
                <c:marker>
                  <c:symbol val="none"/>
                </c:marker>
                <c:xVal>
                  <c:numRef>
                    <c:extLst xmlns:c15="http://schemas.microsoft.com/office/drawing/2012/chart">
                      <c:ext xmlns:c15="http://schemas.microsoft.com/office/drawing/2012/chart" uri="{02D57815-91ED-43cb-92C2-25804820EDAC}">
                        <c15:formulaRef>
                          <c15:sqref>ChartData!$E$3:$E$78</c15:sqref>
                        </c15:formulaRef>
                      </c:ext>
                    </c:extLst>
                    <c:numCache>
                      <c:formatCode>0.000</c:formatCode>
                      <c:ptCount val="76"/>
                      <c:pt idx="0">
                        <c:v>0</c:v>
                      </c:pt>
                      <c:pt idx="1">
                        <c:v>9.9999999999999992E-2</c:v>
                      </c:pt>
                      <c:pt idx="2">
                        <c:v>0.2</c:v>
                      </c:pt>
                      <c:pt idx="3">
                        <c:v>0.30000000000000004</c:v>
                      </c:pt>
                      <c:pt idx="4">
                        <c:v>0.4</c:v>
                      </c:pt>
                      <c:pt idx="5">
                        <c:v>0.5</c:v>
                      </c:pt>
                      <c:pt idx="6">
                        <c:v>0.6</c:v>
                      </c:pt>
                      <c:pt idx="7">
                        <c:v>0.7</c:v>
                      </c:pt>
                      <c:pt idx="8">
                        <c:v>0.79999999999999993</c:v>
                      </c:pt>
                      <c:pt idx="9">
                        <c:v>0.89999999999999991</c:v>
                      </c:pt>
                      <c:pt idx="10">
                        <c:v>0.99999999999999989</c:v>
                      </c:pt>
                      <c:pt idx="12">
                        <c:v>0.05</c:v>
                      </c:pt>
                      <c:pt idx="13">
                        <c:v>0.15</c:v>
                      </c:pt>
                      <c:pt idx="14">
                        <c:v>0.25</c:v>
                      </c:pt>
                      <c:pt idx="15">
                        <c:v>0.35</c:v>
                      </c:pt>
                      <c:pt idx="16">
                        <c:v>0.45</c:v>
                      </c:pt>
                      <c:pt idx="17">
                        <c:v>0.55000000000000004</c:v>
                      </c:pt>
                      <c:pt idx="18">
                        <c:v>0.65</c:v>
                      </c:pt>
                      <c:pt idx="19">
                        <c:v>0.75</c:v>
                      </c:pt>
                      <c:pt idx="20">
                        <c:v>0.85</c:v>
                      </c:pt>
                      <c:pt idx="21">
                        <c:v>0.95</c:v>
                      </c:pt>
                      <c:pt idx="23">
                        <c:v>9.9999999999999992E-2</c:v>
                      </c:pt>
                      <c:pt idx="24">
                        <c:v>0.2</c:v>
                      </c:pt>
                      <c:pt idx="25">
                        <c:v>0.30000000000000004</c:v>
                      </c:pt>
                      <c:pt idx="26">
                        <c:v>0.4</c:v>
                      </c:pt>
                      <c:pt idx="27">
                        <c:v>0.5</c:v>
                      </c:pt>
                      <c:pt idx="28">
                        <c:v>0.6</c:v>
                      </c:pt>
                      <c:pt idx="29">
                        <c:v>0.7</c:v>
                      </c:pt>
                      <c:pt idx="30">
                        <c:v>0.79999999999999993</c:v>
                      </c:pt>
                      <c:pt idx="31">
                        <c:v>0.89999999999999991</c:v>
                      </c:pt>
                      <c:pt idx="33">
                        <c:v>0.15</c:v>
                      </c:pt>
                      <c:pt idx="34">
                        <c:v>0.25</c:v>
                      </c:pt>
                      <c:pt idx="35">
                        <c:v>0.35</c:v>
                      </c:pt>
                      <c:pt idx="36">
                        <c:v>0.45</c:v>
                      </c:pt>
                      <c:pt idx="37">
                        <c:v>0.55000000000000004</c:v>
                      </c:pt>
                      <c:pt idx="38">
                        <c:v>0.65</c:v>
                      </c:pt>
                      <c:pt idx="39">
                        <c:v>0.75</c:v>
                      </c:pt>
                      <c:pt idx="40">
                        <c:v>0.85</c:v>
                      </c:pt>
                      <c:pt idx="42">
                        <c:v>0.2</c:v>
                      </c:pt>
                      <c:pt idx="43">
                        <c:v>0.3</c:v>
                      </c:pt>
                      <c:pt idx="44">
                        <c:v>0.4</c:v>
                      </c:pt>
                      <c:pt idx="45">
                        <c:v>0.5</c:v>
                      </c:pt>
                      <c:pt idx="46">
                        <c:v>0.6</c:v>
                      </c:pt>
                      <c:pt idx="47">
                        <c:v>0.7</c:v>
                      </c:pt>
                      <c:pt idx="48">
                        <c:v>0.8</c:v>
                      </c:pt>
                      <c:pt idx="50">
                        <c:v>0.25</c:v>
                      </c:pt>
                      <c:pt idx="51">
                        <c:v>0.35</c:v>
                      </c:pt>
                      <c:pt idx="52">
                        <c:v>0.45</c:v>
                      </c:pt>
                      <c:pt idx="53">
                        <c:v>0.55000000000000004</c:v>
                      </c:pt>
                      <c:pt idx="54">
                        <c:v>0.65</c:v>
                      </c:pt>
                      <c:pt idx="55">
                        <c:v>0.75</c:v>
                      </c:pt>
                      <c:pt idx="57">
                        <c:v>0.3</c:v>
                      </c:pt>
                      <c:pt idx="58">
                        <c:v>0.4</c:v>
                      </c:pt>
                      <c:pt idx="59">
                        <c:v>0.5</c:v>
                      </c:pt>
                      <c:pt idx="60">
                        <c:v>0.6</c:v>
                      </c:pt>
                      <c:pt idx="61">
                        <c:v>0.7</c:v>
                      </c:pt>
                      <c:pt idx="63">
                        <c:v>0.35</c:v>
                      </c:pt>
                      <c:pt idx="64">
                        <c:v>0.45</c:v>
                      </c:pt>
                      <c:pt idx="65">
                        <c:v>0.55000000000000004</c:v>
                      </c:pt>
                      <c:pt idx="66">
                        <c:v>0.65</c:v>
                      </c:pt>
                      <c:pt idx="68">
                        <c:v>0.4</c:v>
                      </c:pt>
                      <c:pt idx="69">
                        <c:v>0.5</c:v>
                      </c:pt>
                      <c:pt idx="70">
                        <c:v>0.6</c:v>
                      </c:pt>
                      <c:pt idx="72">
                        <c:v>0.45</c:v>
                      </c:pt>
                      <c:pt idx="73">
                        <c:v>0.55000000000000004</c:v>
                      </c:pt>
                      <c:pt idx="75">
                        <c:v>0.5</c:v>
                      </c:pt>
                    </c:numCache>
                  </c:numRef>
                </c:xVal>
                <c:yVal>
                  <c:numRef>
                    <c:extLst xmlns:c15="http://schemas.microsoft.com/office/drawing/2012/chart">
                      <c:ext xmlns:c15="http://schemas.microsoft.com/office/drawing/2012/chart" uri="{02D57815-91ED-43cb-92C2-25804820EDAC}">
                        <c15:formulaRef>
                          <c15:sqref>ChartData!$F$3:$F$78</c15:sqref>
                        </c15:formulaRef>
                      </c:ext>
                    </c:extLst>
                    <c:numCache>
                      <c:formatCode>0.000</c:formatCode>
                      <c:ptCount val="76"/>
                      <c:pt idx="0">
                        <c:v>0</c:v>
                      </c:pt>
                      <c:pt idx="1">
                        <c:v>0</c:v>
                      </c:pt>
                      <c:pt idx="2">
                        <c:v>0</c:v>
                      </c:pt>
                      <c:pt idx="3">
                        <c:v>0</c:v>
                      </c:pt>
                      <c:pt idx="4">
                        <c:v>0</c:v>
                      </c:pt>
                      <c:pt idx="5">
                        <c:v>0</c:v>
                      </c:pt>
                      <c:pt idx="6">
                        <c:v>0</c:v>
                      </c:pt>
                      <c:pt idx="7">
                        <c:v>0</c:v>
                      </c:pt>
                      <c:pt idx="8">
                        <c:v>0</c:v>
                      </c:pt>
                      <c:pt idx="9">
                        <c:v>0</c:v>
                      </c:pt>
                      <c:pt idx="10">
                        <c:v>0</c:v>
                      </c:pt>
                      <c:pt idx="12">
                        <c:v>8.6602540378443879E-2</c:v>
                      </c:pt>
                      <c:pt idx="13">
                        <c:v>8.6602540378443879E-2</c:v>
                      </c:pt>
                      <c:pt idx="14">
                        <c:v>8.6602540378443879E-2</c:v>
                      </c:pt>
                      <c:pt idx="15">
                        <c:v>8.6602540378443879E-2</c:v>
                      </c:pt>
                      <c:pt idx="16">
                        <c:v>8.6602540378443879E-2</c:v>
                      </c:pt>
                      <c:pt idx="17">
                        <c:v>8.6602540378443879E-2</c:v>
                      </c:pt>
                      <c:pt idx="18">
                        <c:v>8.6602540378443879E-2</c:v>
                      </c:pt>
                      <c:pt idx="19">
                        <c:v>8.6602540378443879E-2</c:v>
                      </c:pt>
                      <c:pt idx="20">
                        <c:v>8.6602540378443879E-2</c:v>
                      </c:pt>
                      <c:pt idx="21">
                        <c:v>8.6602540378443879E-2</c:v>
                      </c:pt>
                      <c:pt idx="23">
                        <c:v>0.17320508075688776</c:v>
                      </c:pt>
                      <c:pt idx="24">
                        <c:v>0.17320508075688776</c:v>
                      </c:pt>
                      <c:pt idx="25">
                        <c:v>0.17320508075688776</c:v>
                      </c:pt>
                      <c:pt idx="26">
                        <c:v>0.17320508075688776</c:v>
                      </c:pt>
                      <c:pt idx="27">
                        <c:v>0.17320508075688776</c:v>
                      </c:pt>
                      <c:pt idx="28">
                        <c:v>0.17320508075688776</c:v>
                      </c:pt>
                      <c:pt idx="29">
                        <c:v>0.17320508075688776</c:v>
                      </c:pt>
                      <c:pt idx="30">
                        <c:v>0.17320508075688776</c:v>
                      </c:pt>
                      <c:pt idx="31">
                        <c:v>0.17320508075688776</c:v>
                      </c:pt>
                      <c:pt idx="33">
                        <c:v>0.25980762113533162</c:v>
                      </c:pt>
                      <c:pt idx="34">
                        <c:v>0.25980762113533162</c:v>
                      </c:pt>
                      <c:pt idx="35">
                        <c:v>0.25980762113533162</c:v>
                      </c:pt>
                      <c:pt idx="36">
                        <c:v>0.25980762113533162</c:v>
                      </c:pt>
                      <c:pt idx="37">
                        <c:v>0.25980762113533162</c:v>
                      </c:pt>
                      <c:pt idx="38">
                        <c:v>0.25980762113533162</c:v>
                      </c:pt>
                      <c:pt idx="39">
                        <c:v>0.25980762113533162</c:v>
                      </c:pt>
                      <c:pt idx="40">
                        <c:v>0.25980762113533162</c:v>
                      </c:pt>
                      <c:pt idx="42">
                        <c:v>0.34641016151377552</c:v>
                      </c:pt>
                      <c:pt idx="43">
                        <c:v>0.34641016151377552</c:v>
                      </c:pt>
                      <c:pt idx="44">
                        <c:v>0.34641016151377552</c:v>
                      </c:pt>
                      <c:pt idx="45">
                        <c:v>0.34641016151377552</c:v>
                      </c:pt>
                      <c:pt idx="46">
                        <c:v>0.34641016151377552</c:v>
                      </c:pt>
                      <c:pt idx="47">
                        <c:v>0.34641016151377552</c:v>
                      </c:pt>
                      <c:pt idx="48">
                        <c:v>0.34641016151377552</c:v>
                      </c:pt>
                      <c:pt idx="50">
                        <c:v>0.4330127018922193</c:v>
                      </c:pt>
                      <c:pt idx="51">
                        <c:v>0.4330127018922193</c:v>
                      </c:pt>
                      <c:pt idx="52">
                        <c:v>0.4330127018922193</c:v>
                      </c:pt>
                      <c:pt idx="53">
                        <c:v>0.4330127018922193</c:v>
                      </c:pt>
                      <c:pt idx="54">
                        <c:v>0.4330127018922193</c:v>
                      </c:pt>
                      <c:pt idx="55">
                        <c:v>0.4330127018922193</c:v>
                      </c:pt>
                      <c:pt idx="57">
                        <c:v>0.51961524227066325</c:v>
                      </c:pt>
                      <c:pt idx="58">
                        <c:v>0.51961524227066325</c:v>
                      </c:pt>
                      <c:pt idx="59">
                        <c:v>0.51961524227066325</c:v>
                      </c:pt>
                      <c:pt idx="60">
                        <c:v>0.51961524227066325</c:v>
                      </c:pt>
                      <c:pt idx="61">
                        <c:v>0.51961524227066325</c:v>
                      </c:pt>
                      <c:pt idx="63">
                        <c:v>0.60621778264910697</c:v>
                      </c:pt>
                      <c:pt idx="64">
                        <c:v>0.60621778264910697</c:v>
                      </c:pt>
                      <c:pt idx="65">
                        <c:v>0.60621778264910697</c:v>
                      </c:pt>
                      <c:pt idx="66">
                        <c:v>0.60621778264910697</c:v>
                      </c:pt>
                      <c:pt idx="68">
                        <c:v>0.69282032302755103</c:v>
                      </c:pt>
                      <c:pt idx="69">
                        <c:v>0.69282032302755103</c:v>
                      </c:pt>
                      <c:pt idx="70">
                        <c:v>0.69282032302755103</c:v>
                      </c:pt>
                      <c:pt idx="72">
                        <c:v>0.77942286340599476</c:v>
                      </c:pt>
                      <c:pt idx="73">
                        <c:v>0.77942286340599476</c:v>
                      </c:pt>
                      <c:pt idx="75">
                        <c:v>0.8660254037844386</c:v>
                      </c:pt>
                    </c:numCache>
                  </c:numRef>
                </c:yVal>
                <c:smooth val="0"/>
                <c:extLst xmlns:c15="http://schemas.microsoft.com/office/drawing/2012/chart">
                  <c:ext xmlns:c16="http://schemas.microsoft.com/office/drawing/2014/chart" uri="{C3380CC4-5D6E-409C-BE32-E72D297353CC}">
                    <c16:uniqueId val="{000000DE-956A-456E-A399-DEEAAAA0A364}"/>
                  </c:ext>
                </c:extLst>
              </c15:ser>
            </c15:filteredScatterSeries>
            <c15:filteredScatterSeries>
              <c15:ser>
                <c:idx val="0"/>
                <c:order val="2"/>
                <c:tx>
                  <c:v>10/10 Clay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ChartData!$H$3:$H$33</c15:sqref>
                        </c15:formulaRef>
                      </c:ext>
                    </c:extLst>
                    <c:numCache>
                      <c:formatCode>0.000</c:formatCode>
                      <c:ptCount val="31"/>
                      <c:pt idx="0">
                        <c:v>0</c:v>
                      </c:pt>
                      <c:pt idx="1">
                        <c:v>1</c:v>
                      </c:pt>
                      <c:pt idx="3">
                        <c:v>0.05</c:v>
                      </c:pt>
                      <c:pt idx="4">
                        <c:v>0.95</c:v>
                      </c:pt>
                      <c:pt idx="6">
                        <c:v>9.9999999999999992E-2</c:v>
                      </c:pt>
                      <c:pt idx="7">
                        <c:v>0.89999999999999991</c:v>
                      </c:pt>
                      <c:pt idx="9">
                        <c:v>0.15</c:v>
                      </c:pt>
                      <c:pt idx="10">
                        <c:v>0.85</c:v>
                      </c:pt>
                      <c:pt idx="12">
                        <c:v>0.2</c:v>
                      </c:pt>
                      <c:pt idx="13">
                        <c:v>0.8</c:v>
                      </c:pt>
                      <c:pt idx="15">
                        <c:v>0.25</c:v>
                      </c:pt>
                      <c:pt idx="16">
                        <c:v>0.75</c:v>
                      </c:pt>
                      <c:pt idx="18">
                        <c:v>0.3</c:v>
                      </c:pt>
                      <c:pt idx="19">
                        <c:v>0.7</c:v>
                      </c:pt>
                      <c:pt idx="21">
                        <c:v>0.35</c:v>
                      </c:pt>
                      <c:pt idx="22">
                        <c:v>0.65</c:v>
                      </c:pt>
                      <c:pt idx="24">
                        <c:v>0.4</c:v>
                      </c:pt>
                      <c:pt idx="25">
                        <c:v>0.6</c:v>
                      </c:pt>
                      <c:pt idx="27">
                        <c:v>0.45</c:v>
                      </c:pt>
                      <c:pt idx="28">
                        <c:v>0.55000000000000004</c:v>
                      </c:pt>
                      <c:pt idx="30">
                        <c:v>0.5</c:v>
                      </c:pt>
                    </c:numCache>
                  </c:numRef>
                </c:xVal>
                <c:yVal>
                  <c:numRef>
                    <c:extLst xmlns:c15="http://schemas.microsoft.com/office/drawing/2012/chart">
                      <c:ext xmlns:c15="http://schemas.microsoft.com/office/drawing/2012/chart" uri="{02D57815-91ED-43cb-92C2-25804820EDAC}">
                        <c15:formulaRef>
                          <c15:sqref>ChartData!$I$3:$I$33</c15:sqref>
                        </c15:formulaRef>
                      </c:ext>
                    </c:extLst>
                    <c:numCache>
                      <c:formatCode>0.000</c:formatCode>
                      <c:ptCount val="31"/>
                      <c:pt idx="0">
                        <c:v>0</c:v>
                      </c:pt>
                      <c:pt idx="1">
                        <c:v>0</c:v>
                      </c:pt>
                      <c:pt idx="3">
                        <c:v>8.6602540378443879E-2</c:v>
                      </c:pt>
                      <c:pt idx="4">
                        <c:v>8.6602540378443879E-2</c:v>
                      </c:pt>
                      <c:pt idx="6">
                        <c:v>0.17320508075688776</c:v>
                      </c:pt>
                      <c:pt idx="7">
                        <c:v>0.17320508075688776</c:v>
                      </c:pt>
                      <c:pt idx="9">
                        <c:v>0.25980762113533162</c:v>
                      </c:pt>
                      <c:pt idx="10">
                        <c:v>0.25980762113533162</c:v>
                      </c:pt>
                      <c:pt idx="12">
                        <c:v>0.34641016151377552</c:v>
                      </c:pt>
                      <c:pt idx="13">
                        <c:v>0.34641016151377552</c:v>
                      </c:pt>
                      <c:pt idx="15">
                        <c:v>0.4330127018922193</c:v>
                      </c:pt>
                      <c:pt idx="16">
                        <c:v>0.4330127018922193</c:v>
                      </c:pt>
                      <c:pt idx="18">
                        <c:v>0.51961524227066325</c:v>
                      </c:pt>
                      <c:pt idx="19">
                        <c:v>0.51961524227066325</c:v>
                      </c:pt>
                      <c:pt idx="21">
                        <c:v>0.60621778264910697</c:v>
                      </c:pt>
                      <c:pt idx="22">
                        <c:v>0.60621778264910697</c:v>
                      </c:pt>
                      <c:pt idx="24">
                        <c:v>0.69282032302755103</c:v>
                      </c:pt>
                      <c:pt idx="25">
                        <c:v>0.69282032302755103</c:v>
                      </c:pt>
                      <c:pt idx="27">
                        <c:v>0.77942286340599476</c:v>
                      </c:pt>
                      <c:pt idx="28">
                        <c:v>0.77942286340599476</c:v>
                      </c:pt>
                      <c:pt idx="30">
                        <c:v>0.8660254037844386</c:v>
                      </c:pt>
                    </c:numCache>
                  </c:numRef>
                </c:yVal>
                <c:smooth val="0"/>
                <c:extLst xmlns:c15="http://schemas.microsoft.com/office/drawing/2012/chart">
                  <c:ext xmlns:c16="http://schemas.microsoft.com/office/drawing/2014/chart" uri="{C3380CC4-5D6E-409C-BE32-E72D297353CC}">
                    <c16:uniqueId val="{000000DF-956A-456E-A399-DEEAAAA0A364}"/>
                  </c:ext>
                </c:extLst>
              </c15:ser>
            </c15:filteredScatterSeries>
            <c15:filteredScatterSeries>
              <c15:ser>
                <c:idx val="2"/>
                <c:order val="3"/>
                <c:tx>
                  <c:v>10/10 Silt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ChartData!$K$3:$K$33</c15:sqref>
                        </c15:formulaRef>
                      </c:ext>
                    </c:extLst>
                    <c:numCache>
                      <c:formatCode>0.000</c:formatCode>
                      <c:ptCount val="31"/>
                      <c:pt idx="0">
                        <c:v>0</c:v>
                      </c:pt>
                      <c:pt idx="1">
                        <c:v>0.5</c:v>
                      </c:pt>
                      <c:pt idx="3">
                        <c:v>0.1</c:v>
                      </c:pt>
                      <c:pt idx="4">
                        <c:v>0.55000000000000004</c:v>
                      </c:pt>
                      <c:pt idx="6">
                        <c:v>0.2</c:v>
                      </c:pt>
                      <c:pt idx="7">
                        <c:v>0.6</c:v>
                      </c:pt>
                      <c:pt idx="9">
                        <c:v>0.3</c:v>
                      </c:pt>
                      <c:pt idx="10">
                        <c:v>0.65</c:v>
                      </c:pt>
                      <c:pt idx="12">
                        <c:v>0.4</c:v>
                      </c:pt>
                      <c:pt idx="13">
                        <c:v>0.7</c:v>
                      </c:pt>
                      <c:pt idx="15">
                        <c:v>0.5</c:v>
                      </c:pt>
                      <c:pt idx="16">
                        <c:v>0.75</c:v>
                      </c:pt>
                      <c:pt idx="18">
                        <c:v>0.6</c:v>
                      </c:pt>
                      <c:pt idx="19">
                        <c:v>0.8</c:v>
                      </c:pt>
                      <c:pt idx="21">
                        <c:v>0.7</c:v>
                      </c:pt>
                      <c:pt idx="22">
                        <c:v>0.85</c:v>
                      </c:pt>
                      <c:pt idx="24">
                        <c:v>0.8</c:v>
                      </c:pt>
                      <c:pt idx="25">
                        <c:v>0.89999999999999991</c:v>
                      </c:pt>
                      <c:pt idx="27">
                        <c:v>0.9</c:v>
                      </c:pt>
                      <c:pt idx="28">
                        <c:v>0.95</c:v>
                      </c:pt>
                      <c:pt idx="30">
                        <c:v>1</c:v>
                      </c:pt>
                    </c:numCache>
                  </c:numRef>
                </c:xVal>
                <c:yVal>
                  <c:numRef>
                    <c:extLst xmlns:c15="http://schemas.microsoft.com/office/drawing/2012/chart">
                      <c:ext xmlns:c15="http://schemas.microsoft.com/office/drawing/2012/chart" uri="{02D57815-91ED-43cb-92C2-25804820EDAC}">
                        <c15:formulaRef>
                          <c15:sqref>ChartData!$L$3:$L$33</c15:sqref>
                        </c15:formulaRef>
                      </c:ext>
                    </c:extLst>
                    <c:numCache>
                      <c:formatCode>0.000</c:formatCode>
                      <c:ptCount val="31"/>
                      <c:pt idx="0">
                        <c:v>0</c:v>
                      </c:pt>
                      <c:pt idx="1">
                        <c:v>0.8660254037844386</c:v>
                      </c:pt>
                      <c:pt idx="3">
                        <c:v>0</c:v>
                      </c:pt>
                      <c:pt idx="4">
                        <c:v>0.77942286340599476</c:v>
                      </c:pt>
                      <c:pt idx="6">
                        <c:v>0</c:v>
                      </c:pt>
                      <c:pt idx="7">
                        <c:v>0.69282032302755103</c:v>
                      </c:pt>
                      <c:pt idx="9">
                        <c:v>0</c:v>
                      </c:pt>
                      <c:pt idx="10">
                        <c:v>0.60621778264910697</c:v>
                      </c:pt>
                      <c:pt idx="12">
                        <c:v>0</c:v>
                      </c:pt>
                      <c:pt idx="13">
                        <c:v>0.51961524227066325</c:v>
                      </c:pt>
                      <c:pt idx="15">
                        <c:v>0</c:v>
                      </c:pt>
                      <c:pt idx="16">
                        <c:v>0.4330127018922193</c:v>
                      </c:pt>
                      <c:pt idx="18">
                        <c:v>0</c:v>
                      </c:pt>
                      <c:pt idx="19">
                        <c:v>0.34641016151377552</c:v>
                      </c:pt>
                      <c:pt idx="21">
                        <c:v>0</c:v>
                      </c:pt>
                      <c:pt idx="22">
                        <c:v>0.25980762113533162</c:v>
                      </c:pt>
                      <c:pt idx="24">
                        <c:v>0</c:v>
                      </c:pt>
                      <c:pt idx="25">
                        <c:v>0.17320508075688776</c:v>
                      </c:pt>
                      <c:pt idx="27">
                        <c:v>0</c:v>
                      </c:pt>
                      <c:pt idx="28">
                        <c:v>8.6602540378443879E-2</c:v>
                      </c:pt>
                      <c:pt idx="30">
                        <c:v>0</c:v>
                      </c:pt>
                    </c:numCache>
                  </c:numRef>
                </c:yVal>
                <c:smooth val="0"/>
                <c:extLst xmlns:c15="http://schemas.microsoft.com/office/drawing/2012/chart">
                  <c:ext xmlns:c16="http://schemas.microsoft.com/office/drawing/2014/chart" uri="{C3380CC4-5D6E-409C-BE32-E72D297353CC}">
                    <c16:uniqueId val="{000000E0-956A-456E-A399-DEEAAAA0A364}"/>
                  </c:ext>
                </c:extLst>
              </c15:ser>
            </c15:filteredScatterSeries>
            <c15:filteredScatterSeries>
              <c15:ser>
                <c:idx val="3"/>
                <c:order val="4"/>
                <c:tx>
                  <c:v>10/10 Sand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ChartData!$N$3:$N$33</c15:sqref>
                        </c15:formulaRef>
                      </c:ext>
                    </c:extLst>
                    <c:numCache>
                      <c:formatCode>0.000</c:formatCode>
                      <c:ptCount val="31"/>
                      <c:pt idx="0">
                        <c:v>1</c:v>
                      </c:pt>
                      <c:pt idx="1">
                        <c:v>0.5</c:v>
                      </c:pt>
                      <c:pt idx="3">
                        <c:v>0.89999999999999991</c:v>
                      </c:pt>
                      <c:pt idx="4">
                        <c:v>0.45</c:v>
                      </c:pt>
                      <c:pt idx="6">
                        <c:v>0.8</c:v>
                      </c:pt>
                      <c:pt idx="7">
                        <c:v>0.4</c:v>
                      </c:pt>
                      <c:pt idx="9">
                        <c:v>0.7</c:v>
                      </c:pt>
                      <c:pt idx="10">
                        <c:v>0.35</c:v>
                      </c:pt>
                      <c:pt idx="12">
                        <c:v>0.6</c:v>
                      </c:pt>
                      <c:pt idx="13">
                        <c:v>0.3</c:v>
                      </c:pt>
                      <c:pt idx="15">
                        <c:v>0.5</c:v>
                      </c:pt>
                      <c:pt idx="16">
                        <c:v>0.25</c:v>
                      </c:pt>
                      <c:pt idx="18">
                        <c:v>0.4</c:v>
                      </c:pt>
                      <c:pt idx="19">
                        <c:v>0.2</c:v>
                      </c:pt>
                      <c:pt idx="21">
                        <c:v>0.3</c:v>
                      </c:pt>
                      <c:pt idx="22">
                        <c:v>0.15</c:v>
                      </c:pt>
                      <c:pt idx="24">
                        <c:v>0.2</c:v>
                      </c:pt>
                      <c:pt idx="25">
                        <c:v>9.9999999999999992E-2</c:v>
                      </c:pt>
                      <c:pt idx="27">
                        <c:v>0.1</c:v>
                      </c:pt>
                      <c:pt idx="28">
                        <c:v>0.05</c:v>
                      </c:pt>
                      <c:pt idx="30">
                        <c:v>0</c:v>
                      </c:pt>
                    </c:numCache>
                  </c:numRef>
                </c:xVal>
                <c:yVal>
                  <c:numRef>
                    <c:extLst xmlns:c15="http://schemas.microsoft.com/office/drawing/2012/chart">
                      <c:ext xmlns:c15="http://schemas.microsoft.com/office/drawing/2012/chart" uri="{02D57815-91ED-43cb-92C2-25804820EDAC}">
                        <c15:formulaRef>
                          <c15:sqref>ChartData!$O$3:$O$33</c15:sqref>
                        </c15:formulaRef>
                      </c:ext>
                    </c:extLst>
                    <c:numCache>
                      <c:formatCode>0.000</c:formatCode>
                      <c:ptCount val="31"/>
                      <c:pt idx="0">
                        <c:v>0</c:v>
                      </c:pt>
                      <c:pt idx="1">
                        <c:v>0.8660254037844386</c:v>
                      </c:pt>
                      <c:pt idx="3">
                        <c:v>0</c:v>
                      </c:pt>
                      <c:pt idx="4">
                        <c:v>0.77942286340599476</c:v>
                      </c:pt>
                      <c:pt idx="6">
                        <c:v>0</c:v>
                      </c:pt>
                      <c:pt idx="7">
                        <c:v>0.69282032302755103</c:v>
                      </c:pt>
                      <c:pt idx="9">
                        <c:v>0</c:v>
                      </c:pt>
                      <c:pt idx="10">
                        <c:v>0.60621778264910697</c:v>
                      </c:pt>
                      <c:pt idx="12">
                        <c:v>0</c:v>
                      </c:pt>
                      <c:pt idx="13">
                        <c:v>0.51961524227066325</c:v>
                      </c:pt>
                      <c:pt idx="15">
                        <c:v>0</c:v>
                      </c:pt>
                      <c:pt idx="16">
                        <c:v>0.4330127018922193</c:v>
                      </c:pt>
                      <c:pt idx="18">
                        <c:v>0</c:v>
                      </c:pt>
                      <c:pt idx="19">
                        <c:v>0.34641016151377552</c:v>
                      </c:pt>
                      <c:pt idx="21">
                        <c:v>0</c:v>
                      </c:pt>
                      <c:pt idx="22">
                        <c:v>0.25980762113533162</c:v>
                      </c:pt>
                      <c:pt idx="24">
                        <c:v>0</c:v>
                      </c:pt>
                      <c:pt idx="25">
                        <c:v>0.17320508075688776</c:v>
                      </c:pt>
                      <c:pt idx="27">
                        <c:v>0</c:v>
                      </c:pt>
                      <c:pt idx="28">
                        <c:v>8.6602540378443879E-2</c:v>
                      </c:pt>
                      <c:pt idx="30">
                        <c:v>0</c:v>
                      </c:pt>
                    </c:numCache>
                  </c:numRef>
                </c:yVal>
                <c:smooth val="0"/>
                <c:extLst xmlns:c15="http://schemas.microsoft.com/office/drawing/2012/chart">
                  <c:ext xmlns:c16="http://schemas.microsoft.com/office/drawing/2014/chart" uri="{C3380CC4-5D6E-409C-BE32-E72D297353CC}">
                    <c16:uniqueId val="{000000E1-956A-456E-A399-DEEAAAA0A364}"/>
                  </c:ext>
                </c:extLst>
              </c15:ser>
            </c15:filteredScatterSeries>
            <c15:filteredScatterSeries>
              <c15:ser>
                <c:idx val="4"/>
                <c:order val="5"/>
                <c:tx>
                  <c:v>10/10 Clay Ticks</c:v>
                </c:tx>
                <c:spPr>
                  <a:ln w="6350">
                    <a:solidFill>
                      <a:srgbClr val="000000"/>
                    </a:solidFill>
                  </a:ln>
                </c:spPr>
                <c:marker>
                  <c:spPr>
                    <a:noFill/>
                    <a:ln>
                      <a:noFill/>
                    </a:ln>
                  </c:spPr>
                </c:marker>
                <c:xVal>
                  <c:numRef>
                    <c:extLst xmlns:c15="http://schemas.microsoft.com/office/drawing/2012/chart">
                      <c:ext xmlns:c15="http://schemas.microsoft.com/office/drawing/2012/chart" uri="{02D57815-91ED-43cb-92C2-25804820EDAC}">
                        <c15:formulaRef>
                          <c15:sqref>ChartData!$Q$3:$Q$34</c15:sqref>
                        </c15:formulaRef>
                      </c:ext>
                    </c:extLst>
                    <c:numCache>
                      <c:formatCode>0.000</c:formatCode>
                      <c:ptCount val="32"/>
                      <c:pt idx="0">
                        <c:v>0</c:v>
                      </c:pt>
                      <c:pt idx="1">
                        <c:v>-0.03</c:v>
                      </c:pt>
                      <c:pt idx="3">
                        <c:v>0.05</c:v>
                      </c:pt>
                      <c:pt idx="4">
                        <c:v>2.0000000000000004E-2</c:v>
                      </c:pt>
                      <c:pt idx="6">
                        <c:v>9.9999999999999992E-2</c:v>
                      </c:pt>
                      <c:pt idx="7">
                        <c:v>6.9999999999999993E-2</c:v>
                      </c:pt>
                      <c:pt idx="9">
                        <c:v>0.15</c:v>
                      </c:pt>
                      <c:pt idx="10">
                        <c:v>0.12</c:v>
                      </c:pt>
                      <c:pt idx="12">
                        <c:v>0.2</c:v>
                      </c:pt>
                      <c:pt idx="13">
                        <c:v>0.17</c:v>
                      </c:pt>
                      <c:pt idx="15">
                        <c:v>0.25</c:v>
                      </c:pt>
                      <c:pt idx="16">
                        <c:v>0.22</c:v>
                      </c:pt>
                      <c:pt idx="18">
                        <c:v>0.3</c:v>
                      </c:pt>
                      <c:pt idx="19">
                        <c:v>0.27</c:v>
                      </c:pt>
                      <c:pt idx="21">
                        <c:v>0.35</c:v>
                      </c:pt>
                      <c:pt idx="22">
                        <c:v>0.31999999999999995</c:v>
                      </c:pt>
                      <c:pt idx="24">
                        <c:v>0.4</c:v>
                      </c:pt>
                      <c:pt idx="25">
                        <c:v>0.37</c:v>
                      </c:pt>
                      <c:pt idx="27">
                        <c:v>0.45</c:v>
                      </c:pt>
                      <c:pt idx="28">
                        <c:v>0.42000000000000004</c:v>
                      </c:pt>
                      <c:pt idx="30">
                        <c:v>0.5</c:v>
                      </c:pt>
                      <c:pt idx="31">
                        <c:v>0.47</c:v>
                      </c:pt>
                    </c:numCache>
                  </c:numRef>
                </c:xVal>
                <c:yVal>
                  <c:numRef>
                    <c:extLst xmlns:c15="http://schemas.microsoft.com/office/drawing/2012/chart">
                      <c:ext xmlns:c15="http://schemas.microsoft.com/office/drawing/2012/chart" uri="{02D57815-91ED-43cb-92C2-25804820EDAC}">
                        <c15:formulaRef>
                          <c15:sqref>ChartData!$R$3:$R$34</c15:sqref>
                        </c15:formulaRef>
                      </c:ext>
                    </c:extLst>
                    <c:numCache>
                      <c:formatCode>0.000</c:formatCode>
                      <c:ptCount val="32"/>
                      <c:pt idx="0">
                        <c:v>0</c:v>
                      </c:pt>
                      <c:pt idx="1">
                        <c:v>0</c:v>
                      </c:pt>
                      <c:pt idx="3">
                        <c:v>8.6602540378443879E-2</c:v>
                      </c:pt>
                      <c:pt idx="4">
                        <c:v>8.6602540378443879E-2</c:v>
                      </c:pt>
                      <c:pt idx="6">
                        <c:v>0.17320508075688776</c:v>
                      </c:pt>
                      <c:pt idx="7">
                        <c:v>0.17320508075688776</c:v>
                      </c:pt>
                      <c:pt idx="9">
                        <c:v>0.25980762113533162</c:v>
                      </c:pt>
                      <c:pt idx="10">
                        <c:v>0.25980762113533162</c:v>
                      </c:pt>
                      <c:pt idx="12">
                        <c:v>0.34641016151377552</c:v>
                      </c:pt>
                      <c:pt idx="13">
                        <c:v>0.34641016151377552</c:v>
                      </c:pt>
                      <c:pt idx="15">
                        <c:v>0.4330127018922193</c:v>
                      </c:pt>
                      <c:pt idx="16">
                        <c:v>0.4330127018922193</c:v>
                      </c:pt>
                      <c:pt idx="18">
                        <c:v>0.51961524227066325</c:v>
                      </c:pt>
                      <c:pt idx="19">
                        <c:v>0.51961524227066325</c:v>
                      </c:pt>
                      <c:pt idx="21">
                        <c:v>0.60621778264910697</c:v>
                      </c:pt>
                      <c:pt idx="22">
                        <c:v>0.60621778264910697</c:v>
                      </c:pt>
                      <c:pt idx="24">
                        <c:v>0.69282032302755103</c:v>
                      </c:pt>
                      <c:pt idx="25">
                        <c:v>0.69282032302755103</c:v>
                      </c:pt>
                      <c:pt idx="27">
                        <c:v>0.77942286340599476</c:v>
                      </c:pt>
                      <c:pt idx="28">
                        <c:v>0.77942286340599476</c:v>
                      </c:pt>
                      <c:pt idx="30">
                        <c:v>0.8660254037844386</c:v>
                      </c:pt>
                      <c:pt idx="31">
                        <c:v>0.8660254037844386</c:v>
                      </c:pt>
                    </c:numCache>
                  </c:numRef>
                </c:yVal>
                <c:smooth val="0"/>
                <c:extLst xmlns:c15="http://schemas.microsoft.com/office/drawing/2012/chart">
                  <c:ext xmlns:c16="http://schemas.microsoft.com/office/drawing/2014/chart" uri="{C3380CC4-5D6E-409C-BE32-E72D297353CC}">
                    <c16:uniqueId val="{000000E2-956A-456E-A399-DEEAAAA0A364}"/>
                  </c:ext>
                </c:extLst>
              </c15:ser>
            </c15:filteredScatterSeries>
            <c15:filteredScatterSeries>
              <c15:ser>
                <c:idx val="5"/>
                <c:order val="6"/>
                <c:tx>
                  <c:v>10/10 Silt Ticks</c:v>
                </c:tx>
                <c:spPr>
                  <a:ln w="6350">
                    <a:solidFill>
                      <a:srgbClr val="000000"/>
                    </a:solidFill>
                  </a:ln>
                </c:spPr>
                <c:marker>
                  <c:spPr>
                    <a:noFill/>
                    <a:ln>
                      <a:noFill/>
                    </a:ln>
                  </c:spPr>
                </c:marker>
                <c:xVal>
                  <c:numRef>
                    <c:extLst xmlns:c15="http://schemas.microsoft.com/office/drawing/2012/chart">
                      <c:ext xmlns:c15="http://schemas.microsoft.com/office/drawing/2012/chart" uri="{02D57815-91ED-43cb-92C2-25804820EDAC}">
                        <c15:formulaRef>
                          <c15:sqref>ChartData!$T$3:$T$34</c15:sqref>
                        </c15:formulaRef>
                      </c:ext>
                    </c:extLst>
                    <c:numCache>
                      <c:formatCode>0.000</c:formatCode>
                      <c:ptCount val="32"/>
                      <c:pt idx="0">
                        <c:v>0.5</c:v>
                      </c:pt>
                      <c:pt idx="1">
                        <c:v>0.51500000000000001</c:v>
                      </c:pt>
                      <c:pt idx="3">
                        <c:v>0.55000000000000004</c:v>
                      </c:pt>
                      <c:pt idx="4">
                        <c:v>0.56500000000000006</c:v>
                      </c:pt>
                      <c:pt idx="6">
                        <c:v>0.6</c:v>
                      </c:pt>
                      <c:pt idx="7">
                        <c:v>0.61499999999999999</c:v>
                      </c:pt>
                      <c:pt idx="9">
                        <c:v>0.65</c:v>
                      </c:pt>
                      <c:pt idx="10">
                        <c:v>0.66500000000000004</c:v>
                      </c:pt>
                      <c:pt idx="12">
                        <c:v>0.7</c:v>
                      </c:pt>
                      <c:pt idx="13">
                        <c:v>0.71499999999999997</c:v>
                      </c:pt>
                      <c:pt idx="15">
                        <c:v>0.75</c:v>
                      </c:pt>
                      <c:pt idx="16">
                        <c:v>0.76500000000000001</c:v>
                      </c:pt>
                      <c:pt idx="18">
                        <c:v>0.8</c:v>
                      </c:pt>
                      <c:pt idx="19">
                        <c:v>0.81500000000000006</c:v>
                      </c:pt>
                      <c:pt idx="21">
                        <c:v>0.85</c:v>
                      </c:pt>
                      <c:pt idx="22">
                        <c:v>0.86499999999999999</c:v>
                      </c:pt>
                      <c:pt idx="24">
                        <c:v>0.89999999999999991</c:v>
                      </c:pt>
                      <c:pt idx="25">
                        <c:v>0.91499999999999992</c:v>
                      </c:pt>
                      <c:pt idx="27">
                        <c:v>0.95</c:v>
                      </c:pt>
                      <c:pt idx="28">
                        <c:v>0.96499999999999997</c:v>
                      </c:pt>
                      <c:pt idx="30">
                        <c:v>1</c:v>
                      </c:pt>
                      <c:pt idx="31">
                        <c:v>1.0149999999999999</c:v>
                      </c:pt>
                    </c:numCache>
                  </c:numRef>
                </c:xVal>
                <c:yVal>
                  <c:numRef>
                    <c:extLst xmlns:c15="http://schemas.microsoft.com/office/drawing/2012/chart">
                      <c:ext xmlns:c15="http://schemas.microsoft.com/office/drawing/2012/chart" uri="{02D57815-91ED-43cb-92C2-25804820EDAC}">
                        <c15:formulaRef>
                          <c15:sqref>ChartData!$U$3:$U$34</c15:sqref>
                        </c15:formulaRef>
                      </c:ext>
                    </c:extLst>
                    <c:numCache>
                      <c:formatCode>0.000</c:formatCode>
                      <c:ptCount val="32"/>
                      <c:pt idx="0">
                        <c:v>0.8660254037844386</c:v>
                      </c:pt>
                      <c:pt idx="1">
                        <c:v>0.8920054037844386</c:v>
                      </c:pt>
                      <c:pt idx="3">
                        <c:v>0.77942286340599476</c:v>
                      </c:pt>
                      <c:pt idx="4">
                        <c:v>0.80540286340599476</c:v>
                      </c:pt>
                      <c:pt idx="6">
                        <c:v>0.69282032302755103</c:v>
                      </c:pt>
                      <c:pt idx="7">
                        <c:v>0.71880032302755104</c:v>
                      </c:pt>
                      <c:pt idx="9">
                        <c:v>0.60621778264910697</c:v>
                      </c:pt>
                      <c:pt idx="10">
                        <c:v>0.63219778264910698</c:v>
                      </c:pt>
                      <c:pt idx="12">
                        <c:v>0.51961524227066325</c:v>
                      </c:pt>
                      <c:pt idx="13">
                        <c:v>0.54559524227066325</c:v>
                      </c:pt>
                      <c:pt idx="15">
                        <c:v>0.4330127018922193</c:v>
                      </c:pt>
                      <c:pt idx="16">
                        <c:v>0.4589927018922193</c:v>
                      </c:pt>
                      <c:pt idx="18">
                        <c:v>0.34641016151377552</c:v>
                      </c:pt>
                      <c:pt idx="19">
                        <c:v>0.37239016151377552</c:v>
                      </c:pt>
                      <c:pt idx="21">
                        <c:v>0.25980762113533162</c:v>
                      </c:pt>
                      <c:pt idx="22">
                        <c:v>0.28578762113533163</c:v>
                      </c:pt>
                      <c:pt idx="24">
                        <c:v>0.17320508075688776</c:v>
                      </c:pt>
                      <c:pt idx="25">
                        <c:v>0.19918508075688776</c:v>
                      </c:pt>
                      <c:pt idx="27">
                        <c:v>8.6602540378443879E-2</c:v>
                      </c:pt>
                      <c:pt idx="28">
                        <c:v>0.11258254037844388</c:v>
                      </c:pt>
                      <c:pt idx="30">
                        <c:v>0</c:v>
                      </c:pt>
                      <c:pt idx="31">
                        <c:v>2.598E-2</c:v>
                      </c:pt>
                    </c:numCache>
                  </c:numRef>
                </c:yVal>
                <c:smooth val="0"/>
                <c:extLst xmlns:c15="http://schemas.microsoft.com/office/drawing/2012/chart">
                  <c:ext xmlns:c16="http://schemas.microsoft.com/office/drawing/2014/chart" uri="{C3380CC4-5D6E-409C-BE32-E72D297353CC}">
                    <c16:uniqueId val="{000000E3-956A-456E-A399-DEEAAAA0A364}"/>
                  </c:ext>
                </c:extLst>
              </c15:ser>
            </c15:filteredScatterSeries>
            <c15:filteredScatterSeries>
              <c15:ser>
                <c:idx val="7"/>
                <c:order val="7"/>
                <c:tx>
                  <c:v>10/10 Sand Ticks</c:v>
                </c:tx>
                <c:spPr>
                  <a:ln>
                    <a:noFill/>
                  </a:ln>
                </c:spPr>
                <c:marker>
                  <c:symbol val="square"/>
                  <c:size val="5"/>
                  <c:spPr>
                    <a:solidFill>
                      <a:srgbClr val="FF0000"/>
                    </a:solidFill>
                    <a:ln>
                      <a:solidFill>
                        <a:srgbClr val="FF0000"/>
                      </a:solidFill>
                    </a:ln>
                  </c:spPr>
                </c:marker>
                <c:xVal>
                  <c:numRef>
                    <c:extLst xmlns:c15="http://schemas.microsoft.com/office/drawing/2012/chart">
                      <c:ext xmlns:c15="http://schemas.microsoft.com/office/drawing/2012/chart" uri="{02D57815-91ED-43cb-92C2-25804820EDAC}">
                        <c15:formulaRef>
                          <c15:sqref>ChartData!$W$3:$W$34</c15:sqref>
                        </c15:formulaRef>
                      </c:ext>
                    </c:extLst>
                    <c:numCache>
                      <c:formatCode>0.000</c:formatCode>
                      <c:ptCount val="32"/>
                      <c:pt idx="0">
                        <c:v>1</c:v>
                      </c:pt>
                      <c:pt idx="1">
                        <c:v>1.0149999999999999</c:v>
                      </c:pt>
                      <c:pt idx="3">
                        <c:v>0.89999999999999991</c:v>
                      </c:pt>
                      <c:pt idx="4">
                        <c:v>0.91499999999999992</c:v>
                      </c:pt>
                      <c:pt idx="6">
                        <c:v>0.8</c:v>
                      </c:pt>
                      <c:pt idx="7">
                        <c:v>0.81500000000000006</c:v>
                      </c:pt>
                      <c:pt idx="9">
                        <c:v>0.7</c:v>
                      </c:pt>
                      <c:pt idx="10">
                        <c:v>0.71499999999999997</c:v>
                      </c:pt>
                      <c:pt idx="12">
                        <c:v>0.6</c:v>
                      </c:pt>
                      <c:pt idx="13">
                        <c:v>0.61499999999999999</c:v>
                      </c:pt>
                      <c:pt idx="15">
                        <c:v>0.5</c:v>
                      </c:pt>
                      <c:pt idx="16">
                        <c:v>0.51500000000000001</c:v>
                      </c:pt>
                      <c:pt idx="18">
                        <c:v>0.4</c:v>
                      </c:pt>
                      <c:pt idx="19">
                        <c:v>0.41500000000000004</c:v>
                      </c:pt>
                      <c:pt idx="21">
                        <c:v>0.3</c:v>
                      </c:pt>
                      <c:pt idx="22">
                        <c:v>0.315</c:v>
                      </c:pt>
                      <c:pt idx="24">
                        <c:v>0.2</c:v>
                      </c:pt>
                      <c:pt idx="25">
                        <c:v>0.21500000000000002</c:v>
                      </c:pt>
                      <c:pt idx="27">
                        <c:v>0.1</c:v>
                      </c:pt>
                      <c:pt idx="28">
                        <c:v>0.115</c:v>
                      </c:pt>
                      <c:pt idx="30">
                        <c:v>0</c:v>
                      </c:pt>
                      <c:pt idx="31">
                        <c:v>1.4999999999999999E-2</c:v>
                      </c:pt>
                    </c:numCache>
                  </c:numRef>
                </c:xVal>
                <c:yVal>
                  <c:numRef>
                    <c:extLst xmlns:c15="http://schemas.microsoft.com/office/drawing/2012/chart">
                      <c:ext xmlns:c15="http://schemas.microsoft.com/office/drawing/2012/chart" uri="{02D57815-91ED-43cb-92C2-25804820EDAC}">
                        <c15:formulaRef>
                          <c15:sqref>ChartData!$X$3:$X$34</c15:sqref>
                        </c15:formulaRef>
                      </c:ext>
                    </c:extLst>
                    <c:numCache>
                      <c:formatCode>0.000</c:formatCode>
                      <c:ptCount val="32"/>
                      <c:pt idx="0">
                        <c:v>0</c:v>
                      </c:pt>
                      <c:pt idx="1">
                        <c:v>-2.598E-2</c:v>
                      </c:pt>
                      <c:pt idx="3">
                        <c:v>0</c:v>
                      </c:pt>
                      <c:pt idx="4">
                        <c:v>-2.598E-2</c:v>
                      </c:pt>
                      <c:pt idx="6">
                        <c:v>0</c:v>
                      </c:pt>
                      <c:pt idx="7">
                        <c:v>-2.598E-2</c:v>
                      </c:pt>
                      <c:pt idx="9">
                        <c:v>0</c:v>
                      </c:pt>
                      <c:pt idx="10">
                        <c:v>-2.598E-2</c:v>
                      </c:pt>
                      <c:pt idx="12">
                        <c:v>0</c:v>
                      </c:pt>
                      <c:pt idx="13">
                        <c:v>-2.598E-2</c:v>
                      </c:pt>
                      <c:pt idx="15">
                        <c:v>0</c:v>
                      </c:pt>
                      <c:pt idx="16">
                        <c:v>-2.598E-2</c:v>
                      </c:pt>
                      <c:pt idx="18">
                        <c:v>0</c:v>
                      </c:pt>
                      <c:pt idx="19">
                        <c:v>-2.598E-2</c:v>
                      </c:pt>
                      <c:pt idx="21">
                        <c:v>0</c:v>
                      </c:pt>
                      <c:pt idx="22">
                        <c:v>-2.598E-2</c:v>
                      </c:pt>
                      <c:pt idx="24">
                        <c:v>0</c:v>
                      </c:pt>
                      <c:pt idx="25">
                        <c:v>-2.598E-2</c:v>
                      </c:pt>
                      <c:pt idx="27">
                        <c:v>0</c:v>
                      </c:pt>
                      <c:pt idx="28">
                        <c:v>-2.598E-2</c:v>
                      </c:pt>
                      <c:pt idx="30">
                        <c:v>0</c:v>
                      </c:pt>
                      <c:pt idx="31">
                        <c:v>-2.598E-2</c:v>
                      </c:pt>
                    </c:numCache>
                  </c:numRef>
                </c:yVal>
                <c:smooth val="0"/>
                <c:extLst xmlns:c15="http://schemas.microsoft.com/office/drawing/2012/chart">
                  <c:ext xmlns:c16="http://schemas.microsoft.com/office/drawing/2014/chart" uri="{C3380CC4-5D6E-409C-BE32-E72D297353CC}">
                    <c16:uniqueId val="{000000E4-956A-456E-A399-DEEAAAA0A364}"/>
                  </c:ext>
                </c:extLst>
              </c15:ser>
            </c15:filteredScatterSeries>
            <c15:filteredScatterSeries>
              <c15:ser>
                <c:idx val="8"/>
                <c:order val="8"/>
                <c:tx>
                  <c:v>100/100 Points</c:v>
                </c:tx>
                <c:spPr>
                  <a:ln>
                    <a:noFill/>
                  </a:ln>
                </c:spPr>
                <c:marker>
                  <c:symbol val="circle"/>
                  <c:size val="2"/>
                  <c:spPr>
                    <a:solidFill>
                      <a:srgbClr val="7030A0"/>
                    </a:solidFill>
                    <a:ln w="3175" cap="rnd">
                      <a:noFill/>
                    </a:ln>
                  </c:spPr>
                </c:marker>
                <c:xVal>
                  <c:numRef>
                    <c:extLst xmlns:c15="http://schemas.microsoft.com/office/drawing/2012/chart">
                      <c:ext xmlns:c15="http://schemas.microsoft.com/office/drawing/2012/chart" uri="{02D57815-91ED-43cb-92C2-25804820EDAC}">
                        <c15:formulaRef>
                          <c15:sqref>ChartData!$AR$3:$AR$5253</c15:sqref>
                        </c15:formulaRef>
                      </c:ext>
                    </c:extLst>
                    <c:numCache>
                      <c:formatCode>0.000</c:formatCode>
                      <c:ptCount val="525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2">
                        <c:v>5.0000000000000001E-3</c:v>
                      </c:pt>
                      <c:pt idx="103">
                        <c:v>1.4999999999999999E-2</c:v>
                      </c:pt>
                      <c:pt idx="104">
                        <c:v>2.5000000000000001E-2</c:v>
                      </c:pt>
                      <c:pt idx="105">
                        <c:v>3.5000000000000003E-2</c:v>
                      </c:pt>
                      <c:pt idx="106">
                        <c:v>4.5000000000000005E-2</c:v>
                      </c:pt>
                      <c:pt idx="107">
                        <c:v>5.5000000000000007E-2</c:v>
                      </c:pt>
                      <c:pt idx="108">
                        <c:v>6.5000000000000002E-2</c:v>
                      </c:pt>
                      <c:pt idx="109">
                        <c:v>7.4999999999999997E-2</c:v>
                      </c:pt>
                      <c:pt idx="110">
                        <c:v>8.4999999999999992E-2</c:v>
                      </c:pt>
                      <c:pt idx="111">
                        <c:v>9.4999999999999987E-2</c:v>
                      </c:pt>
                      <c:pt idx="112">
                        <c:v>0.10499999999999998</c:v>
                      </c:pt>
                      <c:pt idx="113">
                        <c:v>0.11499999999999998</c:v>
                      </c:pt>
                      <c:pt idx="114">
                        <c:v>0.12499999999999997</c:v>
                      </c:pt>
                      <c:pt idx="115">
                        <c:v>0.13499999999999998</c:v>
                      </c:pt>
                      <c:pt idx="116">
                        <c:v>0.14499999999999999</c:v>
                      </c:pt>
                      <c:pt idx="117">
                        <c:v>0.155</c:v>
                      </c:pt>
                      <c:pt idx="118">
                        <c:v>0.16500000000000001</c:v>
                      </c:pt>
                      <c:pt idx="119">
                        <c:v>0.17500000000000002</c:v>
                      </c:pt>
                      <c:pt idx="120">
                        <c:v>0.18500000000000003</c:v>
                      </c:pt>
                      <c:pt idx="121">
                        <c:v>0.19500000000000003</c:v>
                      </c:pt>
                      <c:pt idx="122">
                        <c:v>0.20500000000000004</c:v>
                      </c:pt>
                      <c:pt idx="123">
                        <c:v>0.21500000000000005</c:v>
                      </c:pt>
                      <c:pt idx="124">
                        <c:v>0.22500000000000006</c:v>
                      </c:pt>
                      <c:pt idx="125">
                        <c:v>0.23500000000000007</c:v>
                      </c:pt>
                      <c:pt idx="126">
                        <c:v>0.24500000000000008</c:v>
                      </c:pt>
                      <c:pt idx="127">
                        <c:v>0.25500000000000006</c:v>
                      </c:pt>
                      <c:pt idx="128">
                        <c:v>0.26500000000000007</c:v>
                      </c:pt>
                      <c:pt idx="129">
                        <c:v>0.27500000000000008</c:v>
                      </c:pt>
                      <c:pt idx="130">
                        <c:v>0.28500000000000009</c:v>
                      </c:pt>
                      <c:pt idx="131">
                        <c:v>0.2950000000000001</c:v>
                      </c:pt>
                      <c:pt idx="132">
                        <c:v>0.3050000000000001</c:v>
                      </c:pt>
                      <c:pt idx="133">
                        <c:v>0.31500000000000011</c:v>
                      </c:pt>
                      <c:pt idx="134">
                        <c:v>0.32500000000000012</c:v>
                      </c:pt>
                      <c:pt idx="135">
                        <c:v>0.33500000000000013</c:v>
                      </c:pt>
                      <c:pt idx="136">
                        <c:v>0.34500000000000014</c:v>
                      </c:pt>
                      <c:pt idx="137">
                        <c:v>0.35500000000000015</c:v>
                      </c:pt>
                      <c:pt idx="138">
                        <c:v>0.36500000000000016</c:v>
                      </c:pt>
                      <c:pt idx="139">
                        <c:v>0.37500000000000017</c:v>
                      </c:pt>
                      <c:pt idx="140">
                        <c:v>0.38500000000000018</c:v>
                      </c:pt>
                      <c:pt idx="141">
                        <c:v>0.39500000000000018</c:v>
                      </c:pt>
                      <c:pt idx="142">
                        <c:v>0.40500000000000019</c:v>
                      </c:pt>
                      <c:pt idx="143">
                        <c:v>0.4150000000000002</c:v>
                      </c:pt>
                      <c:pt idx="144">
                        <c:v>0.42500000000000021</c:v>
                      </c:pt>
                      <c:pt idx="145">
                        <c:v>0.43500000000000022</c:v>
                      </c:pt>
                      <c:pt idx="146">
                        <c:v>0.44500000000000023</c:v>
                      </c:pt>
                      <c:pt idx="147">
                        <c:v>0.45500000000000024</c:v>
                      </c:pt>
                      <c:pt idx="148">
                        <c:v>0.46500000000000025</c:v>
                      </c:pt>
                      <c:pt idx="149">
                        <c:v>0.47500000000000026</c:v>
                      </c:pt>
                      <c:pt idx="150">
                        <c:v>0.48500000000000026</c:v>
                      </c:pt>
                      <c:pt idx="151">
                        <c:v>0.49500000000000027</c:v>
                      </c:pt>
                      <c:pt idx="152">
                        <c:v>0.50500000000000023</c:v>
                      </c:pt>
                      <c:pt idx="153">
                        <c:v>0.51500000000000024</c:v>
                      </c:pt>
                      <c:pt idx="154">
                        <c:v>0.52500000000000024</c:v>
                      </c:pt>
                      <c:pt idx="155">
                        <c:v>0.53500000000000025</c:v>
                      </c:pt>
                      <c:pt idx="156">
                        <c:v>0.54500000000000026</c:v>
                      </c:pt>
                      <c:pt idx="157">
                        <c:v>0.55500000000000027</c:v>
                      </c:pt>
                      <c:pt idx="158">
                        <c:v>0.56500000000000028</c:v>
                      </c:pt>
                      <c:pt idx="159">
                        <c:v>0.57500000000000029</c:v>
                      </c:pt>
                      <c:pt idx="160">
                        <c:v>0.5850000000000003</c:v>
                      </c:pt>
                      <c:pt idx="161">
                        <c:v>0.59500000000000031</c:v>
                      </c:pt>
                      <c:pt idx="162">
                        <c:v>0.60500000000000032</c:v>
                      </c:pt>
                      <c:pt idx="163">
                        <c:v>0.61500000000000032</c:v>
                      </c:pt>
                      <c:pt idx="164">
                        <c:v>0.62500000000000033</c:v>
                      </c:pt>
                      <c:pt idx="165">
                        <c:v>0.63500000000000034</c:v>
                      </c:pt>
                      <c:pt idx="166">
                        <c:v>0.64500000000000035</c:v>
                      </c:pt>
                      <c:pt idx="167">
                        <c:v>0.65500000000000036</c:v>
                      </c:pt>
                      <c:pt idx="168">
                        <c:v>0.66500000000000037</c:v>
                      </c:pt>
                      <c:pt idx="169">
                        <c:v>0.67500000000000038</c:v>
                      </c:pt>
                      <c:pt idx="170">
                        <c:v>0.68500000000000039</c:v>
                      </c:pt>
                      <c:pt idx="171">
                        <c:v>0.6950000000000004</c:v>
                      </c:pt>
                      <c:pt idx="172">
                        <c:v>0.7050000000000004</c:v>
                      </c:pt>
                      <c:pt idx="173">
                        <c:v>0.71500000000000041</c:v>
                      </c:pt>
                      <c:pt idx="174">
                        <c:v>0.72500000000000042</c:v>
                      </c:pt>
                      <c:pt idx="175">
                        <c:v>0.73500000000000043</c:v>
                      </c:pt>
                      <c:pt idx="176">
                        <c:v>0.74500000000000044</c:v>
                      </c:pt>
                      <c:pt idx="177">
                        <c:v>0.75500000000000045</c:v>
                      </c:pt>
                      <c:pt idx="178">
                        <c:v>0.76500000000000046</c:v>
                      </c:pt>
                      <c:pt idx="179">
                        <c:v>0.77500000000000047</c:v>
                      </c:pt>
                      <c:pt idx="180">
                        <c:v>0.78500000000000048</c:v>
                      </c:pt>
                      <c:pt idx="181">
                        <c:v>0.79500000000000048</c:v>
                      </c:pt>
                      <c:pt idx="182">
                        <c:v>0.80500000000000049</c:v>
                      </c:pt>
                      <c:pt idx="183">
                        <c:v>0.8150000000000005</c:v>
                      </c:pt>
                      <c:pt idx="184">
                        <c:v>0.82500000000000051</c:v>
                      </c:pt>
                      <c:pt idx="185">
                        <c:v>0.83500000000000052</c:v>
                      </c:pt>
                      <c:pt idx="186">
                        <c:v>0.84500000000000053</c:v>
                      </c:pt>
                      <c:pt idx="187">
                        <c:v>0.85500000000000054</c:v>
                      </c:pt>
                      <c:pt idx="188">
                        <c:v>0.86500000000000055</c:v>
                      </c:pt>
                      <c:pt idx="189">
                        <c:v>0.87500000000000056</c:v>
                      </c:pt>
                      <c:pt idx="190">
                        <c:v>0.88500000000000056</c:v>
                      </c:pt>
                      <c:pt idx="191">
                        <c:v>0.89500000000000057</c:v>
                      </c:pt>
                      <c:pt idx="192">
                        <c:v>0.90500000000000058</c:v>
                      </c:pt>
                      <c:pt idx="193">
                        <c:v>0.91500000000000059</c:v>
                      </c:pt>
                      <c:pt idx="194">
                        <c:v>0.9250000000000006</c:v>
                      </c:pt>
                      <c:pt idx="195">
                        <c:v>0.93500000000000061</c:v>
                      </c:pt>
                      <c:pt idx="196">
                        <c:v>0.94500000000000062</c:v>
                      </c:pt>
                      <c:pt idx="197">
                        <c:v>0.95500000000000063</c:v>
                      </c:pt>
                      <c:pt idx="198">
                        <c:v>0.96500000000000064</c:v>
                      </c:pt>
                      <c:pt idx="199">
                        <c:v>0.97500000000000064</c:v>
                      </c:pt>
                      <c:pt idx="200">
                        <c:v>0.98500000000000065</c:v>
                      </c:pt>
                      <c:pt idx="201">
                        <c:v>0.99500000000000066</c:v>
                      </c:pt>
                      <c:pt idx="203">
                        <c:v>0.01</c:v>
                      </c:pt>
                      <c:pt idx="204">
                        <c:v>0.02</c:v>
                      </c:pt>
                      <c:pt idx="205">
                        <c:v>0.03</c:v>
                      </c:pt>
                      <c:pt idx="206">
                        <c:v>0.04</c:v>
                      </c:pt>
                      <c:pt idx="207">
                        <c:v>0.05</c:v>
                      </c:pt>
                      <c:pt idx="208">
                        <c:v>6.0000000000000005E-2</c:v>
                      </c:pt>
                      <c:pt idx="209">
                        <c:v>7.0000000000000007E-2</c:v>
                      </c:pt>
                      <c:pt idx="210">
                        <c:v>0.08</c:v>
                      </c:pt>
                      <c:pt idx="211">
                        <c:v>0.09</c:v>
                      </c:pt>
                      <c:pt idx="212">
                        <c:v>9.9999999999999992E-2</c:v>
                      </c:pt>
                      <c:pt idx="213">
                        <c:v>0.10999999999999999</c:v>
                      </c:pt>
                      <c:pt idx="214">
                        <c:v>0.11999999999999998</c:v>
                      </c:pt>
                      <c:pt idx="215">
                        <c:v>0.12999999999999998</c:v>
                      </c:pt>
                      <c:pt idx="216">
                        <c:v>0.13999999999999999</c:v>
                      </c:pt>
                      <c:pt idx="217">
                        <c:v>0.15</c:v>
                      </c:pt>
                      <c:pt idx="218">
                        <c:v>0.16</c:v>
                      </c:pt>
                      <c:pt idx="219">
                        <c:v>0.17</c:v>
                      </c:pt>
                      <c:pt idx="220">
                        <c:v>0.18000000000000002</c:v>
                      </c:pt>
                      <c:pt idx="221">
                        <c:v>0.19000000000000003</c:v>
                      </c:pt>
                      <c:pt idx="222">
                        <c:v>0.20000000000000004</c:v>
                      </c:pt>
                      <c:pt idx="223">
                        <c:v>0.21000000000000005</c:v>
                      </c:pt>
                      <c:pt idx="224">
                        <c:v>0.22000000000000006</c:v>
                      </c:pt>
                      <c:pt idx="225">
                        <c:v>0.23000000000000007</c:v>
                      </c:pt>
                      <c:pt idx="226">
                        <c:v>0.24000000000000007</c:v>
                      </c:pt>
                      <c:pt idx="227">
                        <c:v>0.25000000000000006</c:v>
                      </c:pt>
                      <c:pt idx="228">
                        <c:v>0.26000000000000006</c:v>
                      </c:pt>
                      <c:pt idx="229">
                        <c:v>0.27000000000000007</c:v>
                      </c:pt>
                      <c:pt idx="230">
                        <c:v>0.28000000000000008</c:v>
                      </c:pt>
                      <c:pt idx="231">
                        <c:v>0.29000000000000009</c:v>
                      </c:pt>
                      <c:pt idx="232">
                        <c:v>0.3000000000000001</c:v>
                      </c:pt>
                      <c:pt idx="233">
                        <c:v>0.31000000000000011</c:v>
                      </c:pt>
                      <c:pt idx="234">
                        <c:v>0.32000000000000012</c:v>
                      </c:pt>
                      <c:pt idx="235">
                        <c:v>0.33000000000000013</c:v>
                      </c:pt>
                      <c:pt idx="236">
                        <c:v>0.34000000000000014</c:v>
                      </c:pt>
                      <c:pt idx="237">
                        <c:v>0.35000000000000014</c:v>
                      </c:pt>
                      <c:pt idx="238">
                        <c:v>0.36000000000000015</c:v>
                      </c:pt>
                      <c:pt idx="239">
                        <c:v>0.37000000000000016</c:v>
                      </c:pt>
                      <c:pt idx="240">
                        <c:v>0.38000000000000017</c:v>
                      </c:pt>
                      <c:pt idx="241">
                        <c:v>0.39000000000000018</c:v>
                      </c:pt>
                      <c:pt idx="242">
                        <c:v>0.40000000000000019</c:v>
                      </c:pt>
                      <c:pt idx="243">
                        <c:v>0.4100000000000002</c:v>
                      </c:pt>
                      <c:pt idx="244">
                        <c:v>0.42000000000000021</c:v>
                      </c:pt>
                      <c:pt idx="245">
                        <c:v>0.43000000000000022</c:v>
                      </c:pt>
                      <c:pt idx="246">
                        <c:v>0.44000000000000022</c:v>
                      </c:pt>
                      <c:pt idx="247">
                        <c:v>0.45000000000000023</c:v>
                      </c:pt>
                      <c:pt idx="248">
                        <c:v>0.46000000000000024</c:v>
                      </c:pt>
                      <c:pt idx="249">
                        <c:v>0.47000000000000025</c:v>
                      </c:pt>
                      <c:pt idx="250">
                        <c:v>0.48000000000000026</c:v>
                      </c:pt>
                      <c:pt idx="251">
                        <c:v>0.49000000000000027</c:v>
                      </c:pt>
                      <c:pt idx="252">
                        <c:v>0.50000000000000022</c:v>
                      </c:pt>
                      <c:pt idx="253">
                        <c:v>0.51000000000000023</c:v>
                      </c:pt>
                      <c:pt idx="254">
                        <c:v>0.52000000000000024</c:v>
                      </c:pt>
                      <c:pt idx="255">
                        <c:v>0.53000000000000025</c:v>
                      </c:pt>
                      <c:pt idx="256">
                        <c:v>0.54000000000000026</c:v>
                      </c:pt>
                      <c:pt idx="257">
                        <c:v>0.55000000000000027</c:v>
                      </c:pt>
                      <c:pt idx="258">
                        <c:v>0.56000000000000028</c:v>
                      </c:pt>
                      <c:pt idx="259">
                        <c:v>0.57000000000000028</c:v>
                      </c:pt>
                      <c:pt idx="260">
                        <c:v>0.58000000000000029</c:v>
                      </c:pt>
                      <c:pt idx="261">
                        <c:v>0.5900000000000003</c:v>
                      </c:pt>
                      <c:pt idx="262">
                        <c:v>0.60000000000000031</c:v>
                      </c:pt>
                      <c:pt idx="263">
                        <c:v>0.61000000000000032</c:v>
                      </c:pt>
                      <c:pt idx="264">
                        <c:v>0.62000000000000033</c:v>
                      </c:pt>
                      <c:pt idx="265">
                        <c:v>0.63000000000000034</c:v>
                      </c:pt>
                      <c:pt idx="266">
                        <c:v>0.64000000000000035</c:v>
                      </c:pt>
                      <c:pt idx="267">
                        <c:v>0.65000000000000036</c:v>
                      </c:pt>
                      <c:pt idx="268">
                        <c:v>0.66000000000000036</c:v>
                      </c:pt>
                      <c:pt idx="269">
                        <c:v>0.67000000000000037</c:v>
                      </c:pt>
                      <c:pt idx="270">
                        <c:v>0.68000000000000038</c:v>
                      </c:pt>
                      <c:pt idx="271">
                        <c:v>0.69000000000000039</c:v>
                      </c:pt>
                      <c:pt idx="272">
                        <c:v>0.7000000000000004</c:v>
                      </c:pt>
                      <c:pt idx="273">
                        <c:v>0.71000000000000041</c:v>
                      </c:pt>
                      <c:pt idx="274">
                        <c:v>0.72000000000000042</c:v>
                      </c:pt>
                      <c:pt idx="275">
                        <c:v>0.73000000000000043</c:v>
                      </c:pt>
                      <c:pt idx="276">
                        <c:v>0.74000000000000044</c:v>
                      </c:pt>
                      <c:pt idx="277">
                        <c:v>0.75000000000000044</c:v>
                      </c:pt>
                      <c:pt idx="278">
                        <c:v>0.76000000000000045</c:v>
                      </c:pt>
                      <c:pt idx="279">
                        <c:v>0.77000000000000046</c:v>
                      </c:pt>
                      <c:pt idx="280">
                        <c:v>0.78000000000000047</c:v>
                      </c:pt>
                      <c:pt idx="281">
                        <c:v>0.79000000000000048</c:v>
                      </c:pt>
                      <c:pt idx="282">
                        <c:v>0.80000000000000049</c:v>
                      </c:pt>
                      <c:pt idx="283">
                        <c:v>0.8100000000000005</c:v>
                      </c:pt>
                      <c:pt idx="284">
                        <c:v>0.82000000000000051</c:v>
                      </c:pt>
                      <c:pt idx="285">
                        <c:v>0.83000000000000052</c:v>
                      </c:pt>
                      <c:pt idx="286">
                        <c:v>0.84000000000000052</c:v>
                      </c:pt>
                      <c:pt idx="287">
                        <c:v>0.85000000000000053</c:v>
                      </c:pt>
                      <c:pt idx="288">
                        <c:v>0.86000000000000054</c:v>
                      </c:pt>
                      <c:pt idx="289">
                        <c:v>0.87000000000000055</c:v>
                      </c:pt>
                      <c:pt idx="290">
                        <c:v>0.88000000000000056</c:v>
                      </c:pt>
                      <c:pt idx="291">
                        <c:v>0.89000000000000057</c:v>
                      </c:pt>
                      <c:pt idx="292">
                        <c:v>0.90000000000000058</c:v>
                      </c:pt>
                      <c:pt idx="293">
                        <c:v>0.91000000000000059</c:v>
                      </c:pt>
                      <c:pt idx="294">
                        <c:v>0.9200000000000006</c:v>
                      </c:pt>
                      <c:pt idx="295">
                        <c:v>0.9300000000000006</c:v>
                      </c:pt>
                      <c:pt idx="296">
                        <c:v>0.94000000000000061</c:v>
                      </c:pt>
                      <c:pt idx="297">
                        <c:v>0.95000000000000062</c:v>
                      </c:pt>
                      <c:pt idx="298">
                        <c:v>0.96000000000000063</c:v>
                      </c:pt>
                      <c:pt idx="299">
                        <c:v>0.97000000000000064</c:v>
                      </c:pt>
                      <c:pt idx="300">
                        <c:v>0.98000000000000065</c:v>
                      </c:pt>
                      <c:pt idx="301">
                        <c:v>0.99000000000000066</c:v>
                      </c:pt>
                      <c:pt idx="303">
                        <c:v>1.4999999999999999E-2</c:v>
                      </c:pt>
                      <c:pt idx="304">
                        <c:v>2.5000000000000001E-2</c:v>
                      </c:pt>
                      <c:pt idx="305">
                        <c:v>3.5000000000000003E-2</c:v>
                      </c:pt>
                      <c:pt idx="306">
                        <c:v>4.5000000000000005E-2</c:v>
                      </c:pt>
                      <c:pt idx="307">
                        <c:v>5.5000000000000007E-2</c:v>
                      </c:pt>
                      <c:pt idx="308">
                        <c:v>6.5000000000000002E-2</c:v>
                      </c:pt>
                      <c:pt idx="309">
                        <c:v>7.4999999999999997E-2</c:v>
                      </c:pt>
                      <c:pt idx="310">
                        <c:v>8.4999999999999992E-2</c:v>
                      </c:pt>
                      <c:pt idx="311">
                        <c:v>9.4999999999999987E-2</c:v>
                      </c:pt>
                      <c:pt idx="312">
                        <c:v>0.10499999999999998</c:v>
                      </c:pt>
                      <c:pt idx="313">
                        <c:v>0.11499999999999998</c:v>
                      </c:pt>
                      <c:pt idx="314">
                        <c:v>0.12499999999999997</c:v>
                      </c:pt>
                      <c:pt idx="315">
                        <c:v>0.13499999999999998</c:v>
                      </c:pt>
                      <c:pt idx="316">
                        <c:v>0.14499999999999999</c:v>
                      </c:pt>
                      <c:pt idx="317">
                        <c:v>0.155</c:v>
                      </c:pt>
                      <c:pt idx="318">
                        <c:v>0.16500000000000001</c:v>
                      </c:pt>
                      <c:pt idx="319">
                        <c:v>0.17500000000000002</c:v>
                      </c:pt>
                      <c:pt idx="320">
                        <c:v>0.18500000000000003</c:v>
                      </c:pt>
                      <c:pt idx="321">
                        <c:v>0.19500000000000003</c:v>
                      </c:pt>
                      <c:pt idx="322">
                        <c:v>0.20500000000000004</c:v>
                      </c:pt>
                      <c:pt idx="323">
                        <c:v>0.21500000000000005</c:v>
                      </c:pt>
                      <c:pt idx="324">
                        <c:v>0.22500000000000006</c:v>
                      </c:pt>
                      <c:pt idx="325">
                        <c:v>0.23500000000000007</c:v>
                      </c:pt>
                      <c:pt idx="326">
                        <c:v>0.24500000000000008</c:v>
                      </c:pt>
                      <c:pt idx="327">
                        <c:v>0.25500000000000006</c:v>
                      </c:pt>
                      <c:pt idx="328">
                        <c:v>0.26500000000000007</c:v>
                      </c:pt>
                      <c:pt idx="329">
                        <c:v>0.27500000000000008</c:v>
                      </c:pt>
                      <c:pt idx="330">
                        <c:v>0.28500000000000009</c:v>
                      </c:pt>
                      <c:pt idx="331">
                        <c:v>0.2950000000000001</c:v>
                      </c:pt>
                      <c:pt idx="332">
                        <c:v>0.3050000000000001</c:v>
                      </c:pt>
                      <c:pt idx="333">
                        <c:v>0.31500000000000011</c:v>
                      </c:pt>
                      <c:pt idx="334">
                        <c:v>0.32500000000000012</c:v>
                      </c:pt>
                      <c:pt idx="335">
                        <c:v>0.33500000000000013</c:v>
                      </c:pt>
                      <c:pt idx="336">
                        <c:v>0.34500000000000014</c:v>
                      </c:pt>
                      <c:pt idx="337">
                        <c:v>0.35500000000000015</c:v>
                      </c:pt>
                      <c:pt idx="338">
                        <c:v>0.36500000000000016</c:v>
                      </c:pt>
                      <c:pt idx="339">
                        <c:v>0.37500000000000017</c:v>
                      </c:pt>
                      <c:pt idx="340">
                        <c:v>0.38500000000000018</c:v>
                      </c:pt>
                      <c:pt idx="341">
                        <c:v>0.39500000000000018</c:v>
                      </c:pt>
                      <c:pt idx="342">
                        <c:v>0.40500000000000019</c:v>
                      </c:pt>
                      <c:pt idx="343">
                        <c:v>0.4150000000000002</c:v>
                      </c:pt>
                      <c:pt idx="344">
                        <c:v>0.42500000000000021</c:v>
                      </c:pt>
                      <c:pt idx="345">
                        <c:v>0.43500000000000022</c:v>
                      </c:pt>
                      <c:pt idx="346">
                        <c:v>0.44500000000000023</c:v>
                      </c:pt>
                      <c:pt idx="347">
                        <c:v>0.45500000000000024</c:v>
                      </c:pt>
                      <c:pt idx="348">
                        <c:v>0.46500000000000025</c:v>
                      </c:pt>
                      <c:pt idx="349">
                        <c:v>0.47500000000000026</c:v>
                      </c:pt>
                      <c:pt idx="350">
                        <c:v>0.48500000000000026</c:v>
                      </c:pt>
                      <c:pt idx="351">
                        <c:v>0.49500000000000027</c:v>
                      </c:pt>
                      <c:pt idx="352">
                        <c:v>0.50500000000000023</c:v>
                      </c:pt>
                      <c:pt idx="353">
                        <c:v>0.51500000000000024</c:v>
                      </c:pt>
                      <c:pt idx="354">
                        <c:v>0.52500000000000024</c:v>
                      </c:pt>
                      <c:pt idx="355">
                        <c:v>0.53500000000000025</c:v>
                      </c:pt>
                      <c:pt idx="356">
                        <c:v>0.54500000000000026</c:v>
                      </c:pt>
                      <c:pt idx="357">
                        <c:v>0.55500000000000027</c:v>
                      </c:pt>
                      <c:pt idx="358">
                        <c:v>0.56500000000000028</c:v>
                      </c:pt>
                      <c:pt idx="359">
                        <c:v>0.57500000000000029</c:v>
                      </c:pt>
                      <c:pt idx="360">
                        <c:v>0.5850000000000003</c:v>
                      </c:pt>
                      <c:pt idx="361">
                        <c:v>0.59500000000000031</c:v>
                      </c:pt>
                      <c:pt idx="362">
                        <c:v>0.60500000000000032</c:v>
                      </c:pt>
                      <c:pt idx="363">
                        <c:v>0.61500000000000032</c:v>
                      </c:pt>
                      <c:pt idx="364">
                        <c:v>0.62500000000000033</c:v>
                      </c:pt>
                      <c:pt idx="365">
                        <c:v>0.63500000000000034</c:v>
                      </c:pt>
                      <c:pt idx="366">
                        <c:v>0.64500000000000035</c:v>
                      </c:pt>
                      <c:pt idx="367">
                        <c:v>0.65500000000000036</c:v>
                      </c:pt>
                      <c:pt idx="368">
                        <c:v>0.66500000000000037</c:v>
                      </c:pt>
                      <c:pt idx="369">
                        <c:v>0.67500000000000038</c:v>
                      </c:pt>
                      <c:pt idx="370">
                        <c:v>0.68500000000000039</c:v>
                      </c:pt>
                      <c:pt idx="371">
                        <c:v>0.6950000000000004</c:v>
                      </c:pt>
                      <c:pt idx="372">
                        <c:v>0.7050000000000004</c:v>
                      </c:pt>
                      <c:pt idx="373">
                        <c:v>0.71500000000000041</c:v>
                      </c:pt>
                      <c:pt idx="374">
                        <c:v>0.72500000000000042</c:v>
                      </c:pt>
                      <c:pt idx="375">
                        <c:v>0.73500000000000043</c:v>
                      </c:pt>
                      <c:pt idx="376">
                        <c:v>0.74500000000000044</c:v>
                      </c:pt>
                      <c:pt idx="377">
                        <c:v>0.75500000000000045</c:v>
                      </c:pt>
                      <c:pt idx="378">
                        <c:v>0.76500000000000046</c:v>
                      </c:pt>
                      <c:pt idx="379">
                        <c:v>0.77500000000000047</c:v>
                      </c:pt>
                      <c:pt idx="380">
                        <c:v>0.78500000000000048</c:v>
                      </c:pt>
                      <c:pt idx="381">
                        <c:v>0.79500000000000048</c:v>
                      </c:pt>
                      <c:pt idx="382">
                        <c:v>0.80500000000000049</c:v>
                      </c:pt>
                      <c:pt idx="383">
                        <c:v>0.8150000000000005</c:v>
                      </c:pt>
                      <c:pt idx="384">
                        <c:v>0.82500000000000051</c:v>
                      </c:pt>
                      <c:pt idx="385">
                        <c:v>0.83500000000000052</c:v>
                      </c:pt>
                      <c:pt idx="386">
                        <c:v>0.84500000000000053</c:v>
                      </c:pt>
                      <c:pt idx="387">
                        <c:v>0.85500000000000054</c:v>
                      </c:pt>
                      <c:pt idx="388">
                        <c:v>0.86500000000000055</c:v>
                      </c:pt>
                      <c:pt idx="389">
                        <c:v>0.87500000000000056</c:v>
                      </c:pt>
                      <c:pt idx="390">
                        <c:v>0.88500000000000056</c:v>
                      </c:pt>
                      <c:pt idx="391">
                        <c:v>0.89500000000000057</c:v>
                      </c:pt>
                      <c:pt idx="392">
                        <c:v>0.90500000000000058</c:v>
                      </c:pt>
                      <c:pt idx="393">
                        <c:v>0.91500000000000059</c:v>
                      </c:pt>
                      <c:pt idx="394">
                        <c:v>0.9250000000000006</c:v>
                      </c:pt>
                      <c:pt idx="395">
                        <c:v>0.93500000000000061</c:v>
                      </c:pt>
                      <c:pt idx="396">
                        <c:v>0.94500000000000062</c:v>
                      </c:pt>
                      <c:pt idx="397">
                        <c:v>0.95500000000000063</c:v>
                      </c:pt>
                      <c:pt idx="398">
                        <c:v>0.96500000000000064</c:v>
                      </c:pt>
                      <c:pt idx="399">
                        <c:v>0.97500000000000064</c:v>
                      </c:pt>
                      <c:pt idx="400">
                        <c:v>0.98500000000000065</c:v>
                      </c:pt>
                      <c:pt idx="402">
                        <c:v>0.02</c:v>
                      </c:pt>
                      <c:pt idx="403">
                        <c:v>0.03</c:v>
                      </c:pt>
                      <c:pt idx="404">
                        <c:v>0.04</c:v>
                      </c:pt>
                      <c:pt idx="405">
                        <c:v>0.05</c:v>
                      </c:pt>
                      <c:pt idx="406">
                        <c:v>6.0000000000000005E-2</c:v>
                      </c:pt>
                      <c:pt idx="407">
                        <c:v>7.0000000000000007E-2</c:v>
                      </c:pt>
                      <c:pt idx="408">
                        <c:v>0.08</c:v>
                      </c:pt>
                      <c:pt idx="409">
                        <c:v>0.09</c:v>
                      </c:pt>
                      <c:pt idx="410">
                        <c:v>9.9999999999999992E-2</c:v>
                      </c:pt>
                      <c:pt idx="411">
                        <c:v>0.10999999999999999</c:v>
                      </c:pt>
                      <c:pt idx="412">
                        <c:v>0.11999999999999998</c:v>
                      </c:pt>
                      <c:pt idx="413">
                        <c:v>0.12999999999999998</c:v>
                      </c:pt>
                      <c:pt idx="414">
                        <c:v>0.13999999999999999</c:v>
                      </c:pt>
                      <c:pt idx="415">
                        <c:v>0.15</c:v>
                      </c:pt>
                      <c:pt idx="416">
                        <c:v>0.16</c:v>
                      </c:pt>
                      <c:pt idx="417">
                        <c:v>0.17</c:v>
                      </c:pt>
                      <c:pt idx="418">
                        <c:v>0.18000000000000002</c:v>
                      </c:pt>
                      <c:pt idx="419">
                        <c:v>0.19000000000000003</c:v>
                      </c:pt>
                      <c:pt idx="420">
                        <c:v>0.20000000000000004</c:v>
                      </c:pt>
                      <c:pt idx="421">
                        <c:v>0.21000000000000005</c:v>
                      </c:pt>
                      <c:pt idx="422">
                        <c:v>0.22000000000000006</c:v>
                      </c:pt>
                      <c:pt idx="423">
                        <c:v>0.23000000000000007</c:v>
                      </c:pt>
                      <c:pt idx="424">
                        <c:v>0.24000000000000007</c:v>
                      </c:pt>
                      <c:pt idx="425">
                        <c:v>0.25000000000000006</c:v>
                      </c:pt>
                      <c:pt idx="426">
                        <c:v>0.26000000000000006</c:v>
                      </c:pt>
                      <c:pt idx="427">
                        <c:v>0.27000000000000007</c:v>
                      </c:pt>
                      <c:pt idx="428">
                        <c:v>0.28000000000000008</c:v>
                      </c:pt>
                      <c:pt idx="429">
                        <c:v>0.29000000000000009</c:v>
                      </c:pt>
                      <c:pt idx="430">
                        <c:v>0.3000000000000001</c:v>
                      </c:pt>
                      <c:pt idx="431">
                        <c:v>0.31000000000000011</c:v>
                      </c:pt>
                      <c:pt idx="432">
                        <c:v>0.32000000000000012</c:v>
                      </c:pt>
                      <c:pt idx="433">
                        <c:v>0.33000000000000013</c:v>
                      </c:pt>
                      <c:pt idx="434">
                        <c:v>0.34000000000000014</c:v>
                      </c:pt>
                      <c:pt idx="435">
                        <c:v>0.35000000000000014</c:v>
                      </c:pt>
                      <c:pt idx="436">
                        <c:v>0.36000000000000015</c:v>
                      </c:pt>
                      <c:pt idx="437">
                        <c:v>0.37000000000000016</c:v>
                      </c:pt>
                      <c:pt idx="438">
                        <c:v>0.38000000000000017</c:v>
                      </c:pt>
                      <c:pt idx="439">
                        <c:v>0.39000000000000018</c:v>
                      </c:pt>
                      <c:pt idx="440">
                        <c:v>0.40000000000000019</c:v>
                      </c:pt>
                      <c:pt idx="441">
                        <c:v>0.4100000000000002</c:v>
                      </c:pt>
                      <c:pt idx="442">
                        <c:v>0.42000000000000021</c:v>
                      </c:pt>
                      <c:pt idx="443">
                        <c:v>0.43000000000000022</c:v>
                      </c:pt>
                      <c:pt idx="444">
                        <c:v>0.44000000000000022</c:v>
                      </c:pt>
                      <c:pt idx="445">
                        <c:v>0.45000000000000023</c:v>
                      </c:pt>
                      <c:pt idx="446">
                        <c:v>0.46000000000000024</c:v>
                      </c:pt>
                      <c:pt idx="447">
                        <c:v>0.47000000000000025</c:v>
                      </c:pt>
                      <c:pt idx="448">
                        <c:v>0.48000000000000026</c:v>
                      </c:pt>
                      <c:pt idx="449">
                        <c:v>0.49000000000000027</c:v>
                      </c:pt>
                      <c:pt idx="450">
                        <c:v>0.50000000000000022</c:v>
                      </c:pt>
                      <c:pt idx="451">
                        <c:v>0.51000000000000023</c:v>
                      </c:pt>
                      <c:pt idx="452">
                        <c:v>0.52000000000000024</c:v>
                      </c:pt>
                      <c:pt idx="453">
                        <c:v>0.53000000000000025</c:v>
                      </c:pt>
                      <c:pt idx="454">
                        <c:v>0.54000000000000026</c:v>
                      </c:pt>
                      <c:pt idx="455">
                        <c:v>0.55000000000000027</c:v>
                      </c:pt>
                      <c:pt idx="456">
                        <c:v>0.56000000000000028</c:v>
                      </c:pt>
                      <c:pt idx="457">
                        <c:v>0.57000000000000028</c:v>
                      </c:pt>
                      <c:pt idx="458">
                        <c:v>0.58000000000000029</c:v>
                      </c:pt>
                      <c:pt idx="459">
                        <c:v>0.5900000000000003</c:v>
                      </c:pt>
                      <c:pt idx="460">
                        <c:v>0.60000000000000031</c:v>
                      </c:pt>
                      <c:pt idx="461">
                        <c:v>0.61000000000000032</c:v>
                      </c:pt>
                      <c:pt idx="462">
                        <c:v>0.62000000000000033</c:v>
                      </c:pt>
                      <c:pt idx="463">
                        <c:v>0.63000000000000034</c:v>
                      </c:pt>
                      <c:pt idx="464">
                        <c:v>0.64000000000000035</c:v>
                      </c:pt>
                      <c:pt idx="465">
                        <c:v>0.65000000000000036</c:v>
                      </c:pt>
                      <c:pt idx="466">
                        <c:v>0.66000000000000036</c:v>
                      </c:pt>
                      <c:pt idx="467">
                        <c:v>0.67000000000000037</c:v>
                      </c:pt>
                      <c:pt idx="468">
                        <c:v>0.68000000000000038</c:v>
                      </c:pt>
                      <c:pt idx="469">
                        <c:v>0.69000000000000039</c:v>
                      </c:pt>
                      <c:pt idx="470">
                        <c:v>0.7000000000000004</c:v>
                      </c:pt>
                      <c:pt idx="471">
                        <c:v>0.71000000000000041</c:v>
                      </c:pt>
                      <c:pt idx="472">
                        <c:v>0.72000000000000042</c:v>
                      </c:pt>
                      <c:pt idx="473">
                        <c:v>0.73000000000000043</c:v>
                      </c:pt>
                      <c:pt idx="474">
                        <c:v>0.74000000000000044</c:v>
                      </c:pt>
                      <c:pt idx="475">
                        <c:v>0.75000000000000044</c:v>
                      </c:pt>
                      <c:pt idx="476">
                        <c:v>0.76000000000000045</c:v>
                      </c:pt>
                      <c:pt idx="477">
                        <c:v>0.77000000000000046</c:v>
                      </c:pt>
                      <c:pt idx="478">
                        <c:v>0.78000000000000047</c:v>
                      </c:pt>
                      <c:pt idx="479">
                        <c:v>0.79000000000000048</c:v>
                      </c:pt>
                      <c:pt idx="480">
                        <c:v>0.80000000000000049</c:v>
                      </c:pt>
                      <c:pt idx="481">
                        <c:v>0.8100000000000005</c:v>
                      </c:pt>
                      <c:pt idx="482">
                        <c:v>0.82000000000000051</c:v>
                      </c:pt>
                      <c:pt idx="483">
                        <c:v>0.83000000000000052</c:v>
                      </c:pt>
                      <c:pt idx="484">
                        <c:v>0.84000000000000052</c:v>
                      </c:pt>
                      <c:pt idx="485">
                        <c:v>0.85000000000000053</c:v>
                      </c:pt>
                      <c:pt idx="486">
                        <c:v>0.86000000000000054</c:v>
                      </c:pt>
                      <c:pt idx="487">
                        <c:v>0.87000000000000055</c:v>
                      </c:pt>
                      <c:pt idx="488">
                        <c:v>0.88000000000000056</c:v>
                      </c:pt>
                      <c:pt idx="489">
                        <c:v>0.89000000000000057</c:v>
                      </c:pt>
                      <c:pt idx="490">
                        <c:v>0.90000000000000058</c:v>
                      </c:pt>
                      <c:pt idx="491">
                        <c:v>0.91000000000000059</c:v>
                      </c:pt>
                      <c:pt idx="492">
                        <c:v>0.9200000000000006</c:v>
                      </c:pt>
                      <c:pt idx="493">
                        <c:v>0.9300000000000006</c:v>
                      </c:pt>
                      <c:pt idx="494">
                        <c:v>0.94000000000000061</c:v>
                      </c:pt>
                      <c:pt idx="495">
                        <c:v>0.95000000000000062</c:v>
                      </c:pt>
                      <c:pt idx="496">
                        <c:v>0.96000000000000063</c:v>
                      </c:pt>
                      <c:pt idx="497">
                        <c:v>0.97000000000000064</c:v>
                      </c:pt>
                      <c:pt idx="498">
                        <c:v>0.98000000000000065</c:v>
                      </c:pt>
                      <c:pt idx="500">
                        <c:v>2.5000000000000001E-2</c:v>
                      </c:pt>
                      <c:pt idx="501">
                        <c:v>3.5000000000000003E-2</c:v>
                      </c:pt>
                      <c:pt idx="502">
                        <c:v>4.5000000000000005E-2</c:v>
                      </c:pt>
                      <c:pt idx="503">
                        <c:v>5.5000000000000007E-2</c:v>
                      </c:pt>
                      <c:pt idx="504">
                        <c:v>6.5000000000000002E-2</c:v>
                      </c:pt>
                      <c:pt idx="505">
                        <c:v>7.4999999999999997E-2</c:v>
                      </c:pt>
                      <c:pt idx="506">
                        <c:v>8.4999999999999992E-2</c:v>
                      </c:pt>
                      <c:pt idx="507">
                        <c:v>9.4999999999999987E-2</c:v>
                      </c:pt>
                      <c:pt idx="508">
                        <c:v>0.10499999999999998</c:v>
                      </c:pt>
                      <c:pt idx="509">
                        <c:v>0.11499999999999998</c:v>
                      </c:pt>
                      <c:pt idx="510">
                        <c:v>0.12499999999999997</c:v>
                      </c:pt>
                      <c:pt idx="511">
                        <c:v>0.13499999999999998</c:v>
                      </c:pt>
                      <c:pt idx="512">
                        <c:v>0.14499999999999999</c:v>
                      </c:pt>
                      <c:pt idx="513">
                        <c:v>0.155</c:v>
                      </c:pt>
                      <c:pt idx="514">
                        <c:v>0.16500000000000001</c:v>
                      </c:pt>
                      <c:pt idx="515">
                        <c:v>0.17500000000000002</c:v>
                      </c:pt>
                      <c:pt idx="516">
                        <c:v>0.18500000000000003</c:v>
                      </c:pt>
                      <c:pt idx="517">
                        <c:v>0.19500000000000003</c:v>
                      </c:pt>
                      <c:pt idx="518">
                        <c:v>0.20500000000000004</c:v>
                      </c:pt>
                      <c:pt idx="519">
                        <c:v>0.21500000000000005</c:v>
                      </c:pt>
                      <c:pt idx="520">
                        <c:v>0.22500000000000006</c:v>
                      </c:pt>
                      <c:pt idx="521">
                        <c:v>0.23500000000000007</c:v>
                      </c:pt>
                      <c:pt idx="522">
                        <c:v>0.24500000000000008</c:v>
                      </c:pt>
                      <c:pt idx="523">
                        <c:v>0.25500000000000006</c:v>
                      </c:pt>
                      <c:pt idx="524">
                        <c:v>0.26500000000000007</c:v>
                      </c:pt>
                      <c:pt idx="525">
                        <c:v>0.27500000000000008</c:v>
                      </c:pt>
                      <c:pt idx="526">
                        <c:v>0.28500000000000009</c:v>
                      </c:pt>
                      <c:pt idx="527">
                        <c:v>0.2950000000000001</c:v>
                      </c:pt>
                      <c:pt idx="528">
                        <c:v>0.3050000000000001</c:v>
                      </c:pt>
                      <c:pt idx="529">
                        <c:v>0.31500000000000011</c:v>
                      </c:pt>
                      <c:pt idx="530">
                        <c:v>0.32500000000000012</c:v>
                      </c:pt>
                      <c:pt idx="531">
                        <c:v>0.33500000000000013</c:v>
                      </c:pt>
                      <c:pt idx="532">
                        <c:v>0.34500000000000014</c:v>
                      </c:pt>
                      <c:pt idx="533">
                        <c:v>0.35500000000000015</c:v>
                      </c:pt>
                      <c:pt idx="534">
                        <c:v>0.36500000000000016</c:v>
                      </c:pt>
                      <c:pt idx="535">
                        <c:v>0.37500000000000017</c:v>
                      </c:pt>
                      <c:pt idx="536">
                        <c:v>0.38500000000000018</c:v>
                      </c:pt>
                      <c:pt idx="537">
                        <c:v>0.39500000000000018</c:v>
                      </c:pt>
                      <c:pt idx="538">
                        <c:v>0.40500000000000019</c:v>
                      </c:pt>
                      <c:pt idx="539">
                        <c:v>0.4150000000000002</c:v>
                      </c:pt>
                      <c:pt idx="540">
                        <c:v>0.42500000000000021</c:v>
                      </c:pt>
                      <c:pt idx="541">
                        <c:v>0.43500000000000022</c:v>
                      </c:pt>
                      <c:pt idx="542">
                        <c:v>0.44500000000000023</c:v>
                      </c:pt>
                      <c:pt idx="543">
                        <c:v>0.45500000000000024</c:v>
                      </c:pt>
                      <c:pt idx="544">
                        <c:v>0.46500000000000025</c:v>
                      </c:pt>
                      <c:pt idx="545">
                        <c:v>0.47500000000000026</c:v>
                      </c:pt>
                      <c:pt idx="546">
                        <c:v>0.48500000000000026</c:v>
                      </c:pt>
                      <c:pt idx="547">
                        <c:v>0.49500000000000027</c:v>
                      </c:pt>
                      <c:pt idx="548">
                        <c:v>0.50500000000000023</c:v>
                      </c:pt>
                      <c:pt idx="549">
                        <c:v>0.51500000000000024</c:v>
                      </c:pt>
                      <c:pt idx="550">
                        <c:v>0.52500000000000024</c:v>
                      </c:pt>
                      <c:pt idx="551">
                        <c:v>0.53500000000000025</c:v>
                      </c:pt>
                      <c:pt idx="552">
                        <c:v>0.54500000000000026</c:v>
                      </c:pt>
                      <c:pt idx="553">
                        <c:v>0.55500000000000027</c:v>
                      </c:pt>
                      <c:pt idx="554">
                        <c:v>0.56500000000000028</c:v>
                      </c:pt>
                      <c:pt idx="555">
                        <c:v>0.57500000000000029</c:v>
                      </c:pt>
                      <c:pt idx="556">
                        <c:v>0.5850000000000003</c:v>
                      </c:pt>
                      <c:pt idx="557">
                        <c:v>0.59500000000000031</c:v>
                      </c:pt>
                      <c:pt idx="558">
                        <c:v>0.60500000000000032</c:v>
                      </c:pt>
                      <c:pt idx="559">
                        <c:v>0.61500000000000032</c:v>
                      </c:pt>
                      <c:pt idx="560">
                        <c:v>0.62500000000000033</c:v>
                      </c:pt>
                      <c:pt idx="561">
                        <c:v>0.63500000000000034</c:v>
                      </c:pt>
                      <c:pt idx="562">
                        <c:v>0.64500000000000035</c:v>
                      </c:pt>
                      <c:pt idx="563">
                        <c:v>0.65500000000000036</c:v>
                      </c:pt>
                      <c:pt idx="564">
                        <c:v>0.66500000000000037</c:v>
                      </c:pt>
                      <c:pt idx="565">
                        <c:v>0.67500000000000038</c:v>
                      </c:pt>
                      <c:pt idx="566">
                        <c:v>0.68500000000000039</c:v>
                      </c:pt>
                      <c:pt idx="567">
                        <c:v>0.6950000000000004</c:v>
                      </c:pt>
                      <c:pt idx="568">
                        <c:v>0.7050000000000004</c:v>
                      </c:pt>
                      <c:pt idx="569">
                        <c:v>0.71500000000000041</c:v>
                      </c:pt>
                      <c:pt idx="570">
                        <c:v>0.72500000000000042</c:v>
                      </c:pt>
                      <c:pt idx="571">
                        <c:v>0.73500000000000043</c:v>
                      </c:pt>
                      <c:pt idx="572">
                        <c:v>0.74500000000000044</c:v>
                      </c:pt>
                      <c:pt idx="573">
                        <c:v>0.75500000000000045</c:v>
                      </c:pt>
                      <c:pt idx="574">
                        <c:v>0.76500000000000046</c:v>
                      </c:pt>
                      <c:pt idx="575">
                        <c:v>0.77500000000000047</c:v>
                      </c:pt>
                      <c:pt idx="576">
                        <c:v>0.78500000000000048</c:v>
                      </c:pt>
                      <c:pt idx="577">
                        <c:v>0.79500000000000048</c:v>
                      </c:pt>
                      <c:pt idx="578">
                        <c:v>0.80500000000000049</c:v>
                      </c:pt>
                      <c:pt idx="579">
                        <c:v>0.8150000000000005</c:v>
                      </c:pt>
                      <c:pt idx="580">
                        <c:v>0.82500000000000051</c:v>
                      </c:pt>
                      <c:pt idx="581">
                        <c:v>0.83500000000000052</c:v>
                      </c:pt>
                      <c:pt idx="582">
                        <c:v>0.84500000000000053</c:v>
                      </c:pt>
                      <c:pt idx="583">
                        <c:v>0.85500000000000054</c:v>
                      </c:pt>
                      <c:pt idx="584">
                        <c:v>0.86500000000000055</c:v>
                      </c:pt>
                      <c:pt idx="585">
                        <c:v>0.87500000000000056</c:v>
                      </c:pt>
                      <c:pt idx="586">
                        <c:v>0.88500000000000056</c:v>
                      </c:pt>
                      <c:pt idx="587">
                        <c:v>0.89500000000000057</c:v>
                      </c:pt>
                      <c:pt idx="588">
                        <c:v>0.90500000000000058</c:v>
                      </c:pt>
                      <c:pt idx="589">
                        <c:v>0.91500000000000059</c:v>
                      </c:pt>
                      <c:pt idx="590">
                        <c:v>0.9250000000000006</c:v>
                      </c:pt>
                      <c:pt idx="591">
                        <c:v>0.93500000000000061</c:v>
                      </c:pt>
                      <c:pt idx="592">
                        <c:v>0.94500000000000062</c:v>
                      </c:pt>
                      <c:pt idx="593">
                        <c:v>0.95500000000000063</c:v>
                      </c:pt>
                      <c:pt idx="594">
                        <c:v>0.96500000000000064</c:v>
                      </c:pt>
                      <c:pt idx="595">
                        <c:v>0.97500000000000064</c:v>
                      </c:pt>
                      <c:pt idx="597">
                        <c:v>0.03</c:v>
                      </c:pt>
                      <c:pt idx="598">
                        <c:v>0.04</c:v>
                      </c:pt>
                      <c:pt idx="599">
                        <c:v>0.05</c:v>
                      </c:pt>
                      <c:pt idx="600">
                        <c:v>6.0000000000000005E-2</c:v>
                      </c:pt>
                      <c:pt idx="601">
                        <c:v>7.0000000000000007E-2</c:v>
                      </c:pt>
                      <c:pt idx="602">
                        <c:v>0.08</c:v>
                      </c:pt>
                      <c:pt idx="603">
                        <c:v>0.09</c:v>
                      </c:pt>
                      <c:pt idx="604">
                        <c:v>9.9999999999999992E-2</c:v>
                      </c:pt>
                      <c:pt idx="605">
                        <c:v>0.10999999999999999</c:v>
                      </c:pt>
                      <c:pt idx="606">
                        <c:v>0.11999999999999998</c:v>
                      </c:pt>
                      <c:pt idx="607">
                        <c:v>0.12999999999999998</c:v>
                      </c:pt>
                      <c:pt idx="608">
                        <c:v>0.13999999999999999</c:v>
                      </c:pt>
                      <c:pt idx="609">
                        <c:v>0.15</c:v>
                      </c:pt>
                      <c:pt idx="610">
                        <c:v>0.16</c:v>
                      </c:pt>
                      <c:pt idx="611">
                        <c:v>0.17</c:v>
                      </c:pt>
                      <c:pt idx="612">
                        <c:v>0.18000000000000002</c:v>
                      </c:pt>
                      <c:pt idx="613">
                        <c:v>0.19000000000000003</c:v>
                      </c:pt>
                      <c:pt idx="614">
                        <c:v>0.20000000000000004</c:v>
                      </c:pt>
                      <c:pt idx="615">
                        <c:v>0.21000000000000005</c:v>
                      </c:pt>
                      <c:pt idx="616">
                        <c:v>0.22000000000000006</c:v>
                      </c:pt>
                      <c:pt idx="617">
                        <c:v>0.23000000000000007</c:v>
                      </c:pt>
                      <c:pt idx="618">
                        <c:v>0.24000000000000007</c:v>
                      </c:pt>
                      <c:pt idx="619">
                        <c:v>0.25000000000000006</c:v>
                      </c:pt>
                      <c:pt idx="620">
                        <c:v>0.26000000000000006</c:v>
                      </c:pt>
                      <c:pt idx="621">
                        <c:v>0.27000000000000007</c:v>
                      </c:pt>
                      <c:pt idx="622">
                        <c:v>0.28000000000000008</c:v>
                      </c:pt>
                      <c:pt idx="623">
                        <c:v>0.29000000000000009</c:v>
                      </c:pt>
                      <c:pt idx="624">
                        <c:v>0.3000000000000001</c:v>
                      </c:pt>
                      <c:pt idx="625">
                        <c:v>0.31000000000000011</c:v>
                      </c:pt>
                      <c:pt idx="626">
                        <c:v>0.32000000000000012</c:v>
                      </c:pt>
                      <c:pt idx="627">
                        <c:v>0.33000000000000013</c:v>
                      </c:pt>
                      <c:pt idx="628">
                        <c:v>0.34000000000000014</c:v>
                      </c:pt>
                      <c:pt idx="629">
                        <c:v>0.35000000000000014</c:v>
                      </c:pt>
                      <c:pt idx="630">
                        <c:v>0.36000000000000015</c:v>
                      </c:pt>
                      <c:pt idx="631">
                        <c:v>0.37000000000000016</c:v>
                      </c:pt>
                      <c:pt idx="632">
                        <c:v>0.38000000000000017</c:v>
                      </c:pt>
                      <c:pt idx="633">
                        <c:v>0.39000000000000018</c:v>
                      </c:pt>
                      <c:pt idx="634">
                        <c:v>0.40000000000000019</c:v>
                      </c:pt>
                      <c:pt idx="635">
                        <c:v>0.4100000000000002</c:v>
                      </c:pt>
                      <c:pt idx="636">
                        <c:v>0.42000000000000021</c:v>
                      </c:pt>
                      <c:pt idx="637">
                        <c:v>0.43000000000000022</c:v>
                      </c:pt>
                      <c:pt idx="638">
                        <c:v>0.44000000000000022</c:v>
                      </c:pt>
                      <c:pt idx="639">
                        <c:v>0.45000000000000023</c:v>
                      </c:pt>
                      <c:pt idx="640">
                        <c:v>0.46000000000000024</c:v>
                      </c:pt>
                      <c:pt idx="641">
                        <c:v>0.47000000000000025</c:v>
                      </c:pt>
                      <c:pt idx="642">
                        <c:v>0.48000000000000026</c:v>
                      </c:pt>
                      <c:pt idx="643">
                        <c:v>0.49000000000000027</c:v>
                      </c:pt>
                      <c:pt idx="644">
                        <c:v>0.50000000000000022</c:v>
                      </c:pt>
                      <c:pt idx="645">
                        <c:v>0.51000000000000023</c:v>
                      </c:pt>
                      <c:pt idx="646">
                        <c:v>0.52000000000000024</c:v>
                      </c:pt>
                      <c:pt idx="647">
                        <c:v>0.53000000000000025</c:v>
                      </c:pt>
                      <c:pt idx="648">
                        <c:v>0.54000000000000026</c:v>
                      </c:pt>
                      <c:pt idx="649">
                        <c:v>0.55000000000000027</c:v>
                      </c:pt>
                      <c:pt idx="650">
                        <c:v>0.56000000000000028</c:v>
                      </c:pt>
                      <c:pt idx="651">
                        <c:v>0.57000000000000028</c:v>
                      </c:pt>
                      <c:pt idx="652">
                        <c:v>0.58000000000000029</c:v>
                      </c:pt>
                      <c:pt idx="653">
                        <c:v>0.5900000000000003</c:v>
                      </c:pt>
                      <c:pt idx="654">
                        <c:v>0.60000000000000031</c:v>
                      </c:pt>
                      <c:pt idx="655">
                        <c:v>0.61000000000000032</c:v>
                      </c:pt>
                      <c:pt idx="656">
                        <c:v>0.62000000000000033</c:v>
                      </c:pt>
                      <c:pt idx="657">
                        <c:v>0.63000000000000034</c:v>
                      </c:pt>
                      <c:pt idx="658">
                        <c:v>0.64000000000000035</c:v>
                      </c:pt>
                      <c:pt idx="659">
                        <c:v>0.65000000000000036</c:v>
                      </c:pt>
                      <c:pt idx="660">
                        <c:v>0.66000000000000036</c:v>
                      </c:pt>
                      <c:pt idx="661">
                        <c:v>0.67000000000000037</c:v>
                      </c:pt>
                      <c:pt idx="662">
                        <c:v>0.68000000000000038</c:v>
                      </c:pt>
                      <c:pt idx="663">
                        <c:v>0.69000000000000039</c:v>
                      </c:pt>
                      <c:pt idx="664">
                        <c:v>0.7000000000000004</c:v>
                      </c:pt>
                      <c:pt idx="665">
                        <c:v>0.71000000000000041</c:v>
                      </c:pt>
                      <c:pt idx="666">
                        <c:v>0.72000000000000042</c:v>
                      </c:pt>
                      <c:pt idx="667">
                        <c:v>0.73000000000000043</c:v>
                      </c:pt>
                      <c:pt idx="668">
                        <c:v>0.74000000000000044</c:v>
                      </c:pt>
                      <c:pt idx="669">
                        <c:v>0.75000000000000044</c:v>
                      </c:pt>
                      <c:pt idx="670">
                        <c:v>0.76000000000000045</c:v>
                      </c:pt>
                      <c:pt idx="671">
                        <c:v>0.77000000000000046</c:v>
                      </c:pt>
                      <c:pt idx="672">
                        <c:v>0.78000000000000047</c:v>
                      </c:pt>
                      <c:pt idx="673">
                        <c:v>0.79000000000000048</c:v>
                      </c:pt>
                      <c:pt idx="674">
                        <c:v>0.80000000000000049</c:v>
                      </c:pt>
                      <c:pt idx="675">
                        <c:v>0.8100000000000005</c:v>
                      </c:pt>
                      <c:pt idx="676">
                        <c:v>0.82000000000000051</c:v>
                      </c:pt>
                      <c:pt idx="677">
                        <c:v>0.83000000000000052</c:v>
                      </c:pt>
                      <c:pt idx="678">
                        <c:v>0.84000000000000052</c:v>
                      </c:pt>
                      <c:pt idx="679">
                        <c:v>0.85000000000000053</c:v>
                      </c:pt>
                      <c:pt idx="680">
                        <c:v>0.86000000000000054</c:v>
                      </c:pt>
                      <c:pt idx="681">
                        <c:v>0.87000000000000055</c:v>
                      </c:pt>
                      <c:pt idx="682">
                        <c:v>0.88000000000000056</c:v>
                      </c:pt>
                      <c:pt idx="683">
                        <c:v>0.89000000000000057</c:v>
                      </c:pt>
                      <c:pt idx="684">
                        <c:v>0.90000000000000058</c:v>
                      </c:pt>
                      <c:pt idx="685">
                        <c:v>0.91000000000000059</c:v>
                      </c:pt>
                      <c:pt idx="686">
                        <c:v>0.9200000000000006</c:v>
                      </c:pt>
                      <c:pt idx="687">
                        <c:v>0.9300000000000006</c:v>
                      </c:pt>
                      <c:pt idx="688">
                        <c:v>0.94000000000000061</c:v>
                      </c:pt>
                      <c:pt idx="689">
                        <c:v>0.95000000000000062</c:v>
                      </c:pt>
                      <c:pt idx="690">
                        <c:v>0.96000000000000063</c:v>
                      </c:pt>
                      <c:pt idx="691">
                        <c:v>0.97000000000000064</c:v>
                      </c:pt>
                      <c:pt idx="693">
                        <c:v>3.5000000000000003E-2</c:v>
                      </c:pt>
                      <c:pt idx="694">
                        <c:v>4.5000000000000005E-2</c:v>
                      </c:pt>
                      <c:pt idx="695">
                        <c:v>5.5000000000000007E-2</c:v>
                      </c:pt>
                      <c:pt idx="696">
                        <c:v>6.5000000000000002E-2</c:v>
                      </c:pt>
                      <c:pt idx="697">
                        <c:v>7.4999999999999997E-2</c:v>
                      </c:pt>
                      <c:pt idx="698">
                        <c:v>8.4999999999999992E-2</c:v>
                      </c:pt>
                      <c:pt idx="699">
                        <c:v>9.4999999999999987E-2</c:v>
                      </c:pt>
                      <c:pt idx="700">
                        <c:v>0.10499999999999998</c:v>
                      </c:pt>
                      <c:pt idx="701">
                        <c:v>0.11499999999999998</c:v>
                      </c:pt>
                      <c:pt idx="702">
                        <c:v>0.12499999999999997</c:v>
                      </c:pt>
                      <c:pt idx="703">
                        <c:v>0.13499999999999998</c:v>
                      </c:pt>
                      <c:pt idx="704">
                        <c:v>0.14499999999999999</c:v>
                      </c:pt>
                      <c:pt idx="705">
                        <c:v>0.155</c:v>
                      </c:pt>
                      <c:pt idx="706">
                        <c:v>0.16500000000000001</c:v>
                      </c:pt>
                      <c:pt idx="707">
                        <c:v>0.17500000000000002</c:v>
                      </c:pt>
                      <c:pt idx="708">
                        <c:v>0.18500000000000003</c:v>
                      </c:pt>
                      <c:pt idx="709">
                        <c:v>0.19500000000000003</c:v>
                      </c:pt>
                      <c:pt idx="710">
                        <c:v>0.20500000000000004</c:v>
                      </c:pt>
                      <c:pt idx="711">
                        <c:v>0.21500000000000005</c:v>
                      </c:pt>
                      <c:pt idx="712">
                        <c:v>0.22500000000000006</c:v>
                      </c:pt>
                      <c:pt idx="713">
                        <c:v>0.23500000000000007</c:v>
                      </c:pt>
                      <c:pt idx="714">
                        <c:v>0.24500000000000008</c:v>
                      </c:pt>
                      <c:pt idx="715">
                        <c:v>0.25500000000000006</c:v>
                      </c:pt>
                      <c:pt idx="716">
                        <c:v>0.26500000000000007</c:v>
                      </c:pt>
                      <c:pt idx="717">
                        <c:v>0.27500000000000008</c:v>
                      </c:pt>
                      <c:pt idx="718">
                        <c:v>0.28500000000000009</c:v>
                      </c:pt>
                      <c:pt idx="719">
                        <c:v>0.2950000000000001</c:v>
                      </c:pt>
                      <c:pt idx="720">
                        <c:v>0.3050000000000001</c:v>
                      </c:pt>
                      <c:pt idx="721">
                        <c:v>0.31500000000000011</c:v>
                      </c:pt>
                      <c:pt idx="722">
                        <c:v>0.32500000000000012</c:v>
                      </c:pt>
                      <c:pt idx="723">
                        <c:v>0.33500000000000013</c:v>
                      </c:pt>
                      <c:pt idx="724">
                        <c:v>0.34500000000000014</c:v>
                      </c:pt>
                      <c:pt idx="725">
                        <c:v>0.35500000000000015</c:v>
                      </c:pt>
                      <c:pt idx="726">
                        <c:v>0.36500000000000016</c:v>
                      </c:pt>
                      <c:pt idx="727">
                        <c:v>0.37500000000000017</c:v>
                      </c:pt>
                      <c:pt idx="728">
                        <c:v>0.38500000000000018</c:v>
                      </c:pt>
                      <c:pt idx="729">
                        <c:v>0.39500000000000018</c:v>
                      </c:pt>
                      <c:pt idx="730">
                        <c:v>0.40500000000000019</c:v>
                      </c:pt>
                      <c:pt idx="731">
                        <c:v>0.4150000000000002</c:v>
                      </c:pt>
                      <c:pt idx="732">
                        <c:v>0.42500000000000021</c:v>
                      </c:pt>
                      <c:pt idx="733">
                        <c:v>0.43500000000000022</c:v>
                      </c:pt>
                      <c:pt idx="734">
                        <c:v>0.44500000000000023</c:v>
                      </c:pt>
                      <c:pt idx="735">
                        <c:v>0.45500000000000024</c:v>
                      </c:pt>
                      <c:pt idx="736">
                        <c:v>0.46500000000000025</c:v>
                      </c:pt>
                      <c:pt idx="737">
                        <c:v>0.47500000000000026</c:v>
                      </c:pt>
                      <c:pt idx="738">
                        <c:v>0.48500000000000026</c:v>
                      </c:pt>
                      <c:pt idx="739">
                        <c:v>0.49500000000000027</c:v>
                      </c:pt>
                      <c:pt idx="740">
                        <c:v>0.50500000000000023</c:v>
                      </c:pt>
                      <c:pt idx="741">
                        <c:v>0.51500000000000024</c:v>
                      </c:pt>
                      <c:pt idx="742">
                        <c:v>0.52500000000000024</c:v>
                      </c:pt>
                      <c:pt idx="743">
                        <c:v>0.53500000000000025</c:v>
                      </c:pt>
                      <c:pt idx="744">
                        <c:v>0.54500000000000026</c:v>
                      </c:pt>
                      <c:pt idx="745">
                        <c:v>0.55500000000000027</c:v>
                      </c:pt>
                      <c:pt idx="746">
                        <c:v>0.56500000000000028</c:v>
                      </c:pt>
                      <c:pt idx="747">
                        <c:v>0.57500000000000029</c:v>
                      </c:pt>
                      <c:pt idx="748">
                        <c:v>0.5850000000000003</c:v>
                      </c:pt>
                      <c:pt idx="749">
                        <c:v>0.59500000000000031</c:v>
                      </c:pt>
                      <c:pt idx="750">
                        <c:v>0.60500000000000032</c:v>
                      </c:pt>
                      <c:pt idx="751">
                        <c:v>0.61500000000000032</c:v>
                      </c:pt>
                      <c:pt idx="752">
                        <c:v>0.62500000000000033</c:v>
                      </c:pt>
                      <c:pt idx="753">
                        <c:v>0.63500000000000034</c:v>
                      </c:pt>
                      <c:pt idx="754">
                        <c:v>0.64500000000000035</c:v>
                      </c:pt>
                      <c:pt idx="755">
                        <c:v>0.65500000000000036</c:v>
                      </c:pt>
                      <c:pt idx="756">
                        <c:v>0.66500000000000037</c:v>
                      </c:pt>
                      <c:pt idx="757">
                        <c:v>0.67500000000000038</c:v>
                      </c:pt>
                      <c:pt idx="758">
                        <c:v>0.68500000000000039</c:v>
                      </c:pt>
                      <c:pt idx="759">
                        <c:v>0.6950000000000004</c:v>
                      </c:pt>
                      <c:pt idx="760">
                        <c:v>0.7050000000000004</c:v>
                      </c:pt>
                      <c:pt idx="761">
                        <c:v>0.71500000000000041</c:v>
                      </c:pt>
                      <c:pt idx="762">
                        <c:v>0.72500000000000042</c:v>
                      </c:pt>
                      <c:pt idx="763">
                        <c:v>0.73500000000000043</c:v>
                      </c:pt>
                      <c:pt idx="764">
                        <c:v>0.74500000000000044</c:v>
                      </c:pt>
                      <c:pt idx="765">
                        <c:v>0.75500000000000045</c:v>
                      </c:pt>
                      <c:pt idx="766">
                        <c:v>0.76500000000000046</c:v>
                      </c:pt>
                      <c:pt idx="767">
                        <c:v>0.77500000000000047</c:v>
                      </c:pt>
                      <c:pt idx="768">
                        <c:v>0.78500000000000048</c:v>
                      </c:pt>
                      <c:pt idx="769">
                        <c:v>0.79500000000000048</c:v>
                      </c:pt>
                      <c:pt idx="770">
                        <c:v>0.80500000000000049</c:v>
                      </c:pt>
                      <c:pt idx="771">
                        <c:v>0.8150000000000005</c:v>
                      </c:pt>
                      <c:pt idx="772">
                        <c:v>0.82500000000000051</c:v>
                      </c:pt>
                      <c:pt idx="773">
                        <c:v>0.83500000000000052</c:v>
                      </c:pt>
                      <c:pt idx="774">
                        <c:v>0.84500000000000053</c:v>
                      </c:pt>
                      <c:pt idx="775">
                        <c:v>0.85500000000000054</c:v>
                      </c:pt>
                      <c:pt idx="776">
                        <c:v>0.86500000000000055</c:v>
                      </c:pt>
                      <c:pt idx="777">
                        <c:v>0.87500000000000056</c:v>
                      </c:pt>
                      <c:pt idx="778">
                        <c:v>0.88500000000000056</c:v>
                      </c:pt>
                      <c:pt idx="779">
                        <c:v>0.89500000000000057</c:v>
                      </c:pt>
                      <c:pt idx="780">
                        <c:v>0.90500000000000058</c:v>
                      </c:pt>
                      <c:pt idx="781">
                        <c:v>0.91500000000000059</c:v>
                      </c:pt>
                      <c:pt idx="782">
                        <c:v>0.9250000000000006</c:v>
                      </c:pt>
                      <c:pt idx="783">
                        <c:v>0.93500000000000061</c:v>
                      </c:pt>
                      <c:pt idx="784">
                        <c:v>0.94500000000000062</c:v>
                      </c:pt>
                      <c:pt idx="785">
                        <c:v>0.95500000000000063</c:v>
                      </c:pt>
                      <c:pt idx="786">
                        <c:v>0.96500000000000064</c:v>
                      </c:pt>
                      <c:pt idx="788">
                        <c:v>0.04</c:v>
                      </c:pt>
                      <c:pt idx="789">
                        <c:v>0.05</c:v>
                      </c:pt>
                      <c:pt idx="790">
                        <c:v>6.0000000000000005E-2</c:v>
                      </c:pt>
                      <c:pt idx="791">
                        <c:v>7.0000000000000007E-2</c:v>
                      </c:pt>
                      <c:pt idx="792">
                        <c:v>0.08</c:v>
                      </c:pt>
                      <c:pt idx="793">
                        <c:v>0.09</c:v>
                      </c:pt>
                      <c:pt idx="794">
                        <c:v>9.9999999999999992E-2</c:v>
                      </c:pt>
                      <c:pt idx="795">
                        <c:v>0.10999999999999999</c:v>
                      </c:pt>
                      <c:pt idx="796">
                        <c:v>0.11999999999999998</c:v>
                      </c:pt>
                      <c:pt idx="797">
                        <c:v>0.12999999999999998</c:v>
                      </c:pt>
                      <c:pt idx="798">
                        <c:v>0.13999999999999999</c:v>
                      </c:pt>
                      <c:pt idx="799">
                        <c:v>0.15</c:v>
                      </c:pt>
                      <c:pt idx="800">
                        <c:v>0.16</c:v>
                      </c:pt>
                      <c:pt idx="801">
                        <c:v>0.17</c:v>
                      </c:pt>
                      <c:pt idx="802">
                        <c:v>0.18000000000000002</c:v>
                      </c:pt>
                      <c:pt idx="803">
                        <c:v>0.19000000000000003</c:v>
                      </c:pt>
                      <c:pt idx="804">
                        <c:v>0.20000000000000004</c:v>
                      </c:pt>
                      <c:pt idx="805">
                        <c:v>0.21000000000000005</c:v>
                      </c:pt>
                      <c:pt idx="806">
                        <c:v>0.22000000000000006</c:v>
                      </c:pt>
                      <c:pt idx="807">
                        <c:v>0.23000000000000007</c:v>
                      </c:pt>
                      <c:pt idx="808">
                        <c:v>0.24000000000000007</c:v>
                      </c:pt>
                      <c:pt idx="809">
                        <c:v>0.25000000000000006</c:v>
                      </c:pt>
                      <c:pt idx="810">
                        <c:v>0.26000000000000006</c:v>
                      </c:pt>
                      <c:pt idx="811">
                        <c:v>0.27000000000000007</c:v>
                      </c:pt>
                      <c:pt idx="812">
                        <c:v>0.28000000000000008</c:v>
                      </c:pt>
                      <c:pt idx="813">
                        <c:v>0.29000000000000009</c:v>
                      </c:pt>
                      <c:pt idx="814">
                        <c:v>0.3000000000000001</c:v>
                      </c:pt>
                      <c:pt idx="815">
                        <c:v>0.31000000000000011</c:v>
                      </c:pt>
                      <c:pt idx="816">
                        <c:v>0.32000000000000012</c:v>
                      </c:pt>
                      <c:pt idx="817">
                        <c:v>0.33000000000000013</c:v>
                      </c:pt>
                      <c:pt idx="818">
                        <c:v>0.34000000000000014</c:v>
                      </c:pt>
                      <c:pt idx="819">
                        <c:v>0.35000000000000014</c:v>
                      </c:pt>
                      <c:pt idx="820">
                        <c:v>0.36000000000000015</c:v>
                      </c:pt>
                      <c:pt idx="821">
                        <c:v>0.37000000000000016</c:v>
                      </c:pt>
                      <c:pt idx="822">
                        <c:v>0.38000000000000017</c:v>
                      </c:pt>
                      <c:pt idx="823">
                        <c:v>0.39000000000000018</c:v>
                      </c:pt>
                      <c:pt idx="824">
                        <c:v>0.40000000000000019</c:v>
                      </c:pt>
                      <c:pt idx="825">
                        <c:v>0.4100000000000002</c:v>
                      </c:pt>
                      <c:pt idx="826">
                        <c:v>0.42000000000000021</c:v>
                      </c:pt>
                      <c:pt idx="827">
                        <c:v>0.43000000000000022</c:v>
                      </c:pt>
                      <c:pt idx="828">
                        <c:v>0.44000000000000022</c:v>
                      </c:pt>
                      <c:pt idx="829">
                        <c:v>0.45000000000000023</c:v>
                      </c:pt>
                      <c:pt idx="830">
                        <c:v>0.46000000000000024</c:v>
                      </c:pt>
                      <c:pt idx="831">
                        <c:v>0.47000000000000025</c:v>
                      </c:pt>
                      <c:pt idx="832">
                        <c:v>0.48000000000000026</c:v>
                      </c:pt>
                      <c:pt idx="833">
                        <c:v>0.49000000000000027</c:v>
                      </c:pt>
                      <c:pt idx="834">
                        <c:v>0.50000000000000022</c:v>
                      </c:pt>
                      <c:pt idx="835">
                        <c:v>0.51000000000000023</c:v>
                      </c:pt>
                      <c:pt idx="836">
                        <c:v>0.52000000000000024</c:v>
                      </c:pt>
                      <c:pt idx="837">
                        <c:v>0.53000000000000025</c:v>
                      </c:pt>
                      <c:pt idx="838">
                        <c:v>0.54000000000000026</c:v>
                      </c:pt>
                      <c:pt idx="839">
                        <c:v>0.55000000000000027</c:v>
                      </c:pt>
                      <c:pt idx="840">
                        <c:v>0.56000000000000028</c:v>
                      </c:pt>
                      <c:pt idx="841">
                        <c:v>0.57000000000000028</c:v>
                      </c:pt>
                      <c:pt idx="842">
                        <c:v>0.58000000000000029</c:v>
                      </c:pt>
                      <c:pt idx="843">
                        <c:v>0.5900000000000003</c:v>
                      </c:pt>
                      <c:pt idx="844">
                        <c:v>0.60000000000000031</c:v>
                      </c:pt>
                      <c:pt idx="845">
                        <c:v>0.61000000000000032</c:v>
                      </c:pt>
                      <c:pt idx="846">
                        <c:v>0.62000000000000033</c:v>
                      </c:pt>
                      <c:pt idx="847">
                        <c:v>0.63000000000000034</c:v>
                      </c:pt>
                      <c:pt idx="848">
                        <c:v>0.64000000000000035</c:v>
                      </c:pt>
                      <c:pt idx="849">
                        <c:v>0.65000000000000036</c:v>
                      </c:pt>
                      <c:pt idx="850">
                        <c:v>0.66000000000000036</c:v>
                      </c:pt>
                      <c:pt idx="851">
                        <c:v>0.67000000000000037</c:v>
                      </c:pt>
                      <c:pt idx="852">
                        <c:v>0.68000000000000038</c:v>
                      </c:pt>
                      <c:pt idx="853">
                        <c:v>0.69000000000000039</c:v>
                      </c:pt>
                      <c:pt idx="854">
                        <c:v>0.7000000000000004</c:v>
                      </c:pt>
                      <c:pt idx="855">
                        <c:v>0.71000000000000041</c:v>
                      </c:pt>
                      <c:pt idx="856">
                        <c:v>0.72000000000000042</c:v>
                      </c:pt>
                      <c:pt idx="857">
                        <c:v>0.73000000000000043</c:v>
                      </c:pt>
                      <c:pt idx="858">
                        <c:v>0.74000000000000044</c:v>
                      </c:pt>
                      <c:pt idx="859">
                        <c:v>0.75000000000000044</c:v>
                      </c:pt>
                      <c:pt idx="860">
                        <c:v>0.76000000000000045</c:v>
                      </c:pt>
                      <c:pt idx="861">
                        <c:v>0.77000000000000046</c:v>
                      </c:pt>
                      <c:pt idx="862">
                        <c:v>0.78000000000000047</c:v>
                      </c:pt>
                      <c:pt idx="863">
                        <c:v>0.79000000000000048</c:v>
                      </c:pt>
                      <c:pt idx="864">
                        <c:v>0.80000000000000049</c:v>
                      </c:pt>
                      <c:pt idx="865">
                        <c:v>0.8100000000000005</c:v>
                      </c:pt>
                      <c:pt idx="866">
                        <c:v>0.82000000000000051</c:v>
                      </c:pt>
                      <c:pt idx="867">
                        <c:v>0.83000000000000052</c:v>
                      </c:pt>
                      <c:pt idx="868">
                        <c:v>0.84000000000000052</c:v>
                      </c:pt>
                      <c:pt idx="869">
                        <c:v>0.85000000000000053</c:v>
                      </c:pt>
                      <c:pt idx="870">
                        <c:v>0.86000000000000054</c:v>
                      </c:pt>
                      <c:pt idx="871">
                        <c:v>0.87000000000000055</c:v>
                      </c:pt>
                      <c:pt idx="872">
                        <c:v>0.88000000000000056</c:v>
                      </c:pt>
                      <c:pt idx="873">
                        <c:v>0.89000000000000057</c:v>
                      </c:pt>
                      <c:pt idx="874">
                        <c:v>0.90000000000000058</c:v>
                      </c:pt>
                      <c:pt idx="875">
                        <c:v>0.91000000000000059</c:v>
                      </c:pt>
                      <c:pt idx="876">
                        <c:v>0.9200000000000006</c:v>
                      </c:pt>
                      <c:pt idx="877">
                        <c:v>0.9300000000000006</c:v>
                      </c:pt>
                      <c:pt idx="878">
                        <c:v>0.94000000000000061</c:v>
                      </c:pt>
                      <c:pt idx="879">
                        <c:v>0.95000000000000062</c:v>
                      </c:pt>
                      <c:pt idx="880">
                        <c:v>0.96000000000000063</c:v>
                      </c:pt>
                      <c:pt idx="882">
                        <c:v>4.5000000000000005E-2</c:v>
                      </c:pt>
                      <c:pt idx="883">
                        <c:v>5.5000000000000007E-2</c:v>
                      </c:pt>
                      <c:pt idx="884">
                        <c:v>6.5000000000000002E-2</c:v>
                      </c:pt>
                      <c:pt idx="885">
                        <c:v>7.4999999999999997E-2</c:v>
                      </c:pt>
                      <c:pt idx="886">
                        <c:v>8.4999999999999992E-2</c:v>
                      </c:pt>
                      <c:pt idx="887">
                        <c:v>9.4999999999999987E-2</c:v>
                      </c:pt>
                      <c:pt idx="888">
                        <c:v>0.10499999999999998</c:v>
                      </c:pt>
                      <c:pt idx="889">
                        <c:v>0.11499999999999998</c:v>
                      </c:pt>
                      <c:pt idx="890">
                        <c:v>0.12499999999999997</c:v>
                      </c:pt>
                      <c:pt idx="891">
                        <c:v>0.13499999999999998</c:v>
                      </c:pt>
                      <c:pt idx="892">
                        <c:v>0.14499999999999999</c:v>
                      </c:pt>
                      <c:pt idx="893">
                        <c:v>0.155</c:v>
                      </c:pt>
                      <c:pt idx="894">
                        <c:v>0.16500000000000001</c:v>
                      </c:pt>
                      <c:pt idx="895">
                        <c:v>0.17500000000000002</c:v>
                      </c:pt>
                      <c:pt idx="896">
                        <c:v>0.18500000000000003</c:v>
                      </c:pt>
                      <c:pt idx="897">
                        <c:v>0.19500000000000003</c:v>
                      </c:pt>
                      <c:pt idx="898">
                        <c:v>0.20500000000000004</c:v>
                      </c:pt>
                      <c:pt idx="899">
                        <c:v>0.21500000000000005</c:v>
                      </c:pt>
                      <c:pt idx="900">
                        <c:v>0.22500000000000006</c:v>
                      </c:pt>
                      <c:pt idx="901">
                        <c:v>0.23500000000000007</c:v>
                      </c:pt>
                      <c:pt idx="902">
                        <c:v>0.24500000000000008</c:v>
                      </c:pt>
                      <c:pt idx="903">
                        <c:v>0.25500000000000006</c:v>
                      </c:pt>
                      <c:pt idx="904">
                        <c:v>0.26500000000000007</c:v>
                      </c:pt>
                      <c:pt idx="905">
                        <c:v>0.27500000000000008</c:v>
                      </c:pt>
                      <c:pt idx="906">
                        <c:v>0.28500000000000009</c:v>
                      </c:pt>
                      <c:pt idx="907">
                        <c:v>0.2950000000000001</c:v>
                      </c:pt>
                      <c:pt idx="908">
                        <c:v>0.3050000000000001</c:v>
                      </c:pt>
                      <c:pt idx="909">
                        <c:v>0.31500000000000011</c:v>
                      </c:pt>
                      <c:pt idx="910">
                        <c:v>0.32500000000000012</c:v>
                      </c:pt>
                      <c:pt idx="911">
                        <c:v>0.33500000000000013</c:v>
                      </c:pt>
                      <c:pt idx="912">
                        <c:v>0.34500000000000014</c:v>
                      </c:pt>
                      <c:pt idx="913">
                        <c:v>0.35500000000000015</c:v>
                      </c:pt>
                      <c:pt idx="914">
                        <c:v>0.36500000000000016</c:v>
                      </c:pt>
                      <c:pt idx="915">
                        <c:v>0.37500000000000017</c:v>
                      </c:pt>
                      <c:pt idx="916">
                        <c:v>0.38500000000000018</c:v>
                      </c:pt>
                      <c:pt idx="917">
                        <c:v>0.39500000000000018</c:v>
                      </c:pt>
                      <c:pt idx="918">
                        <c:v>0.40500000000000019</c:v>
                      </c:pt>
                      <c:pt idx="919">
                        <c:v>0.4150000000000002</c:v>
                      </c:pt>
                      <c:pt idx="920">
                        <c:v>0.42500000000000021</c:v>
                      </c:pt>
                      <c:pt idx="921">
                        <c:v>0.43500000000000022</c:v>
                      </c:pt>
                      <c:pt idx="922">
                        <c:v>0.44500000000000023</c:v>
                      </c:pt>
                      <c:pt idx="923">
                        <c:v>0.45500000000000024</c:v>
                      </c:pt>
                      <c:pt idx="924">
                        <c:v>0.46500000000000025</c:v>
                      </c:pt>
                      <c:pt idx="925">
                        <c:v>0.47500000000000026</c:v>
                      </c:pt>
                      <c:pt idx="926">
                        <c:v>0.48500000000000026</c:v>
                      </c:pt>
                      <c:pt idx="927">
                        <c:v>0.49500000000000027</c:v>
                      </c:pt>
                      <c:pt idx="928">
                        <c:v>0.50500000000000023</c:v>
                      </c:pt>
                      <c:pt idx="929">
                        <c:v>0.51500000000000024</c:v>
                      </c:pt>
                      <c:pt idx="930">
                        <c:v>0.52500000000000024</c:v>
                      </c:pt>
                      <c:pt idx="931">
                        <c:v>0.53500000000000025</c:v>
                      </c:pt>
                      <c:pt idx="932">
                        <c:v>0.54500000000000026</c:v>
                      </c:pt>
                      <c:pt idx="933">
                        <c:v>0.55500000000000027</c:v>
                      </c:pt>
                      <c:pt idx="934">
                        <c:v>0.56500000000000028</c:v>
                      </c:pt>
                      <c:pt idx="935">
                        <c:v>0.57500000000000029</c:v>
                      </c:pt>
                      <c:pt idx="936">
                        <c:v>0.5850000000000003</c:v>
                      </c:pt>
                      <c:pt idx="937">
                        <c:v>0.59500000000000031</c:v>
                      </c:pt>
                      <c:pt idx="938">
                        <c:v>0.60500000000000032</c:v>
                      </c:pt>
                      <c:pt idx="939">
                        <c:v>0.61500000000000032</c:v>
                      </c:pt>
                      <c:pt idx="940">
                        <c:v>0.62500000000000033</c:v>
                      </c:pt>
                      <c:pt idx="941">
                        <c:v>0.63500000000000034</c:v>
                      </c:pt>
                      <c:pt idx="942">
                        <c:v>0.64500000000000035</c:v>
                      </c:pt>
                      <c:pt idx="943">
                        <c:v>0.65500000000000036</c:v>
                      </c:pt>
                      <c:pt idx="944">
                        <c:v>0.66500000000000037</c:v>
                      </c:pt>
                      <c:pt idx="945">
                        <c:v>0.67500000000000038</c:v>
                      </c:pt>
                      <c:pt idx="946">
                        <c:v>0.68500000000000039</c:v>
                      </c:pt>
                      <c:pt idx="947">
                        <c:v>0.6950000000000004</c:v>
                      </c:pt>
                      <c:pt idx="948">
                        <c:v>0.7050000000000004</c:v>
                      </c:pt>
                      <c:pt idx="949">
                        <c:v>0.71500000000000041</c:v>
                      </c:pt>
                      <c:pt idx="950">
                        <c:v>0.72500000000000042</c:v>
                      </c:pt>
                      <c:pt idx="951">
                        <c:v>0.73500000000000043</c:v>
                      </c:pt>
                      <c:pt idx="952">
                        <c:v>0.74500000000000044</c:v>
                      </c:pt>
                      <c:pt idx="953">
                        <c:v>0.75500000000000045</c:v>
                      </c:pt>
                      <c:pt idx="954">
                        <c:v>0.76500000000000046</c:v>
                      </c:pt>
                      <c:pt idx="955">
                        <c:v>0.77500000000000047</c:v>
                      </c:pt>
                      <c:pt idx="956">
                        <c:v>0.78500000000000048</c:v>
                      </c:pt>
                      <c:pt idx="957">
                        <c:v>0.79500000000000048</c:v>
                      </c:pt>
                      <c:pt idx="958">
                        <c:v>0.80500000000000049</c:v>
                      </c:pt>
                      <c:pt idx="959">
                        <c:v>0.8150000000000005</c:v>
                      </c:pt>
                      <c:pt idx="960">
                        <c:v>0.82500000000000051</c:v>
                      </c:pt>
                      <c:pt idx="961">
                        <c:v>0.83500000000000052</c:v>
                      </c:pt>
                      <c:pt idx="962">
                        <c:v>0.84500000000000053</c:v>
                      </c:pt>
                      <c:pt idx="963">
                        <c:v>0.85500000000000054</c:v>
                      </c:pt>
                      <c:pt idx="964">
                        <c:v>0.86500000000000055</c:v>
                      </c:pt>
                      <c:pt idx="965">
                        <c:v>0.87500000000000056</c:v>
                      </c:pt>
                      <c:pt idx="966">
                        <c:v>0.88500000000000056</c:v>
                      </c:pt>
                      <c:pt idx="967">
                        <c:v>0.89500000000000057</c:v>
                      </c:pt>
                      <c:pt idx="968">
                        <c:v>0.90500000000000058</c:v>
                      </c:pt>
                      <c:pt idx="969">
                        <c:v>0.91500000000000059</c:v>
                      </c:pt>
                      <c:pt idx="970">
                        <c:v>0.9250000000000006</c:v>
                      </c:pt>
                      <c:pt idx="971">
                        <c:v>0.93500000000000061</c:v>
                      </c:pt>
                      <c:pt idx="972">
                        <c:v>0.94500000000000062</c:v>
                      </c:pt>
                      <c:pt idx="973">
                        <c:v>0.95500000000000063</c:v>
                      </c:pt>
                      <c:pt idx="975">
                        <c:v>0.05</c:v>
                      </c:pt>
                      <c:pt idx="976">
                        <c:v>6.0000000000000005E-2</c:v>
                      </c:pt>
                      <c:pt idx="977">
                        <c:v>7.0000000000000007E-2</c:v>
                      </c:pt>
                      <c:pt idx="978">
                        <c:v>0.08</c:v>
                      </c:pt>
                      <c:pt idx="979">
                        <c:v>0.09</c:v>
                      </c:pt>
                      <c:pt idx="980">
                        <c:v>9.9999999999999992E-2</c:v>
                      </c:pt>
                      <c:pt idx="981">
                        <c:v>0.10999999999999999</c:v>
                      </c:pt>
                      <c:pt idx="982">
                        <c:v>0.11999999999999998</c:v>
                      </c:pt>
                      <c:pt idx="983">
                        <c:v>0.12999999999999998</c:v>
                      </c:pt>
                      <c:pt idx="984">
                        <c:v>0.13999999999999999</c:v>
                      </c:pt>
                      <c:pt idx="985">
                        <c:v>0.15</c:v>
                      </c:pt>
                      <c:pt idx="986">
                        <c:v>0.16</c:v>
                      </c:pt>
                      <c:pt idx="987">
                        <c:v>0.17</c:v>
                      </c:pt>
                      <c:pt idx="988">
                        <c:v>0.18000000000000002</c:v>
                      </c:pt>
                      <c:pt idx="989">
                        <c:v>0.19000000000000003</c:v>
                      </c:pt>
                      <c:pt idx="990">
                        <c:v>0.20000000000000004</c:v>
                      </c:pt>
                      <c:pt idx="991">
                        <c:v>0.21000000000000005</c:v>
                      </c:pt>
                      <c:pt idx="992">
                        <c:v>0.22000000000000006</c:v>
                      </c:pt>
                      <c:pt idx="993">
                        <c:v>0.23000000000000007</c:v>
                      </c:pt>
                      <c:pt idx="994">
                        <c:v>0.24000000000000007</c:v>
                      </c:pt>
                      <c:pt idx="995">
                        <c:v>0.25000000000000006</c:v>
                      </c:pt>
                      <c:pt idx="996">
                        <c:v>0.26000000000000006</c:v>
                      </c:pt>
                      <c:pt idx="997">
                        <c:v>0.27000000000000007</c:v>
                      </c:pt>
                      <c:pt idx="998">
                        <c:v>0.28000000000000008</c:v>
                      </c:pt>
                      <c:pt idx="999">
                        <c:v>0.29000000000000009</c:v>
                      </c:pt>
                      <c:pt idx="1000">
                        <c:v>0.3000000000000001</c:v>
                      </c:pt>
                      <c:pt idx="1001">
                        <c:v>0.31000000000000011</c:v>
                      </c:pt>
                      <c:pt idx="1002">
                        <c:v>0.32000000000000012</c:v>
                      </c:pt>
                      <c:pt idx="1003">
                        <c:v>0.33000000000000013</c:v>
                      </c:pt>
                      <c:pt idx="1004">
                        <c:v>0.34000000000000014</c:v>
                      </c:pt>
                      <c:pt idx="1005">
                        <c:v>0.35000000000000014</c:v>
                      </c:pt>
                      <c:pt idx="1006">
                        <c:v>0.36000000000000015</c:v>
                      </c:pt>
                      <c:pt idx="1007">
                        <c:v>0.37000000000000016</c:v>
                      </c:pt>
                      <c:pt idx="1008">
                        <c:v>0.38000000000000017</c:v>
                      </c:pt>
                      <c:pt idx="1009">
                        <c:v>0.39000000000000018</c:v>
                      </c:pt>
                      <c:pt idx="1010">
                        <c:v>0.40000000000000019</c:v>
                      </c:pt>
                      <c:pt idx="1011">
                        <c:v>0.4100000000000002</c:v>
                      </c:pt>
                      <c:pt idx="1012">
                        <c:v>0.42000000000000021</c:v>
                      </c:pt>
                      <c:pt idx="1013">
                        <c:v>0.43000000000000022</c:v>
                      </c:pt>
                      <c:pt idx="1014">
                        <c:v>0.44000000000000022</c:v>
                      </c:pt>
                      <c:pt idx="1015">
                        <c:v>0.45000000000000023</c:v>
                      </c:pt>
                      <c:pt idx="1016">
                        <c:v>0.46000000000000024</c:v>
                      </c:pt>
                      <c:pt idx="1017">
                        <c:v>0.47000000000000025</c:v>
                      </c:pt>
                      <c:pt idx="1018">
                        <c:v>0.48000000000000026</c:v>
                      </c:pt>
                      <c:pt idx="1019">
                        <c:v>0.49000000000000027</c:v>
                      </c:pt>
                      <c:pt idx="1020">
                        <c:v>0.50000000000000022</c:v>
                      </c:pt>
                      <c:pt idx="1021">
                        <c:v>0.51000000000000023</c:v>
                      </c:pt>
                      <c:pt idx="1022">
                        <c:v>0.52000000000000024</c:v>
                      </c:pt>
                      <c:pt idx="1023">
                        <c:v>0.53000000000000025</c:v>
                      </c:pt>
                      <c:pt idx="1024">
                        <c:v>0.54000000000000026</c:v>
                      </c:pt>
                      <c:pt idx="1025">
                        <c:v>0.55000000000000027</c:v>
                      </c:pt>
                      <c:pt idx="1026">
                        <c:v>0.56000000000000028</c:v>
                      </c:pt>
                      <c:pt idx="1027">
                        <c:v>0.57000000000000028</c:v>
                      </c:pt>
                      <c:pt idx="1028">
                        <c:v>0.58000000000000029</c:v>
                      </c:pt>
                      <c:pt idx="1029">
                        <c:v>0.5900000000000003</c:v>
                      </c:pt>
                      <c:pt idx="1030">
                        <c:v>0.60000000000000031</c:v>
                      </c:pt>
                      <c:pt idx="1031">
                        <c:v>0.61000000000000032</c:v>
                      </c:pt>
                      <c:pt idx="1032">
                        <c:v>0.62000000000000033</c:v>
                      </c:pt>
                      <c:pt idx="1033">
                        <c:v>0.63000000000000034</c:v>
                      </c:pt>
                      <c:pt idx="1034">
                        <c:v>0.64000000000000035</c:v>
                      </c:pt>
                      <c:pt idx="1035">
                        <c:v>0.65000000000000036</c:v>
                      </c:pt>
                      <c:pt idx="1036">
                        <c:v>0.66000000000000036</c:v>
                      </c:pt>
                      <c:pt idx="1037">
                        <c:v>0.67000000000000037</c:v>
                      </c:pt>
                      <c:pt idx="1038">
                        <c:v>0.68000000000000038</c:v>
                      </c:pt>
                      <c:pt idx="1039">
                        <c:v>0.69000000000000039</c:v>
                      </c:pt>
                      <c:pt idx="1040">
                        <c:v>0.7000000000000004</c:v>
                      </c:pt>
                      <c:pt idx="1041">
                        <c:v>0.71000000000000041</c:v>
                      </c:pt>
                      <c:pt idx="1042">
                        <c:v>0.72000000000000042</c:v>
                      </c:pt>
                      <c:pt idx="1043">
                        <c:v>0.73000000000000043</c:v>
                      </c:pt>
                      <c:pt idx="1044">
                        <c:v>0.74000000000000044</c:v>
                      </c:pt>
                      <c:pt idx="1045">
                        <c:v>0.75000000000000044</c:v>
                      </c:pt>
                      <c:pt idx="1046">
                        <c:v>0.76000000000000045</c:v>
                      </c:pt>
                      <c:pt idx="1047">
                        <c:v>0.77000000000000046</c:v>
                      </c:pt>
                      <c:pt idx="1048">
                        <c:v>0.78000000000000047</c:v>
                      </c:pt>
                      <c:pt idx="1049">
                        <c:v>0.79000000000000048</c:v>
                      </c:pt>
                      <c:pt idx="1050">
                        <c:v>0.80000000000000049</c:v>
                      </c:pt>
                      <c:pt idx="1051">
                        <c:v>0.8100000000000005</c:v>
                      </c:pt>
                      <c:pt idx="1052">
                        <c:v>0.82000000000000051</c:v>
                      </c:pt>
                      <c:pt idx="1053">
                        <c:v>0.83000000000000052</c:v>
                      </c:pt>
                      <c:pt idx="1054">
                        <c:v>0.84000000000000052</c:v>
                      </c:pt>
                      <c:pt idx="1055">
                        <c:v>0.85000000000000053</c:v>
                      </c:pt>
                      <c:pt idx="1056">
                        <c:v>0.86000000000000054</c:v>
                      </c:pt>
                      <c:pt idx="1057">
                        <c:v>0.87000000000000055</c:v>
                      </c:pt>
                      <c:pt idx="1058">
                        <c:v>0.88000000000000056</c:v>
                      </c:pt>
                      <c:pt idx="1059">
                        <c:v>0.89000000000000057</c:v>
                      </c:pt>
                      <c:pt idx="1060">
                        <c:v>0.90000000000000058</c:v>
                      </c:pt>
                      <c:pt idx="1061">
                        <c:v>0.91000000000000059</c:v>
                      </c:pt>
                      <c:pt idx="1062">
                        <c:v>0.9200000000000006</c:v>
                      </c:pt>
                      <c:pt idx="1063">
                        <c:v>0.9300000000000006</c:v>
                      </c:pt>
                      <c:pt idx="1064">
                        <c:v>0.94000000000000061</c:v>
                      </c:pt>
                      <c:pt idx="1065">
                        <c:v>0.95000000000000062</c:v>
                      </c:pt>
                      <c:pt idx="1067">
                        <c:v>5.5000000000000007E-2</c:v>
                      </c:pt>
                      <c:pt idx="1068">
                        <c:v>6.5000000000000002E-2</c:v>
                      </c:pt>
                      <c:pt idx="1069">
                        <c:v>7.4999999999999997E-2</c:v>
                      </c:pt>
                      <c:pt idx="1070">
                        <c:v>8.4999999999999992E-2</c:v>
                      </c:pt>
                      <c:pt idx="1071">
                        <c:v>9.4999999999999987E-2</c:v>
                      </c:pt>
                      <c:pt idx="1072">
                        <c:v>0.10499999999999998</c:v>
                      </c:pt>
                      <c:pt idx="1073">
                        <c:v>0.11499999999999998</c:v>
                      </c:pt>
                      <c:pt idx="1074">
                        <c:v>0.12499999999999997</c:v>
                      </c:pt>
                      <c:pt idx="1075">
                        <c:v>0.13499999999999998</c:v>
                      </c:pt>
                      <c:pt idx="1076">
                        <c:v>0.14499999999999999</c:v>
                      </c:pt>
                      <c:pt idx="1077">
                        <c:v>0.155</c:v>
                      </c:pt>
                      <c:pt idx="1078">
                        <c:v>0.16500000000000001</c:v>
                      </c:pt>
                      <c:pt idx="1079">
                        <c:v>0.17500000000000002</c:v>
                      </c:pt>
                      <c:pt idx="1080">
                        <c:v>0.18500000000000003</c:v>
                      </c:pt>
                      <c:pt idx="1081">
                        <c:v>0.19500000000000003</c:v>
                      </c:pt>
                      <c:pt idx="1082">
                        <c:v>0.20500000000000004</c:v>
                      </c:pt>
                      <c:pt idx="1083">
                        <c:v>0.21500000000000005</c:v>
                      </c:pt>
                      <c:pt idx="1084">
                        <c:v>0.22500000000000006</c:v>
                      </c:pt>
                      <c:pt idx="1085">
                        <c:v>0.23500000000000007</c:v>
                      </c:pt>
                      <c:pt idx="1086">
                        <c:v>0.24500000000000008</c:v>
                      </c:pt>
                      <c:pt idx="1087">
                        <c:v>0.25500000000000006</c:v>
                      </c:pt>
                      <c:pt idx="1088">
                        <c:v>0.26500000000000007</c:v>
                      </c:pt>
                      <c:pt idx="1089">
                        <c:v>0.27500000000000008</c:v>
                      </c:pt>
                      <c:pt idx="1090">
                        <c:v>0.28500000000000009</c:v>
                      </c:pt>
                      <c:pt idx="1091">
                        <c:v>0.2950000000000001</c:v>
                      </c:pt>
                      <c:pt idx="1092">
                        <c:v>0.3050000000000001</c:v>
                      </c:pt>
                      <c:pt idx="1093">
                        <c:v>0.31500000000000011</c:v>
                      </c:pt>
                      <c:pt idx="1094">
                        <c:v>0.32500000000000012</c:v>
                      </c:pt>
                      <c:pt idx="1095">
                        <c:v>0.33500000000000013</c:v>
                      </c:pt>
                      <c:pt idx="1096">
                        <c:v>0.34500000000000014</c:v>
                      </c:pt>
                      <c:pt idx="1097">
                        <c:v>0.35500000000000015</c:v>
                      </c:pt>
                      <c:pt idx="1098">
                        <c:v>0.36500000000000016</c:v>
                      </c:pt>
                      <c:pt idx="1099">
                        <c:v>0.37500000000000017</c:v>
                      </c:pt>
                      <c:pt idx="1100">
                        <c:v>0.38500000000000018</c:v>
                      </c:pt>
                      <c:pt idx="1101">
                        <c:v>0.39500000000000018</c:v>
                      </c:pt>
                      <c:pt idx="1102">
                        <c:v>0.40500000000000019</c:v>
                      </c:pt>
                      <c:pt idx="1103">
                        <c:v>0.4150000000000002</c:v>
                      </c:pt>
                      <c:pt idx="1104">
                        <c:v>0.42500000000000021</c:v>
                      </c:pt>
                      <c:pt idx="1105">
                        <c:v>0.43500000000000022</c:v>
                      </c:pt>
                      <c:pt idx="1106">
                        <c:v>0.44500000000000023</c:v>
                      </c:pt>
                      <c:pt idx="1107">
                        <c:v>0.45500000000000024</c:v>
                      </c:pt>
                      <c:pt idx="1108">
                        <c:v>0.46500000000000025</c:v>
                      </c:pt>
                      <c:pt idx="1109">
                        <c:v>0.47500000000000026</c:v>
                      </c:pt>
                      <c:pt idx="1110">
                        <c:v>0.48500000000000026</c:v>
                      </c:pt>
                      <c:pt idx="1111">
                        <c:v>0.49500000000000027</c:v>
                      </c:pt>
                      <c:pt idx="1112">
                        <c:v>0.50500000000000023</c:v>
                      </c:pt>
                      <c:pt idx="1113">
                        <c:v>0.51500000000000024</c:v>
                      </c:pt>
                      <c:pt idx="1114">
                        <c:v>0.52500000000000024</c:v>
                      </c:pt>
                      <c:pt idx="1115">
                        <c:v>0.53500000000000025</c:v>
                      </c:pt>
                      <c:pt idx="1116">
                        <c:v>0.54500000000000026</c:v>
                      </c:pt>
                      <c:pt idx="1117">
                        <c:v>0.55500000000000027</c:v>
                      </c:pt>
                      <c:pt idx="1118">
                        <c:v>0.56500000000000028</c:v>
                      </c:pt>
                      <c:pt idx="1119">
                        <c:v>0.57500000000000029</c:v>
                      </c:pt>
                      <c:pt idx="1120">
                        <c:v>0.5850000000000003</c:v>
                      </c:pt>
                      <c:pt idx="1121">
                        <c:v>0.59500000000000031</c:v>
                      </c:pt>
                      <c:pt idx="1122">
                        <c:v>0.60500000000000032</c:v>
                      </c:pt>
                      <c:pt idx="1123">
                        <c:v>0.61500000000000032</c:v>
                      </c:pt>
                      <c:pt idx="1124">
                        <c:v>0.62500000000000033</c:v>
                      </c:pt>
                      <c:pt idx="1125">
                        <c:v>0.63500000000000034</c:v>
                      </c:pt>
                      <c:pt idx="1126">
                        <c:v>0.64500000000000035</c:v>
                      </c:pt>
                      <c:pt idx="1127">
                        <c:v>0.65500000000000036</c:v>
                      </c:pt>
                      <c:pt idx="1128">
                        <c:v>0.66500000000000037</c:v>
                      </c:pt>
                      <c:pt idx="1129">
                        <c:v>0.67500000000000038</c:v>
                      </c:pt>
                      <c:pt idx="1130">
                        <c:v>0.68500000000000039</c:v>
                      </c:pt>
                      <c:pt idx="1131">
                        <c:v>0.6950000000000004</c:v>
                      </c:pt>
                      <c:pt idx="1132">
                        <c:v>0.7050000000000004</c:v>
                      </c:pt>
                      <c:pt idx="1133">
                        <c:v>0.71500000000000041</c:v>
                      </c:pt>
                      <c:pt idx="1134">
                        <c:v>0.72500000000000042</c:v>
                      </c:pt>
                      <c:pt idx="1135">
                        <c:v>0.73500000000000043</c:v>
                      </c:pt>
                      <c:pt idx="1136">
                        <c:v>0.74500000000000044</c:v>
                      </c:pt>
                      <c:pt idx="1137">
                        <c:v>0.75500000000000045</c:v>
                      </c:pt>
                      <c:pt idx="1138">
                        <c:v>0.76500000000000046</c:v>
                      </c:pt>
                      <c:pt idx="1139">
                        <c:v>0.77500000000000047</c:v>
                      </c:pt>
                      <c:pt idx="1140">
                        <c:v>0.78500000000000048</c:v>
                      </c:pt>
                      <c:pt idx="1141">
                        <c:v>0.79500000000000048</c:v>
                      </c:pt>
                      <c:pt idx="1142">
                        <c:v>0.80500000000000049</c:v>
                      </c:pt>
                      <c:pt idx="1143">
                        <c:v>0.8150000000000005</c:v>
                      </c:pt>
                      <c:pt idx="1144">
                        <c:v>0.82500000000000051</c:v>
                      </c:pt>
                      <c:pt idx="1145">
                        <c:v>0.83500000000000052</c:v>
                      </c:pt>
                      <c:pt idx="1146">
                        <c:v>0.84500000000000053</c:v>
                      </c:pt>
                      <c:pt idx="1147">
                        <c:v>0.85500000000000054</c:v>
                      </c:pt>
                      <c:pt idx="1148">
                        <c:v>0.86500000000000055</c:v>
                      </c:pt>
                      <c:pt idx="1149">
                        <c:v>0.87500000000000056</c:v>
                      </c:pt>
                      <c:pt idx="1150">
                        <c:v>0.88500000000000056</c:v>
                      </c:pt>
                      <c:pt idx="1151">
                        <c:v>0.89500000000000057</c:v>
                      </c:pt>
                      <c:pt idx="1152">
                        <c:v>0.90500000000000058</c:v>
                      </c:pt>
                      <c:pt idx="1153">
                        <c:v>0.91500000000000059</c:v>
                      </c:pt>
                      <c:pt idx="1154">
                        <c:v>0.9250000000000006</c:v>
                      </c:pt>
                      <c:pt idx="1155">
                        <c:v>0.93500000000000061</c:v>
                      </c:pt>
                      <c:pt idx="1156">
                        <c:v>0.94500000000000062</c:v>
                      </c:pt>
                      <c:pt idx="1158">
                        <c:v>6.0000000000000005E-2</c:v>
                      </c:pt>
                      <c:pt idx="1159">
                        <c:v>7.0000000000000007E-2</c:v>
                      </c:pt>
                      <c:pt idx="1160">
                        <c:v>0.08</c:v>
                      </c:pt>
                      <c:pt idx="1161">
                        <c:v>0.09</c:v>
                      </c:pt>
                      <c:pt idx="1162">
                        <c:v>9.9999999999999992E-2</c:v>
                      </c:pt>
                      <c:pt idx="1163">
                        <c:v>0.10999999999999999</c:v>
                      </c:pt>
                      <c:pt idx="1164">
                        <c:v>0.11999999999999998</c:v>
                      </c:pt>
                      <c:pt idx="1165">
                        <c:v>0.12999999999999998</c:v>
                      </c:pt>
                      <c:pt idx="1166">
                        <c:v>0.13999999999999999</c:v>
                      </c:pt>
                      <c:pt idx="1167">
                        <c:v>0.15</c:v>
                      </c:pt>
                      <c:pt idx="1168">
                        <c:v>0.16</c:v>
                      </c:pt>
                      <c:pt idx="1169">
                        <c:v>0.17</c:v>
                      </c:pt>
                      <c:pt idx="1170">
                        <c:v>0.18000000000000002</c:v>
                      </c:pt>
                      <c:pt idx="1171">
                        <c:v>0.19000000000000003</c:v>
                      </c:pt>
                      <c:pt idx="1172">
                        <c:v>0.20000000000000004</c:v>
                      </c:pt>
                      <c:pt idx="1173">
                        <c:v>0.21000000000000005</c:v>
                      </c:pt>
                      <c:pt idx="1174">
                        <c:v>0.22000000000000006</c:v>
                      </c:pt>
                      <c:pt idx="1175">
                        <c:v>0.23000000000000007</c:v>
                      </c:pt>
                      <c:pt idx="1176">
                        <c:v>0.24000000000000007</c:v>
                      </c:pt>
                      <c:pt idx="1177">
                        <c:v>0.25000000000000006</c:v>
                      </c:pt>
                      <c:pt idx="1178">
                        <c:v>0.26000000000000006</c:v>
                      </c:pt>
                      <c:pt idx="1179">
                        <c:v>0.27000000000000007</c:v>
                      </c:pt>
                      <c:pt idx="1180">
                        <c:v>0.28000000000000008</c:v>
                      </c:pt>
                      <c:pt idx="1181">
                        <c:v>0.29000000000000009</c:v>
                      </c:pt>
                      <c:pt idx="1182">
                        <c:v>0.3000000000000001</c:v>
                      </c:pt>
                      <c:pt idx="1183">
                        <c:v>0.31000000000000011</c:v>
                      </c:pt>
                      <c:pt idx="1184">
                        <c:v>0.32000000000000012</c:v>
                      </c:pt>
                      <c:pt idx="1185">
                        <c:v>0.33000000000000013</c:v>
                      </c:pt>
                      <c:pt idx="1186">
                        <c:v>0.34000000000000014</c:v>
                      </c:pt>
                      <c:pt idx="1187">
                        <c:v>0.35000000000000014</c:v>
                      </c:pt>
                      <c:pt idx="1188">
                        <c:v>0.36000000000000015</c:v>
                      </c:pt>
                      <c:pt idx="1189">
                        <c:v>0.37000000000000016</c:v>
                      </c:pt>
                      <c:pt idx="1190">
                        <c:v>0.38000000000000017</c:v>
                      </c:pt>
                      <c:pt idx="1191">
                        <c:v>0.39000000000000018</c:v>
                      </c:pt>
                      <c:pt idx="1192">
                        <c:v>0.40000000000000019</c:v>
                      </c:pt>
                      <c:pt idx="1193">
                        <c:v>0.4100000000000002</c:v>
                      </c:pt>
                      <c:pt idx="1194">
                        <c:v>0.42000000000000021</c:v>
                      </c:pt>
                      <c:pt idx="1195">
                        <c:v>0.43000000000000022</c:v>
                      </c:pt>
                      <c:pt idx="1196">
                        <c:v>0.44000000000000022</c:v>
                      </c:pt>
                      <c:pt idx="1197">
                        <c:v>0.45000000000000023</c:v>
                      </c:pt>
                      <c:pt idx="1198">
                        <c:v>0.46000000000000024</c:v>
                      </c:pt>
                      <c:pt idx="1199">
                        <c:v>0.47000000000000025</c:v>
                      </c:pt>
                      <c:pt idx="1200">
                        <c:v>0.48000000000000026</c:v>
                      </c:pt>
                      <c:pt idx="1201">
                        <c:v>0.49000000000000027</c:v>
                      </c:pt>
                      <c:pt idx="1202">
                        <c:v>0.50000000000000022</c:v>
                      </c:pt>
                      <c:pt idx="1203">
                        <c:v>0.51000000000000023</c:v>
                      </c:pt>
                      <c:pt idx="1204">
                        <c:v>0.52000000000000024</c:v>
                      </c:pt>
                      <c:pt idx="1205">
                        <c:v>0.53000000000000025</c:v>
                      </c:pt>
                      <c:pt idx="1206">
                        <c:v>0.54000000000000026</c:v>
                      </c:pt>
                      <c:pt idx="1207">
                        <c:v>0.55000000000000027</c:v>
                      </c:pt>
                      <c:pt idx="1208">
                        <c:v>0.56000000000000028</c:v>
                      </c:pt>
                      <c:pt idx="1209">
                        <c:v>0.57000000000000028</c:v>
                      </c:pt>
                      <c:pt idx="1210">
                        <c:v>0.58000000000000029</c:v>
                      </c:pt>
                      <c:pt idx="1211">
                        <c:v>0.5900000000000003</c:v>
                      </c:pt>
                      <c:pt idx="1212">
                        <c:v>0.60000000000000031</c:v>
                      </c:pt>
                      <c:pt idx="1213">
                        <c:v>0.61000000000000032</c:v>
                      </c:pt>
                      <c:pt idx="1214">
                        <c:v>0.62000000000000033</c:v>
                      </c:pt>
                      <c:pt idx="1215">
                        <c:v>0.63000000000000034</c:v>
                      </c:pt>
                      <c:pt idx="1216">
                        <c:v>0.64000000000000035</c:v>
                      </c:pt>
                      <c:pt idx="1217">
                        <c:v>0.65000000000000036</c:v>
                      </c:pt>
                      <c:pt idx="1218">
                        <c:v>0.66000000000000036</c:v>
                      </c:pt>
                      <c:pt idx="1219">
                        <c:v>0.67000000000000037</c:v>
                      </c:pt>
                      <c:pt idx="1220">
                        <c:v>0.68000000000000038</c:v>
                      </c:pt>
                      <c:pt idx="1221">
                        <c:v>0.69000000000000039</c:v>
                      </c:pt>
                      <c:pt idx="1222">
                        <c:v>0.7000000000000004</c:v>
                      </c:pt>
                      <c:pt idx="1223">
                        <c:v>0.71000000000000041</c:v>
                      </c:pt>
                      <c:pt idx="1224">
                        <c:v>0.72000000000000042</c:v>
                      </c:pt>
                      <c:pt idx="1225">
                        <c:v>0.73000000000000043</c:v>
                      </c:pt>
                      <c:pt idx="1226">
                        <c:v>0.74000000000000044</c:v>
                      </c:pt>
                      <c:pt idx="1227">
                        <c:v>0.75000000000000044</c:v>
                      </c:pt>
                      <c:pt idx="1228">
                        <c:v>0.76000000000000045</c:v>
                      </c:pt>
                      <c:pt idx="1229">
                        <c:v>0.77000000000000046</c:v>
                      </c:pt>
                      <c:pt idx="1230">
                        <c:v>0.78000000000000047</c:v>
                      </c:pt>
                      <c:pt idx="1231">
                        <c:v>0.79000000000000048</c:v>
                      </c:pt>
                      <c:pt idx="1232">
                        <c:v>0.80000000000000049</c:v>
                      </c:pt>
                      <c:pt idx="1233">
                        <c:v>0.8100000000000005</c:v>
                      </c:pt>
                      <c:pt idx="1234">
                        <c:v>0.82000000000000051</c:v>
                      </c:pt>
                      <c:pt idx="1235">
                        <c:v>0.83000000000000052</c:v>
                      </c:pt>
                      <c:pt idx="1236">
                        <c:v>0.84000000000000052</c:v>
                      </c:pt>
                      <c:pt idx="1237">
                        <c:v>0.85000000000000053</c:v>
                      </c:pt>
                      <c:pt idx="1238">
                        <c:v>0.86000000000000054</c:v>
                      </c:pt>
                      <c:pt idx="1239">
                        <c:v>0.87000000000000055</c:v>
                      </c:pt>
                      <c:pt idx="1240">
                        <c:v>0.88000000000000056</c:v>
                      </c:pt>
                      <c:pt idx="1241">
                        <c:v>0.89000000000000057</c:v>
                      </c:pt>
                      <c:pt idx="1242">
                        <c:v>0.90000000000000058</c:v>
                      </c:pt>
                      <c:pt idx="1243">
                        <c:v>0.91000000000000059</c:v>
                      </c:pt>
                      <c:pt idx="1244">
                        <c:v>0.9200000000000006</c:v>
                      </c:pt>
                      <c:pt idx="1245">
                        <c:v>0.9300000000000006</c:v>
                      </c:pt>
                      <c:pt idx="1246">
                        <c:v>0.94000000000000061</c:v>
                      </c:pt>
                      <c:pt idx="1248">
                        <c:v>6.5000000000000002E-2</c:v>
                      </c:pt>
                      <c:pt idx="1249">
                        <c:v>7.4999999999999997E-2</c:v>
                      </c:pt>
                      <c:pt idx="1250">
                        <c:v>8.4999999999999992E-2</c:v>
                      </c:pt>
                      <c:pt idx="1251">
                        <c:v>9.4999999999999987E-2</c:v>
                      </c:pt>
                      <c:pt idx="1252">
                        <c:v>0.10499999999999998</c:v>
                      </c:pt>
                      <c:pt idx="1253">
                        <c:v>0.11499999999999998</c:v>
                      </c:pt>
                      <c:pt idx="1254">
                        <c:v>0.12499999999999997</c:v>
                      </c:pt>
                      <c:pt idx="1255">
                        <c:v>0.13499999999999998</c:v>
                      </c:pt>
                      <c:pt idx="1256">
                        <c:v>0.14499999999999999</c:v>
                      </c:pt>
                      <c:pt idx="1257">
                        <c:v>0.155</c:v>
                      </c:pt>
                      <c:pt idx="1258">
                        <c:v>0.16500000000000001</c:v>
                      </c:pt>
                      <c:pt idx="1259">
                        <c:v>0.17500000000000002</c:v>
                      </c:pt>
                      <c:pt idx="1260">
                        <c:v>0.18500000000000003</c:v>
                      </c:pt>
                      <c:pt idx="1261">
                        <c:v>0.19500000000000003</c:v>
                      </c:pt>
                      <c:pt idx="1262">
                        <c:v>0.20500000000000004</c:v>
                      </c:pt>
                      <c:pt idx="1263">
                        <c:v>0.21500000000000005</c:v>
                      </c:pt>
                      <c:pt idx="1264">
                        <c:v>0.22500000000000006</c:v>
                      </c:pt>
                      <c:pt idx="1265">
                        <c:v>0.23500000000000007</c:v>
                      </c:pt>
                      <c:pt idx="1266">
                        <c:v>0.24500000000000008</c:v>
                      </c:pt>
                      <c:pt idx="1267">
                        <c:v>0.25500000000000006</c:v>
                      </c:pt>
                      <c:pt idx="1268">
                        <c:v>0.26500000000000007</c:v>
                      </c:pt>
                      <c:pt idx="1269">
                        <c:v>0.27500000000000008</c:v>
                      </c:pt>
                      <c:pt idx="1270">
                        <c:v>0.28500000000000009</c:v>
                      </c:pt>
                      <c:pt idx="1271">
                        <c:v>0.2950000000000001</c:v>
                      </c:pt>
                      <c:pt idx="1272">
                        <c:v>0.3050000000000001</c:v>
                      </c:pt>
                      <c:pt idx="1273">
                        <c:v>0.31500000000000011</c:v>
                      </c:pt>
                      <c:pt idx="1274">
                        <c:v>0.32500000000000012</c:v>
                      </c:pt>
                      <c:pt idx="1275">
                        <c:v>0.33500000000000013</c:v>
                      </c:pt>
                      <c:pt idx="1276">
                        <c:v>0.34500000000000014</c:v>
                      </c:pt>
                      <c:pt idx="1277">
                        <c:v>0.35500000000000015</c:v>
                      </c:pt>
                      <c:pt idx="1278">
                        <c:v>0.36500000000000016</c:v>
                      </c:pt>
                      <c:pt idx="1279">
                        <c:v>0.37500000000000017</c:v>
                      </c:pt>
                      <c:pt idx="1280">
                        <c:v>0.38500000000000018</c:v>
                      </c:pt>
                      <c:pt idx="1281">
                        <c:v>0.39500000000000018</c:v>
                      </c:pt>
                      <c:pt idx="1282">
                        <c:v>0.40500000000000019</c:v>
                      </c:pt>
                      <c:pt idx="1283">
                        <c:v>0.4150000000000002</c:v>
                      </c:pt>
                      <c:pt idx="1284">
                        <c:v>0.42500000000000021</c:v>
                      </c:pt>
                      <c:pt idx="1285">
                        <c:v>0.43500000000000022</c:v>
                      </c:pt>
                      <c:pt idx="1286">
                        <c:v>0.44500000000000023</c:v>
                      </c:pt>
                      <c:pt idx="1287">
                        <c:v>0.45500000000000024</c:v>
                      </c:pt>
                      <c:pt idx="1288">
                        <c:v>0.46500000000000025</c:v>
                      </c:pt>
                      <c:pt idx="1289">
                        <c:v>0.47500000000000026</c:v>
                      </c:pt>
                      <c:pt idx="1290">
                        <c:v>0.48500000000000026</c:v>
                      </c:pt>
                      <c:pt idx="1291">
                        <c:v>0.49500000000000027</c:v>
                      </c:pt>
                      <c:pt idx="1292">
                        <c:v>0.50500000000000023</c:v>
                      </c:pt>
                      <c:pt idx="1293">
                        <c:v>0.51500000000000024</c:v>
                      </c:pt>
                      <c:pt idx="1294">
                        <c:v>0.52500000000000024</c:v>
                      </c:pt>
                      <c:pt idx="1295">
                        <c:v>0.53500000000000025</c:v>
                      </c:pt>
                      <c:pt idx="1296">
                        <c:v>0.54500000000000026</c:v>
                      </c:pt>
                      <c:pt idx="1297">
                        <c:v>0.55500000000000027</c:v>
                      </c:pt>
                      <c:pt idx="1298">
                        <c:v>0.56500000000000028</c:v>
                      </c:pt>
                      <c:pt idx="1299">
                        <c:v>0.57500000000000029</c:v>
                      </c:pt>
                      <c:pt idx="1300">
                        <c:v>0.5850000000000003</c:v>
                      </c:pt>
                      <c:pt idx="1301">
                        <c:v>0.59500000000000031</c:v>
                      </c:pt>
                      <c:pt idx="1302">
                        <c:v>0.60500000000000032</c:v>
                      </c:pt>
                      <c:pt idx="1303">
                        <c:v>0.61500000000000032</c:v>
                      </c:pt>
                      <c:pt idx="1304">
                        <c:v>0.62500000000000033</c:v>
                      </c:pt>
                      <c:pt idx="1305">
                        <c:v>0.63500000000000034</c:v>
                      </c:pt>
                      <c:pt idx="1306">
                        <c:v>0.64500000000000035</c:v>
                      </c:pt>
                      <c:pt idx="1307">
                        <c:v>0.65500000000000036</c:v>
                      </c:pt>
                      <c:pt idx="1308">
                        <c:v>0.66500000000000037</c:v>
                      </c:pt>
                      <c:pt idx="1309">
                        <c:v>0.67500000000000038</c:v>
                      </c:pt>
                      <c:pt idx="1310">
                        <c:v>0.68500000000000039</c:v>
                      </c:pt>
                      <c:pt idx="1311">
                        <c:v>0.6950000000000004</c:v>
                      </c:pt>
                      <c:pt idx="1312">
                        <c:v>0.7050000000000004</c:v>
                      </c:pt>
                      <c:pt idx="1313">
                        <c:v>0.71500000000000041</c:v>
                      </c:pt>
                      <c:pt idx="1314">
                        <c:v>0.72500000000000042</c:v>
                      </c:pt>
                      <c:pt idx="1315">
                        <c:v>0.73500000000000043</c:v>
                      </c:pt>
                      <c:pt idx="1316">
                        <c:v>0.74500000000000044</c:v>
                      </c:pt>
                      <c:pt idx="1317">
                        <c:v>0.75500000000000045</c:v>
                      </c:pt>
                      <c:pt idx="1318">
                        <c:v>0.76500000000000046</c:v>
                      </c:pt>
                      <c:pt idx="1319">
                        <c:v>0.77500000000000047</c:v>
                      </c:pt>
                      <c:pt idx="1320">
                        <c:v>0.78500000000000048</c:v>
                      </c:pt>
                      <c:pt idx="1321">
                        <c:v>0.79500000000000048</c:v>
                      </c:pt>
                      <c:pt idx="1322">
                        <c:v>0.80500000000000049</c:v>
                      </c:pt>
                      <c:pt idx="1323">
                        <c:v>0.8150000000000005</c:v>
                      </c:pt>
                      <c:pt idx="1324">
                        <c:v>0.82500000000000051</c:v>
                      </c:pt>
                      <c:pt idx="1325">
                        <c:v>0.83500000000000052</c:v>
                      </c:pt>
                      <c:pt idx="1326">
                        <c:v>0.84500000000000053</c:v>
                      </c:pt>
                      <c:pt idx="1327">
                        <c:v>0.85500000000000054</c:v>
                      </c:pt>
                      <c:pt idx="1328">
                        <c:v>0.86500000000000055</c:v>
                      </c:pt>
                      <c:pt idx="1329">
                        <c:v>0.87500000000000056</c:v>
                      </c:pt>
                      <c:pt idx="1330">
                        <c:v>0.88500000000000056</c:v>
                      </c:pt>
                      <c:pt idx="1331">
                        <c:v>0.89500000000000057</c:v>
                      </c:pt>
                      <c:pt idx="1332">
                        <c:v>0.90500000000000058</c:v>
                      </c:pt>
                      <c:pt idx="1333">
                        <c:v>0.91500000000000059</c:v>
                      </c:pt>
                      <c:pt idx="1334">
                        <c:v>0.9250000000000006</c:v>
                      </c:pt>
                      <c:pt idx="1335">
                        <c:v>0.93500000000000061</c:v>
                      </c:pt>
                      <c:pt idx="1337">
                        <c:v>7.0000000000000007E-2</c:v>
                      </c:pt>
                      <c:pt idx="1338">
                        <c:v>0.08</c:v>
                      </c:pt>
                      <c:pt idx="1339">
                        <c:v>0.09</c:v>
                      </c:pt>
                      <c:pt idx="1340">
                        <c:v>9.9999999999999992E-2</c:v>
                      </c:pt>
                      <c:pt idx="1341">
                        <c:v>0.10999999999999999</c:v>
                      </c:pt>
                      <c:pt idx="1342">
                        <c:v>0.11999999999999998</c:v>
                      </c:pt>
                      <c:pt idx="1343">
                        <c:v>0.12999999999999998</c:v>
                      </c:pt>
                      <c:pt idx="1344">
                        <c:v>0.13999999999999999</c:v>
                      </c:pt>
                      <c:pt idx="1345">
                        <c:v>0.15</c:v>
                      </c:pt>
                      <c:pt idx="1346">
                        <c:v>0.16</c:v>
                      </c:pt>
                      <c:pt idx="1347">
                        <c:v>0.17</c:v>
                      </c:pt>
                      <c:pt idx="1348">
                        <c:v>0.18000000000000002</c:v>
                      </c:pt>
                      <c:pt idx="1349">
                        <c:v>0.19000000000000003</c:v>
                      </c:pt>
                      <c:pt idx="1350">
                        <c:v>0.20000000000000004</c:v>
                      </c:pt>
                      <c:pt idx="1351">
                        <c:v>0.21000000000000005</c:v>
                      </c:pt>
                      <c:pt idx="1352">
                        <c:v>0.22000000000000006</c:v>
                      </c:pt>
                      <c:pt idx="1353">
                        <c:v>0.23000000000000007</c:v>
                      </c:pt>
                      <c:pt idx="1354">
                        <c:v>0.24000000000000007</c:v>
                      </c:pt>
                      <c:pt idx="1355">
                        <c:v>0.25000000000000006</c:v>
                      </c:pt>
                      <c:pt idx="1356">
                        <c:v>0.26000000000000006</c:v>
                      </c:pt>
                      <c:pt idx="1357">
                        <c:v>0.27000000000000007</c:v>
                      </c:pt>
                      <c:pt idx="1358">
                        <c:v>0.28000000000000008</c:v>
                      </c:pt>
                      <c:pt idx="1359">
                        <c:v>0.29000000000000009</c:v>
                      </c:pt>
                      <c:pt idx="1360">
                        <c:v>0.3000000000000001</c:v>
                      </c:pt>
                      <c:pt idx="1361">
                        <c:v>0.31000000000000011</c:v>
                      </c:pt>
                      <c:pt idx="1362">
                        <c:v>0.32000000000000012</c:v>
                      </c:pt>
                      <c:pt idx="1363">
                        <c:v>0.33000000000000013</c:v>
                      </c:pt>
                      <c:pt idx="1364">
                        <c:v>0.34000000000000014</c:v>
                      </c:pt>
                      <c:pt idx="1365">
                        <c:v>0.35000000000000014</c:v>
                      </c:pt>
                      <c:pt idx="1366">
                        <c:v>0.36000000000000015</c:v>
                      </c:pt>
                      <c:pt idx="1367">
                        <c:v>0.37000000000000016</c:v>
                      </c:pt>
                      <c:pt idx="1368">
                        <c:v>0.38000000000000017</c:v>
                      </c:pt>
                      <c:pt idx="1369">
                        <c:v>0.39000000000000018</c:v>
                      </c:pt>
                      <c:pt idx="1370">
                        <c:v>0.40000000000000019</c:v>
                      </c:pt>
                      <c:pt idx="1371">
                        <c:v>0.4100000000000002</c:v>
                      </c:pt>
                      <c:pt idx="1372">
                        <c:v>0.42000000000000021</c:v>
                      </c:pt>
                      <c:pt idx="1373">
                        <c:v>0.43000000000000022</c:v>
                      </c:pt>
                      <c:pt idx="1374">
                        <c:v>0.44000000000000022</c:v>
                      </c:pt>
                      <c:pt idx="1375">
                        <c:v>0.45000000000000023</c:v>
                      </c:pt>
                      <c:pt idx="1376">
                        <c:v>0.46000000000000024</c:v>
                      </c:pt>
                      <c:pt idx="1377">
                        <c:v>0.47000000000000025</c:v>
                      </c:pt>
                      <c:pt idx="1378">
                        <c:v>0.48000000000000026</c:v>
                      </c:pt>
                      <c:pt idx="1379">
                        <c:v>0.49000000000000027</c:v>
                      </c:pt>
                      <c:pt idx="1380">
                        <c:v>0.50000000000000022</c:v>
                      </c:pt>
                      <c:pt idx="1381">
                        <c:v>0.51000000000000023</c:v>
                      </c:pt>
                      <c:pt idx="1382">
                        <c:v>0.52000000000000024</c:v>
                      </c:pt>
                      <c:pt idx="1383">
                        <c:v>0.53000000000000025</c:v>
                      </c:pt>
                      <c:pt idx="1384">
                        <c:v>0.54000000000000026</c:v>
                      </c:pt>
                      <c:pt idx="1385">
                        <c:v>0.55000000000000027</c:v>
                      </c:pt>
                      <c:pt idx="1386">
                        <c:v>0.56000000000000028</c:v>
                      </c:pt>
                      <c:pt idx="1387">
                        <c:v>0.57000000000000028</c:v>
                      </c:pt>
                      <c:pt idx="1388">
                        <c:v>0.58000000000000029</c:v>
                      </c:pt>
                      <c:pt idx="1389">
                        <c:v>0.5900000000000003</c:v>
                      </c:pt>
                      <c:pt idx="1390">
                        <c:v>0.60000000000000031</c:v>
                      </c:pt>
                      <c:pt idx="1391">
                        <c:v>0.61000000000000032</c:v>
                      </c:pt>
                      <c:pt idx="1392">
                        <c:v>0.62000000000000033</c:v>
                      </c:pt>
                      <c:pt idx="1393">
                        <c:v>0.63000000000000034</c:v>
                      </c:pt>
                      <c:pt idx="1394">
                        <c:v>0.64000000000000035</c:v>
                      </c:pt>
                      <c:pt idx="1395">
                        <c:v>0.65000000000000036</c:v>
                      </c:pt>
                      <c:pt idx="1396">
                        <c:v>0.66000000000000036</c:v>
                      </c:pt>
                      <c:pt idx="1397">
                        <c:v>0.67000000000000037</c:v>
                      </c:pt>
                      <c:pt idx="1398">
                        <c:v>0.68000000000000038</c:v>
                      </c:pt>
                      <c:pt idx="1399">
                        <c:v>0.69000000000000039</c:v>
                      </c:pt>
                      <c:pt idx="1400">
                        <c:v>0.7000000000000004</c:v>
                      </c:pt>
                      <c:pt idx="1401">
                        <c:v>0.71000000000000041</c:v>
                      </c:pt>
                      <c:pt idx="1402">
                        <c:v>0.72000000000000042</c:v>
                      </c:pt>
                      <c:pt idx="1403">
                        <c:v>0.73000000000000043</c:v>
                      </c:pt>
                      <c:pt idx="1404">
                        <c:v>0.74000000000000044</c:v>
                      </c:pt>
                      <c:pt idx="1405">
                        <c:v>0.75000000000000044</c:v>
                      </c:pt>
                      <c:pt idx="1406">
                        <c:v>0.76000000000000045</c:v>
                      </c:pt>
                      <c:pt idx="1407">
                        <c:v>0.77000000000000046</c:v>
                      </c:pt>
                      <c:pt idx="1408">
                        <c:v>0.78000000000000047</c:v>
                      </c:pt>
                      <c:pt idx="1409">
                        <c:v>0.79000000000000048</c:v>
                      </c:pt>
                      <c:pt idx="1410">
                        <c:v>0.80000000000000049</c:v>
                      </c:pt>
                      <c:pt idx="1411">
                        <c:v>0.8100000000000005</c:v>
                      </c:pt>
                      <c:pt idx="1412">
                        <c:v>0.82000000000000051</c:v>
                      </c:pt>
                      <c:pt idx="1413">
                        <c:v>0.83000000000000052</c:v>
                      </c:pt>
                      <c:pt idx="1414">
                        <c:v>0.84000000000000052</c:v>
                      </c:pt>
                      <c:pt idx="1415">
                        <c:v>0.85000000000000053</c:v>
                      </c:pt>
                      <c:pt idx="1416">
                        <c:v>0.86000000000000054</c:v>
                      </c:pt>
                      <c:pt idx="1417">
                        <c:v>0.87000000000000055</c:v>
                      </c:pt>
                      <c:pt idx="1418">
                        <c:v>0.88000000000000056</c:v>
                      </c:pt>
                      <c:pt idx="1419">
                        <c:v>0.89000000000000057</c:v>
                      </c:pt>
                      <c:pt idx="1420">
                        <c:v>0.90000000000000058</c:v>
                      </c:pt>
                      <c:pt idx="1421">
                        <c:v>0.91000000000000059</c:v>
                      </c:pt>
                      <c:pt idx="1422">
                        <c:v>0.9200000000000006</c:v>
                      </c:pt>
                      <c:pt idx="1423">
                        <c:v>0.9300000000000006</c:v>
                      </c:pt>
                      <c:pt idx="1425">
                        <c:v>7.4999999999999997E-2</c:v>
                      </c:pt>
                      <c:pt idx="1426">
                        <c:v>8.4999999999999992E-2</c:v>
                      </c:pt>
                      <c:pt idx="1427">
                        <c:v>9.4999999999999987E-2</c:v>
                      </c:pt>
                      <c:pt idx="1428">
                        <c:v>0.10499999999999998</c:v>
                      </c:pt>
                      <c:pt idx="1429">
                        <c:v>0.11499999999999998</c:v>
                      </c:pt>
                      <c:pt idx="1430">
                        <c:v>0.12499999999999997</c:v>
                      </c:pt>
                      <c:pt idx="1431">
                        <c:v>0.13499999999999998</c:v>
                      </c:pt>
                      <c:pt idx="1432">
                        <c:v>0.14499999999999999</c:v>
                      </c:pt>
                      <c:pt idx="1433">
                        <c:v>0.155</c:v>
                      </c:pt>
                      <c:pt idx="1434">
                        <c:v>0.16500000000000001</c:v>
                      </c:pt>
                      <c:pt idx="1435">
                        <c:v>0.17500000000000002</c:v>
                      </c:pt>
                      <c:pt idx="1436">
                        <c:v>0.18500000000000003</c:v>
                      </c:pt>
                      <c:pt idx="1437">
                        <c:v>0.19500000000000003</c:v>
                      </c:pt>
                      <c:pt idx="1438">
                        <c:v>0.20500000000000004</c:v>
                      </c:pt>
                      <c:pt idx="1439">
                        <c:v>0.21500000000000005</c:v>
                      </c:pt>
                      <c:pt idx="1440">
                        <c:v>0.22500000000000006</c:v>
                      </c:pt>
                      <c:pt idx="1441">
                        <c:v>0.23500000000000007</c:v>
                      </c:pt>
                      <c:pt idx="1442">
                        <c:v>0.24500000000000008</c:v>
                      </c:pt>
                      <c:pt idx="1443">
                        <c:v>0.25500000000000006</c:v>
                      </c:pt>
                      <c:pt idx="1444">
                        <c:v>0.26500000000000007</c:v>
                      </c:pt>
                      <c:pt idx="1445">
                        <c:v>0.27500000000000008</c:v>
                      </c:pt>
                      <c:pt idx="1446">
                        <c:v>0.28500000000000009</c:v>
                      </c:pt>
                      <c:pt idx="1447">
                        <c:v>0.2950000000000001</c:v>
                      </c:pt>
                      <c:pt idx="1448">
                        <c:v>0.3050000000000001</c:v>
                      </c:pt>
                      <c:pt idx="1449">
                        <c:v>0.31500000000000011</c:v>
                      </c:pt>
                      <c:pt idx="1450">
                        <c:v>0.32500000000000012</c:v>
                      </c:pt>
                      <c:pt idx="1451">
                        <c:v>0.33500000000000013</c:v>
                      </c:pt>
                      <c:pt idx="1452">
                        <c:v>0.34500000000000014</c:v>
                      </c:pt>
                      <c:pt idx="1453">
                        <c:v>0.35500000000000015</c:v>
                      </c:pt>
                      <c:pt idx="1454">
                        <c:v>0.36500000000000016</c:v>
                      </c:pt>
                      <c:pt idx="1455">
                        <c:v>0.37500000000000017</c:v>
                      </c:pt>
                      <c:pt idx="1456">
                        <c:v>0.38500000000000018</c:v>
                      </c:pt>
                      <c:pt idx="1457">
                        <c:v>0.39500000000000018</c:v>
                      </c:pt>
                      <c:pt idx="1458">
                        <c:v>0.40500000000000019</c:v>
                      </c:pt>
                      <c:pt idx="1459">
                        <c:v>0.4150000000000002</c:v>
                      </c:pt>
                      <c:pt idx="1460">
                        <c:v>0.42500000000000021</c:v>
                      </c:pt>
                      <c:pt idx="1461">
                        <c:v>0.43500000000000022</c:v>
                      </c:pt>
                      <c:pt idx="1462">
                        <c:v>0.44500000000000023</c:v>
                      </c:pt>
                      <c:pt idx="1463">
                        <c:v>0.45500000000000024</c:v>
                      </c:pt>
                      <c:pt idx="1464">
                        <c:v>0.46500000000000025</c:v>
                      </c:pt>
                      <c:pt idx="1465">
                        <c:v>0.47500000000000026</c:v>
                      </c:pt>
                      <c:pt idx="1466">
                        <c:v>0.48500000000000026</c:v>
                      </c:pt>
                      <c:pt idx="1467">
                        <c:v>0.49500000000000027</c:v>
                      </c:pt>
                      <c:pt idx="1468">
                        <c:v>0.50500000000000023</c:v>
                      </c:pt>
                      <c:pt idx="1469">
                        <c:v>0.51500000000000024</c:v>
                      </c:pt>
                      <c:pt idx="1470">
                        <c:v>0.52500000000000024</c:v>
                      </c:pt>
                      <c:pt idx="1471">
                        <c:v>0.53500000000000025</c:v>
                      </c:pt>
                      <c:pt idx="1472">
                        <c:v>0.54500000000000026</c:v>
                      </c:pt>
                      <c:pt idx="1473">
                        <c:v>0.55500000000000027</c:v>
                      </c:pt>
                      <c:pt idx="1474">
                        <c:v>0.56500000000000028</c:v>
                      </c:pt>
                      <c:pt idx="1475">
                        <c:v>0.57500000000000029</c:v>
                      </c:pt>
                      <c:pt idx="1476">
                        <c:v>0.5850000000000003</c:v>
                      </c:pt>
                      <c:pt idx="1477">
                        <c:v>0.59500000000000031</c:v>
                      </c:pt>
                      <c:pt idx="1478">
                        <c:v>0.60500000000000032</c:v>
                      </c:pt>
                      <c:pt idx="1479">
                        <c:v>0.61500000000000032</c:v>
                      </c:pt>
                      <c:pt idx="1480">
                        <c:v>0.62500000000000033</c:v>
                      </c:pt>
                      <c:pt idx="1481">
                        <c:v>0.63500000000000034</c:v>
                      </c:pt>
                      <c:pt idx="1482">
                        <c:v>0.64500000000000035</c:v>
                      </c:pt>
                      <c:pt idx="1483">
                        <c:v>0.65500000000000036</c:v>
                      </c:pt>
                      <c:pt idx="1484">
                        <c:v>0.66500000000000037</c:v>
                      </c:pt>
                      <c:pt idx="1485">
                        <c:v>0.67500000000000038</c:v>
                      </c:pt>
                      <c:pt idx="1486">
                        <c:v>0.68500000000000039</c:v>
                      </c:pt>
                      <c:pt idx="1487">
                        <c:v>0.6950000000000004</c:v>
                      </c:pt>
                      <c:pt idx="1488">
                        <c:v>0.7050000000000004</c:v>
                      </c:pt>
                      <c:pt idx="1489">
                        <c:v>0.71500000000000041</c:v>
                      </c:pt>
                      <c:pt idx="1490">
                        <c:v>0.72500000000000042</c:v>
                      </c:pt>
                      <c:pt idx="1491">
                        <c:v>0.73500000000000043</c:v>
                      </c:pt>
                      <c:pt idx="1492">
                        <c:v>0.74500000000000044</c:v>
                      </c:pt>
                      <c:pt idx="1493">
                        <c:v>0.75500000000000045</c:v>
                      </c:pt>
                      <c:pt idx="1494">
                        <c:v>0.76500000000000046</c:v>
                      </c:pt>
                      <c:pt idx="1495">
                        <c:v>0.77500000000000047</c:v>
                      </c:pt>
                      <c:pt idx="1496">
                        <c:v>0.78500000000000048</c:v>
                      </c:pt>
                      <c:pt idx="1497">
                        <c:v>0.79500000000000048</c:v>
                      </c:pt>
                      <c:pt idx="1498">
                        <c:v>0.80500000000000049</c:v>
                      </c:pt>
                      <c:pt idx="1499">
                        <c:v>0.8150000000000005</c:v>
                      </c:pt>
                      <c:pt idx="1500">
                        <c:v>0.82500000000000051</c:v>
                      </c:pt>
                      <c:pt idx="1501">
                        <c:v>0.83500000000000052</c:v>
                      </c:pt>
                      <c:pt idx="1502">
                        <c:v>0.84500000000000053</c:v>
                      </c:pt>
                      <c:pt idx="1503">
                        <c:v>0.85500000000000054</c:v>
                      </c:pt>
                      <c:pt idx="1504">
                        <c:v>0.86500000000000055</c:v>
                      </c:pt>
                      <c:pt idx="1505">
                        <c:v>0.87500000000000056</c:v>
                      </c:pt>
                      <c:pt idx="1506">
                        <c:v>0.88500000000000056</c:v>
                      </c:pt>
                      <c:pt idx="1507">
                        <c:v>0.89500000000000057</c:v>
                      </c:pt>
                      <c:pt idx="1508">
                        <c:v>0.90500000000000058</c:v>
                      </c:pt>
                      <c:pt idx="1509">
                        <c:v>0.91500000000000059</c:v>
                      </c:pt>
                      <c:pt idx="1510">
                        <c:v>0.9250000000000006</c:v>
                      </c:pt>
                      <c:pt idx="1512">
                        <c:v>0.08</c:v>
                      </c:pt>
                      <c:pt idx="1513">
                        <c:v>0.09</c:v>
                      </c:pt>
                      <c:pt idx="1514">
                        <c:v>9.9999999999999992E-2</c:v>
                      </c:pt>
                      <c:pt idx="1515">
                        <c:v>0.10999999999999999</c:v>
                      </c:pt>
                      <c:pt idx="1516">
                        <c:v>0.11999999999999998</c:v>
                      </c:pt>
                      <c:pt idx="1517">
                        <c:v>0.12999999999999998</c:v>
                      </c:pt>
                      <c:pt idx="1518">
                        <c:v>0.13999999999999999</c:v>
                      </c:pt>
                      <c:pt idx="1519">
                        <c:v>0.15</c:v>
                      </c:pt>
                      <c:pt idx="1520">
                        <c:v>0.16</c:v>
                      </c:pt>
                      <c:pt idx="1521">
                        <c:v>0.17</c:v>
                      </c:pt>
                      <c:pt idx="1522">
                        <c:v>0.18000000000000002</c:v>
                      </c:pt>
                      <c:pt idx="1523">
                        <c:v>0.19000000000000003</c:v>
                      </c:pt>
                      <c:pt idx="1524">
                        <c:v>0.20000000000000004</c:v>
                      </c:pt>
                      <c:pt idx="1525">
                        <c:v>0.21000000000000005</c:v>
                      </c:pt>
                      <c:pt idx="1526">
                        <c:v>0.22000000000000006</c:v>
                      </c:pt>
                      <c:pt idx="1527">
                        <c:v>0.23000000000000007</c:v>
                      </c:pt>
                      <c:pt idx="1528">
                        <c:v>0.24000000000000007</c:v>
                      </c:pt>
                      <c:pt idx="1529">
                        <c:v>0.25000000000000006</c:v>
                      </c:pt>
                      <c:pt idx="1530">
                        <c:v>0.26000000000000006</c:v>
                      </c:pt>
                      <c:pt idx="1531">
                        <c:v>0.27000000000000007</c:v>
                      </c:pt>
                      <c:pt idx="1532">
                        <c:v>0.28000000000000008</c:v>
                      </c:pt>
                      <c:pt idx="1533">
                        <c:v>0.29000000000000009</c:v>
                      </c:pt>
                      <c:pt idx="1534">
                        <c:v>0.3000000000000001</c:v>
                      </c:pt>
                      <c:pt idx="1535">
                        <c:v>0.31000000000000011</c:v>
                      </c:pt>
                      <c:pt idx="1536">
                        <c:v>0.32000000000000012</c:v>
                      </c:pt>
                      <c:pt idx="1537">
                        <c:v>0.33000000000000013</c:v>
                      </c:pt>
                      <c:pt idx="1538">
                        <c:v>0.34000000000000014</c:v>
                      </c:pt>
                      <c:pt idx="1539">
                        <c:v>0.35000000000000014</c:v>
                      </c:pt>
                      <c:pt idx="1540">
                        <c:v>0.36000000000000015</c:v>
                      </c:pt>
                      <c:pt idx="1541">
                        <c:v>0.37000000000000016</c:v>
                      </c:pt>
                      <c:pt idx="1542">
                        <c:v>0.38000000000000017</c:v>
                      </c:pt>
                      <c:pt idx="1543">
                        <c:v>0.39000000000000018</c:v>
                      </c:pt>
                      <c:pt idx="1544">
                        <c:v>0.40000000000000019</c:v>
                      </c:pt>
                      <c:pt idx="1545">
                        <c:v>0.4100000000000002</c:v>
                      </c:pt>
                      <c:pt idx="1546">
                        <c:v>0.42000000000000021</c:v>
                      </c:pt>
                      <c:pt idx="1547">
                        <c:v>0.43000000000000022</c:v>
                      </c:pt>
                      <c:pt idx="1548">
                        <c:v>0.44000000000000022</c:v>
                      </c:pt>
                      <c:pt idx="1549">
                        <c:v>0.45000000000000023</c:v>
                      </c:pt>
                      <c:pt idx="1550">
                        <c:v>0.46000000000000024</c:v>
                      </c:pt>
                      <c:pt idx="1551">
                        <c:v>0.47000000000000025</c:v>
                      </c:pt>
                      <c:pt idx="1552">
                        <c:v>0.48000000000000026</c:v>
                      </c:pt>
                      <c:pt idx="1553">
                        <c:v>0.49000000000000027</c:v>
                      </c:pt>
                      <c:pt idx="1554">
                        <c:v>0.50000000000000022</c:v>
                      </c:pt>
                      <c:pt idx="1555">
                        <c:v>0.51000000000000023</c:v>
                      </c:pt>
                      <c:pt idx="1556">
                        <c:v>0.52000000000000024</c:v>
                      </c:pt>
                      <c:pt idx="1557">
                        <c:v>0.53000000000000025</c:v>
                      </c:pt>
                      <c:pt idx="1558">
                        <c:v>0.54000000000000026</c:v>
                      </c:pt>
                      <c:pt idx="1559">
                        <c:v>0.55000000000000027</c:v>
                      </c:pt>
                      <c:pt idx="1560">
                        <c:v>0.56000000000000028</c:v>
                      </c:pt>
                      <c:pt idx="1561">
                        <c:v>0.57000000000000028</c:v>
                      </c:pt>
                      <c:pt idx="1562">
                        <c:v>0.58000000000000029</c:v>
                      </c:pt>
                      <c:pt idx="1563">
                        <c:v>0.5900000000000003</c:v>
                      </c:pt>
                      <c:pt idx="1564">
                        <c:v>0.60000000000000031</c:v>
                      </c:pt>
                      <c:pt idx="1565">
                        <c:v>0.61000000000000032</c:v>
                      </c:pt>
                      <c:pt idx="1566">
                        <c:v>0.62000000000000033</c:v>
                      </c:pt>
                      <c:pt idx="1567">
                        <c:v>0.63000000000000034</c:v>
                      </c:pt>
                      <c:pt idx="1568">
                        <c:v>0.64000000000000035</c:v>
                      </c:pt>
                      <c:pt idx="1569">
                        <c:v>0.65000000000000036</c:v>
                      </c:pt>
                      <c:pt idx="1570">
                        <c:v>0.66000000000000036</c:v>
                      </c:pt>
                      <c:pt idx="1571">
                        <c:v>0.67000000000000037</c:v>
                      </c:pt>
                      <c:pt idx="1572">
                        <c:v>0.68000000000000038</c:v>
                      </c:pt>
                      <c:pt idx="1573">
                        <c:v>0.69000000000000039</c:v>
                      </c:pt>
                      <c:pt idx="1574">
                        <c:v>0.7000000000000004</c:v>
                      </c:pt>
                      <c:pt idx="1575">
                        <c:v>0.71000000000000041</c:v>
                      </c:pt>
                      <c:pt idx="1576">
                        <c:v>0.72000000000000042</c:v>
                      </c:pt>
                      <c:pt idx="1577">
                        <c:v>0.73000000000000043</c:v>
                      </c:pt>
                      <c:pt idx="1578">
                        <c:v>0.74000000000000044</c:v>
                      </c:pt>
                      <c:pt idx="1579">
                        <c:v>0.75000000000000044</c:v>
                      </c:pt>
                      <c:pt idx="1580">
                        <c:v>0.76000000000000045</c:v>
                      </c:pt>
                      <c:pt idx="1581">
                        <c:v>0.77000000000000046</c:v>
                      </c:pt>
                      <c:pt idx="1582">
                        <c:v>0.78000000000000047</c:v>
                      </c:pt>
                      <c:pt idx="1583">
                        <c:v>0.79000000000000048</c:v>
                      </c:pt>
                      <c:pt idx="1584">
                        <c:v>0.80000000000000049</c:v>
                      </c:pt>
                      <c:pt idx="1585">
                        <c:v>0.8100000000000005</c:v>
                      </c:pt>
                      <c:pt idx="1586">
                        <c:v>0.82000000000000051</c:v>
                      </c:pt>
                      <c:pt idx="1587">
                        <c:v>0.83000000000000052</c:v>
                      </c:pt>
                      <c:pt idx="1588">
                        <c:v>0.84000000000000052</c:v>
                      </c:pt>
                      <c:pt idx="1589">
                        <c:v>0.85000000000000053</c:v>
                      </c:pt>
                      <c:pt idx="1590">
                        <c:v>0.86000000000000054</c:v>
                      </c:pt>
                      <c:pt idx="1591">
                        <c:v>0.87000000000000055</c:v>
                      </c:pt>
                      <c:pt idx="1592">
                        <c:v>0.88000000000000056</c:v>
                      </c:pt>
                      <c:pt idx="1593">
                        <c:v>0.89000000000000057</c:v>
                      </c:pt>
                      <c:pt idx="1594">
                        <c:v>0.90000000000000058</c:v>
                      </c:pt>
                      <c:pt idx="1595">
                        <c:v>0.91000000000000059</c:v>
                      </c:pt>
                      <c:pt idx="1596">
                        <c:v>0.9200000000000006</c:v>
                      </c:pt>
                      <c:pt idx="1598">
                        <c:v>8.4999999999999992E-2</c:v>
                      </c:pt>
                      <c:pt idx="1599">
                        <c:v>9.4999999999999987E-2</c:v>
                      </c:pt>
                      <c:pt idx="1600">
                        <c:v>0.10499999999999998</c:v>
                      </c:pt>
                      <c:pt idx="1601">
                        <c:v>0.11499999999999998</c:v>
                      </c:pt>
                      <c:pt idx="1602">
                        <c:v>0.12499999999999997</c:v>
                      </c:pt>
                      <c:pt idx="1603">
                        <c:v>0.13499999999999998</c:v>
                      </c:pt>
                      <c:pt idx="1604">
                        <c:v>0.14499999999999999</c:v>
                      </c:pt>
                      <c:pt idx="1605">
                        <c:v>0.155</c:v>
                      </c:pt>
                      <c:pt idx="1606">
                        <c:v>0.16500000000000001</c:v>
                      </c:pt>
                      <c:pt idx="1607">
                        <c:v>0.17500000000000002</c:v>
                      </c:pt>
                      <c:pt idx="1608">
                        <c:v>0.18500000000000003</c:v>
                      </c:pt>
                      <c:pt idx="1609">
                        <c:v>0.19500000000000003</c:v>
                      </c:pt>
                      <c:pt idx="1610">
                        <c:v>0.20500000000000004</c:v>
                      </c:pt>
                      <c:pt idx="1611">
                        <c:v>0.21500000000000005</c:v>
                      </c:pt>
                      <c:pt idx="1612">
                        <c:v>0.22500000000000006</c:v>
                      </c:pt>
                      <c:pt idx="1613">
                        <c:v>0.23500000000000007</c:v>
                      </c:pt>
                      <c:pt idx="1614">
                        <c:v>0.24500000000000008</c:v>
                      </c:pt>
                      <c:pt idx="1615">
                        <c:v>0.25500000000000006</c:v>
                      </c:pt>
                      <c:pt idx="1616">
                        <c:v>0.26500000000000007</c:v>
                      </c:pt>
                      <c:pt idx="1617">
                        <c:v>0.27500000000000008</c:v>
                      </c:pt>
                      <c:pt idx="1618">
                        <c:v>0.28500000000000009</c:v>
                      </c:pt>
                      <c:pt idx="1619">
                        <c:v>0.2950000000000001</c:v>
                      </c:pt>
                      <c:pt idx="1620">
                        <c:v>0.3050000000000001</c:v>
                      </c:pt>
                      <c:pt idx="1621">
                        <c:v>0.31500000000000011</c:v>
                      </c:pt>
                      <c:pt idx="1622">
                        <c:v>0.32500000000000012</c:v>
                      </c:pt>
                      <c:pt idx="1623">
                        <c:v>0.33500000000000013</c:v>
                      </c:pt>
                      <c:pt idx="1624">
                        <c:v>0.34500000000000014</c:v>
                      </c:pt>
                      <c:pt idx="1625">
                        <c:v>0.35500000000000015</c:v>
                      </c:pt>
                      <c:pt idx="1626">
                        <c:v>0.36500000000000016</c:v>
                      </c:pt>
                      <c:pt idx="1627">
                        <c:v>0.37500000000000017</c:v>
                      </c:pt>
                      <c:pt idx="1628">
                        <c:v>0.38500000000000018</c:v>
                      </c:pt>
                      <c:pt idx="1629">
                        <c:v>0.39500000000000018</c:v>
                      </c:pt>
                      <c:pt idx="1630">
                        <c:v>0.40500000000000019</c:v>
                      </c:pt>
                      <c:pt idx="1631">
                        <c:v>0.4150000000000002</c:v>
                      </c:pt>
                      <c:pt idx="1632">
                        <c:v>0.42500000000000021</c:v>
                      </c:pt>
                      <c:pt idx="1633">
                        <c:v>0.43500000000000022</c:v>
                      </c:pt>
                      <c:pt idx="1634">
                        <c:v>0.44500000000000023</c:v>
                      </c:pt>
                      <c:pt idx="1635">
                        <c:v>0.45500000000000024</c:v>
                      </c:pt>
                      <c:pt idx="1636">
                        <c:v>0.46500000000000025</c:v>
                      </c:pt>
                      <c:pt idx="1637">
                        <c:v>0.47500000000000026</c:v>
                      </c:pt>
                      <c:pt idx="1638">
                        <c:v>0.48500000000000026</c:v>
                      </c:pt>
                      <c:pt idx="1639">
                        <c:v>0.49500000000000027</c:v>
                      </c:pt>
                      <c:pt idx="1640">
                        <c:v>0.50500000000000023</c:v>
                      </c:pt>
                      <c:pt idx="1641">
                        <c:v>0.51500000000000024</c:v>
                      </c:pt>
                      <c:pt idx="1642">
                        <c:v>0.52500000000000024</c:v>
                      </c:pt>
                      <c:pt idx="1643">
                        <c:v>0.53500000000000025</c:v>
                      </c:pt>
                      <c:pt idx="1644">
                        <c:v>0.54500000000000026</c:v>
                      </c:pt>
                      <c:pt idx="1645">
                        <c:v>0.55500000000000027</c:v>
                      </c:pt>
                      <c:pt idx="1646">
                        <c:v>0.56500000000000028</c:v>
                      </c:pt>
                      <c:pt idx="1647">
                        <c:v>0.57500000000000029</c:v>
                      </c:pt>
                      <c:pt idx="1648">
                        <c:v>0.5850000000000003</c:v>
                      </c:pt>
                      <c:pt idx="1649">
                        <c:v>0.59500000000000031</c:v>
                      </c:pt>
                      <c:pt idx="1650">
                        <c:v>0.60500000000000032</c:v>
                      </c:pt>
                      <c:pt idx="1651">
                        <c:v>0.61500000000000032</c:v>
                      </c:pt>
                      <c:pt idx="1652">
                        <c:v>0.62500000000000033</c:v>
                      </c:pt>
                      <c:pt idx="1653">
                        <c:v>0.63500000000000034</c:v>
                      </c:pt>
                      <c:pt idx="1654">
                        <c:v>0.64500000000000035</c:v>
                      </c:pt>
                      <c:pt idx="1655">
                        <c:v>0.65500000000000036</c:v>
                      </c:pt>
                      <c:pt idx="1656">
                        <c:v>0.66500000000000037</c:v>
                      </c:pt>
                      <c:pt idx="1657">
                        <c:v>0.67500000000000038</c:v>
                      </c:pt>
                      <c:pt idx="1658">
                        <c:v>0.68500000000000039</c:v>
                      </c:pt>
                      <c:pt idx="1659">
                        <c:v>0.6950000000000004</c:v>
                      </c:pt>
                      <c:pt idx="1660">
                        <c:v>0.7050000000000004</c:v>
                      </c:pt>
                      <c:pt idx="1661">
                        <c:v>0.71500000000000041</c:v>
                      </c:pt>
                      <c:pt idx="1662">
                        <c:v>0.72500000000000042</c:v>
                      </c:pt>
                      <c:pt idx="1663">
                        <c:v>0.73500000000000043</c:v>
                      </c:pt>
                      <c:pt idx="1664">
                        <c:v>0.74500000000000044</c:v>
                      </c:pt>
                      <c:pt idx="1665">
                        <c:v>0.75500000000000045</c:v>
                      </c:pt>
                      <c:pt idx="1666">
                        <c:v>0.76500000000000046</c:v>
                      </c:pt>
                      <c:pt idx="1667">
                        <c:v>0.77500000000000047</c:v>
                      </c:pt>
                      <c:pt idx="1668">
                        <c:v>0.78500000000000048</c:v>
                      </c:pt>
                      <c:pt idx="1669">
                        <c:v>0.79500000000000048</c:v>
                      </c:pt>
                      <c:pt idx="1670">
                        <c:v>0.80500000000000049</c:v>
                      </c:pt>
                      <c:pt idx="1671">
                        <c:v>0.8150000000000005</c:v>
                      </c:pt>
                      <c:pt idx="1672">
                        <c:v>0.82500000000000051</c:v>
                      </c:pt>
                      <c:pt idx="1673">
                        <c:v>0.83500000000000052</c:v>
                      </c:pt>
                      <c:pt idx="1674">
                        <c:v>0.84500000000000053</c:v>
                      </c:pt>
                      <c:pt idx="1675">
                        <c:v>0.85500000000000054</c:v>
                      </c:pt>
                      <c:pt idx="1676">
                        <c:v>0.86500000000000055</c:v>
                      </c:pt>
                      <c:pt idx="1677">
                        <c:v>0.87500000000000056</c:v>
                      </c:pt>
                      <c:pt idx="1678">
                        <c:v>0.88500000000000056</c:v>
                      </c:pt>
                      <c:pt idx="1679">
                        <c:v>0.89500000000000057</c:v>
                      </c:pt>
                      <c:pt idx="1680">
                        <c:v>0.90500000000000058</c:v>
                      </c:pt>
                      <c:pt idx="1681">
                        <c:v>0.91500000000000059</c:v>
                      </c:pt>
                      <c:pt idx="1683">
                        <c:v>0.09</c:v>
                      </c:pt>
                      <c:pt idx="1684">
                        <c:v>9.9999999999999992E-2</c:v>
                      </c:pt>
                      <c:pt idx="1685">
                        <c:v>0.10999999999999999</c:v>
                      </c:pt>
                      <c:pt idx="1686">
                        <c:v>0.11999999999999998</c:v>
                      </c:pt>
                      <c:pt idx="1687">
                        <c:v>0.12999999999999998</c:v>
                      </c:pt>
                      <c:pt idx="1688">
                        <c:v>0.13999999999999999</c:v>
                      </c:pt>
                      <c:pt idx="1689">
                        <c:v>0.15</c:v>
                      </c:pt>
                      <c:pt idx="1690">
                        <c:v>0.16</c:v>
                      </c:pt>
                      <c:pt idx="1691">
                        <c:v>0.17</c:v>
                      </c:pt>
                      <c:pt idx="1692">
                        <c:v>0.18000000000000002</c:v>
                      </c:pt>
                      <c:pt idx="1693">
                        <c:v>0.19000000000000003</c:v>
                      </c:pt>
                      <c:pt idx="1694">
                        <c:v>0.20000000000000004</c:v>
                      </c:pt>
                      <c:pt idx="1695">
                        <c:v>0.21000000000000005</c:v>
                      </c:pt>
                      <c:pt idx="1696">
                        <c:v>0.22000000000000006</c:v>
                      </c:pt>
                      <c:pt idx="1697">
                        <c:v>0.23000000000000007</c:v>
                      </c:pt>
                      <c:pt idx="1698">
                        <c:v>0.24000000000000007</c:v>
                      </c:pt>
                      <c:pt idx="1699">
                        <c:v>0.25000000000000006</c:v>
                      </c:pt>
                      <c:pt idx="1700">
                        <c:v>0.26000000000000006</c:v>
                      </c:pt>
                      <c:pt idx="1701">
                        <c:v>0.27000000000000007</c:v>
                      </c:pt>
                      <c:pt idx="1702">
                        <c:v>0.28000000000000008</c:v>
                      </c:pt>
                      <c:pt idx="1703">
                        <c:v>0.29000000000000009</c:v>
                      </c:pt>
                      <c:pt idx="1704">
                        <c:v>0.3000000000000001</c:v>
                      </c:pt>
                      <c:pt idx="1705">
                        <c:v>0.31000000000000011</c:v>
                      </c:pt>
                      <c:pt idx="1706">
                        <c:v>0.32000000000000012</c:v>
                      </c:pt>
                      <c:pt idx="1707">
                        <c:v>0.33000000000000013</c:v>
                      </c:pt>
                      <c:pt idx="1708">
                        <c:v>0.34000000000000014</c:v>
                      </c:pt>
                      <c:pt idx="1709">
                        <c:v>0.35000000000000014</c:v>
                      </c:pt>
                      <c:pt idx="1710">
                        <c:v>0.36000000000000015</c:v>
                      </c:pt>
                      <c:pt idx="1711">
                        <c:v>0.37000000000000016</c:v>
                      </c:pt>
                      <c:pt idx="1712">
                        <c:v>0.38000000000000017</c:v>
                      </c:pt>
                      <c:pt idx="1713">
                        <c:v>0.39000000000000018</c:v>
                      </c:pt>
                      <c:pt idx="1714">
                        <c:v>0.40000000000000019</c:v>
                      </c:pt>
                      <c:pt idx="1715">
                        <c:v>0.4100000000000002</c:v>
                      </c:pt>
                      <c:pt idx="1716">
                        <c:v>0.42000000000000021</c:v>
                      </c:pt>
                      <c:pt idx="1717">
                        <c:v>0.43000000000000022</c:v>
                      </c:pt>
                      <c:pt idx="1718">
                        <c:v>0.44000000000000022</c:v>
                      </c:pt>
                      <c:pt idx="1719">
                        <c:v>0.45000000000000023</c:v>
                      </c:pt>
                      <c:pt idx="1720">
                        <c:v>0.46000000000000024</c:v>
                      </c:pt>
                      <c:pt idx="1721">
                        <c:v>0.47000000000000025</c:v>
                      </c:pt>
                      <c:pt idx="1722">
                        <c:v>0.48000000000000026</c:v>
                      </c:pt>
                      <c:pt idx="1723">
                        <c:v>0.49000000000000027</c:v>
                      </c:pt>
                      <c:pt idx="1724">
                        <c:v>0.50000000000000022</c:v>
                      </c:pt>
                      <c:pt idx="1725">
                        <c:v>0.51000000000000023</c:v>
                      </c:pt>
                      <c:pt idx="1726">
                        <c:v>0.52000000000000024</c:v>
                      </c:pt>
                      <c:pt idx="1727">
                        <c:v>0.53000000000000025</c:v>
                      </c:pt>
                      <c:pt idx="1728">
                        <c:v>0.54000000000000026</c:v>
                      </c:pt>
                      <c:pt idx="1729">
                        <c:v>0.55000000000000027</c:v>
                      </c:pt>
                      <c:pt idx="1730">
                        <c:v>0.56000000000000028</c:v>
                      </c:pt>
                      <c:pt idx="1731">
                        <c:v>0.57000000000000028</c:v>
                      </c:pt>
                      <c:pt idx="1732">
                        <c:v>0.58000000000000029</c:v>
                      </c:pt>
                      <c:pt idx="1733">
                        <c:v>0.5900000000000003</c:v>
                      </c:pt>
                      <c:pt idx="1734">
                        <c:v>0.60000000000000031</c:v>
                      </c:pt>
                      <c:pt idx="1735">
                        <c:v>0.61000000000000032</c:v>
                      </c:pt>
                      <c:pt idx="1736">
                        <c:v>0.62000000000000033</c:v>
                      </c:pt>
                      <c:pt idx="1737">
                        <c:v>0.63000000000000034</c:v>
                      </c:pt>
                      <c:pt idx="1738">
                        <c:v>0.64000000000000035</c:v>
                      </c:pt>
                      <c:pt idx="1739">
                        <c:v>0.65000000000000036</c:v>
                      </c:pt>
                      <c:pt idx="1740">
                        <c:v>0.66000000000000036</c:v>
                      </c:pt>
                      <c:pt idx="1741">
                        <c:v>0.67000000000000037</c:v>
                      </c:pt>
                      <c:pt idx="1742">
                        <c:v>0.68000000000000038</c:v>
                      </c:pt>
                      <c:pt idx="1743">
                        <c:v>0.69000000000000039</c:v>
                      </c:pt>
                      <c:pt idx="1744">
                        <c:v>0.7000000000000004</c:v>
                      </c:pt>
                      <c:pt idx="1745">
                        <c:v>0.71000000000000041</c:v>
                      </c:pt>
                      <c:pt idx="1746">
                        <c:v>0.72000000000000042</c:v>
                      </c:pt>
                      <c:pt idx="1747">
                        <c:v>0.73000000000000043</c:v>
                      </c:pt>
                      <c:pt idx="1748">
                        <c:v>0.74000000000000044</c:v>
                      </c:pt>
                      <c:pt idx="1749">
                        <c:v>0.75000000000000044</c:v>
                      </c:pt>
                      <c:pt idx="1750">
                        <c:v>0.76000000000000045</c:v>
                      </c:pt>
                      <c:pt idx="1751">
                        <c:v>0.77000000000000046</c:v>
                      </c:pt>
                      <c:pt idx="1752">
                        <c:v>0.78000000000000047</c:v>
                      </c:pt>
                      <c:pt idx="1753">
                        <c:v>0.79000000000000048</c:v>
                      </c:pt>
                      <c:pt idx="1754">
                        <c:v>0.80000000000000049</c:v>
                      </c:pt>
                      <c:pt idx="1755">
                        <c:v>0.8100000000000005</c:v>
                      </c:pt>
                      <c:pt idx="1756">
                        <c:v>0.82000000000000051</c:v>
                      </c:pt>
                      <c:pt idx="1757">
                        <c:v>0.83000000000000052</c:v>
                      </c:pt>
                      <c:pt idx="1758">
                        <c:v>0.84000000000000052</c:v>
                      </c:pt>
                      <c:pt idx="1759">
                        <c:v>0.85000000000000053</c:v>
                      </c:pt>
                      <c:pt idx="1760">
                        <c:v>0.86000000000000054</c:v>
                      </c:pt>
                      <c:pt idx="1761">
                        <c:v>0.87000000000000055</c:v>
                      </c:pt>
                      <c:pt idx="1762">
                        <c:v>0.88000000000000056</c:v>
                      </c:pt>
                      <c:pt idx="1763">
                        <c:v>0.89000000000000057</c:v>
                      </c:pt>
                      <c:pt idx="1764">
                        <c:v>0.90000000000000058</c:v>
                      </c:pt>
                      <c:pt idx="1765">
                        <c:v>0.91000000000000059</c:v>
                      </c:pt>
                      <c:pt idx="1767">
                        <c:v>9.4999999999999987E-2</c:v>
                      </c:pt>
                      <c:pt idx="1768">
                        <c:v>0.10499999999999998</c:v>
                      </c:pt>
                      <c:pt idx="1769">
                        <c:v>0.11499999999999998</c:v>
                      </c:pt>
                      <c:pt idx="1770">
                        <c:v>0.12499999999999997</c:v>
                      </c:pt>
                      <c:pt idx="1771">
                        <c:v>0.13499999999999998</c:v>
                      </c:pt>
                      <c:pt idx="1772">
                        <c:v>0.14499999999999999</c:v>
                      </c:pt>
                      <c:pt idx="1773">
                        <c:v>0.155</c:v>
                      </c:pt>
                      <c:pt idx="1774">
                        <c:v>0.16500000000000001</c:v>
                      </c:pt>
                      <c:pt idx="1775">
                        <c:v>0.17500000000000002</c:v>
                      </c:pt>
                      <c:pt idx="1776">
                        <c:v>0.18500000000000003</c:v>
                      </c:pt>
                      <c:pt idx="1777">
                        <c:v>0.19500000000000003</c:v>
                      </c:pt>
                      <c:pt idx="1778">
                        <c:v>0.20500000000000004</c:v>
                      </c:pt>
                      <c:pt idx="1779">
                        <c:v>0.21500000000000005</c:v>
                      </c:pt>
                      <c:pt idx="1780">
                        <c:v>0.22500000000000006</c:v>
                      </c:pt>
                      <c:pt idx="1781">
                        <c:v>0.23500000000000007</c:v>
                      </c:pt>
                      <c:pt idx="1782">
                        <c:v>0.24500000000000008</c:v>
                      </c:pt>
                      <c:pt idx="1783">
                        <c:v>0.25500000000000006</c:v>
                      </c:pt>
                      <c:pt idx="1784">
                        <c:v>0.26500000000000007</c:v>
                      </c:pt>
                      <c:pt idx="1785">
                        <c:v>0.27500000000000008</c:v>
                      </c:pt>
                      <c:pt idx="1786">
                        <c:v>0.28500000000000009</c:v>
                      </c:pt>
                      <c:pt idx="1787">
                        <c:v>0.2950000000000001</c:v>
                      </c:pt>
                      <c:pt idx="1788">
                        <c:v>0.3050000000000001</c:v>
                      </c:pt>
                      <c:pt idx="1789">
                        <c:v>0.31500000000000011</c:v>
                      </c:pt>
                      <c:pt idx="1790">
                        <c:v>0.32500000000000012</c:v>
                      </c:pt>
                      <c:pt idx="1791">
                        <c:v>0.33500000000000013</c:v>
                      </c:pt>
                      <c:pt idx="1792">
                        <c:v>0.34500000000000014</c:v>
                      </c:pt>
                      <c:pt idx="1793">
                        <c:v>0.35500000000000015</c:v>
                      </c:pt>
                      <c:pt idx="1794">
                        <c:v>0.36500000000000016</c:v>
                      </c:pt>
                      <c:pt idx="1795">
                        <c:v>0.37500000000000017</c:v>
                      </c:pt>
                      <c:pt idx="1796">
                        <c:v>0.38500000000000018</c:v>
                      </c:pt>
                      <c:pt idx="1797">
                        <c:v>0.39500000000000018</c:v>
                      </c:pt>
                      <c:pt idx="1798">
                        <c:v>0.40500000000000019</c:v>
                      </c:pt>
                      <c:pt idx="1799">
                        <c:v>0.4150000000000002</c:v>
                      </c:pt>
                      <c:pt idx="1800">
                        <c:v>0.42500000000000021</c:v>
                      </c:pt>
                      <c:pt idx="1801">
                        <c:v>0.43500000000000022</c:v>
                      </c:pt>
                      <c:pt idx="1802">
                        <c:v>0.44500000000000023</c:v>
                      </c:pt>
                      <c:pt idx="1803">
                        <c:v>0.45500000000000024</c:v>
                      </c:pt>
                      <c:pt idx="1804">
                        <c:v>0.46500000000000025</c:v>
                      </c:pt>
                      <c:pt idx="1805">
                        <c:v>0.47500000000000026</c:v>
                      </c:pt>
                      <c:pt idx="1806">
                        <c:v>0.48500000000000026</c:v>
                      </c:pt>
                      <c:pt idx="1807">
                        <c:v>0.49500000000000027</c:v>
                      </c:pt>
                      <c:pt idx="1808">
                        <c:v>0.50500000000000023</c:v>
                      </c:pt>
                      <c:pt idx="1809">
                        <c:v>0.51500000000000024</c:v>
                      </c:pt>
                      <c:pt idx="1810">
                        <c:v>0.52500000000000024</c:v>
                      </c:pt>
                      <c:pt idx="1811">
                        <c:v>0.53500000000000025</c:v>
                      </c:pt>
                      <c:pt idx="1812">
                        <c:v>0.54500000000000026</c:v>
                      </c:pt>
                      <c:pt idx="1813">
                        <c:v>0.55500000000000027</c:v>
                      </c:pt>
                      <c:pt idx="1814">
                        <c:v>0.56500000000000028</c:v>
                      </c:pt>
                      <c:pt idx="1815">
                        <c:v>0.57500000000000029</c:v>
                      </c:pt>
                      <c:pt idx="1816">
                        <c:v>0.5850000000000003</c:v>
                      </c:pt>
                      <c:pt idx="1817">
                        <c:v>0.59500000000000031</c:v>
                      </c:pt>
                      <c:pt idx="1818">
                        <c:v>0.60500000000000032</c:v>
                      </c:pt>
                      <c:pt idx="1819">
                        <c:v>0.61500000000000032</c:v>
                      </c:pt>
                      <c:pt idx="1820">
                        <c:v>0.62500000000000033</c:v>
                      </c:pt>
                      <c:pt idx="1821">
                        <c:v>0.63500000000000034</c:v>
                      </c:pt>
                      <c:pt idx="1822">
                        <c:v>0.64500000000000035</c:v>
                      </c:pt>
                      <c:pt idx="1823">
                        <c:v>0.65500000000000036</c:v>
                      </c:pt>
                      <c:pt idx="1824">
                        <c:v>0.66500000000000037</c:v>
                      </c:pt>
                      <c:pt idx="1825">
                        <c:v>0.67500000000000038</c:v>
                      </c:pt>
                      <c:pt idx="1826">
                        <c:v>0.68500000000000039</c:v>
                      </c:pt>
                      <c:pt idx="1827">
                        <c:v>0.6950000000000004</c:v>
                      </c:pt>
                      <c:pt idx="1828">
                        <c:v>0.7050000000000004</c:v>
                      </c:pt>
                      <c:pt idx="1829">
                        <c:v>0.71500000000000041</c:v>
                      </c:pt>
                      <c:pt idx="1830">
                        <c:v>0.72500000000000042</c:v>
                      </c:pt>
                      <c:pt idx="1831">
                        <c:v>0.73500000000000043</c:v>
                      </c:pt>
                      <c:pt idx="1832">
                        <c:v>0.74500000000000044</c:v>
                      </c:pt>
                      <c:pt idx="1833">
                        <c:v>0.75500000000000045</c:v>
                      </c:pt>
                      <c:pt idx="1834">
                        <c:v>0.76500000000000046</c:v>
                      </c:pt>
                      <c:pt idx="1835">
                        <c:v>0.77500000000000047</c:v>
                      </c:pt>
                      <c:pt idx="1836">
                        <c:v>0.78500000000000048</c:v>
                      </c:pt>
                      <c:pt idx="1837">
                        <c:v>0.79500000000000048</c:v>
                      </c:pt>
                      <c:pt idx="1838">
                        <c:v>0.80500000000000049</c:v>
                      </c:pt>
                      <c:pt idx="1839">
                        <c:v>0.8150000000000005</c:v>
                      </c:pt>
                      <c:pt idx="1840">
                        <c:v>0.82500000000000051</c:v>
                      </c:pt>
                      <c:pt idx="1841">
                        <c:v>0.83500000000000052</c:v>
                      </c:pt>
                      <c:pt idx="1842">
                        <c:v>0.84500000000000053</c:v>
                      </c:pt>
                      <c:pt idx="1843">
                        <c:v>0.85500000000000054</c:v>
                      </c:pt>
                      <c:pt idx="1844">
                        <c:v>0.86500000000000055</c:v>
                      </c:pt>
                      <c:pt idx="1845">
                        <c:v>0.87500000000000056</c:v>
                      </c:pt>
                      <c:pt idx="1846">
                        <c:v>0.88500000000000056</c:v>
                      </c:pt>
                      <c:pt idx="1847">
                        <c:v>0.89500000000000057</c:v>
                      </c:pt>
                      <c:pt idx="1848">
                        <c:v>0.90500000000000058</c:v>
                      </c:pt>
                      <c:pt idx="1850">
                        <c:v>9.9999999999999992E-2</c:v>
                      </c:pt>
                      <c:pt idx="1851">
                        <c:v>0.10999999999999999</c:v>
                      </c:pt>
                      <c:pt idx="1852">
                        <c:v>0.11999999999999998</c:v>
                      </c:pt>
                      <c:pt idx="1853">
                        <c:v>0.12999999999999998</c:v>
                      </c:pt>
                      <c:pt idx="1854">
                        <c:v>0.13999999999999999</c:v>
                      </c:pt>
                      <c:pt idx="1855">
                        <c:v>0.15</c:v>
                      </c:pt>
                      <c:pt idx="1856">
                        <c:v>0.16</c:v>
                      </c:pt>
                      <c:pt idx="1857">
                        <c:v>0.17</c:v>
                      </c:pt>
                      <c:pt idx="1858">
                        <c:v>0.18000000000000002</c:v>
                      </c:pt>
                      <c:pt idx="1859">
                        <c:v>0.19000000000000003</c:v>
                      </c:pt>
                      <c:pt idx="1860">
                        <c:v>0.20000000000000004</c:v>
                      </c:pt>
                      <c:pt idx="1861">
                        <c:v>0.21000000000000005</c:v>
                      </c:pt>
                      <c:pt idx="1862">
                        <c:v>0.22000000000000006</c:v>
                      </c:pt>
                      <c:pt idx="1863">
                        <c:v>0.23000000000000007</c:v>
                      </c:pt>
                      <c:pt idx="1864">
                        <c:v>0.24000000000000007</c:v>
                      </c:pt>
                      <c:pt idx="1865">
                        <c:v>0.25000000000000006</c:v>
                      </c:pt>
                      <c:pt idx="1866">
                        <c:v>0.26000000000000006</c:v>
                      </c:pt>
                      <c:pt idx="1867">
                        <c:v>0.27000000000000007</c:v>
                      </c:pt>
                      <c:pt idx="1868">
                        <c:v>0.28000000000000008</c:v>
                      </c:pt>
                      <c:pt idx="1869">
                        <c:v>0.29000000000000009</c:v>
                      </c:pt>
                      <c:pt idx="1870">
                        <c:v>0.3000000000000001</c:v>
                      </c:pt>
                      <c:pt idx="1871">
                        <c:v>0.31000000000000011</c:v>
                      </c:pt>
                      <c:pt idx="1872">
                        <c:v>0.32000000000000012</c:v>
                      </c:pt>
                      <c:pt idx="1873">
                        <c:v>0.33000000000000013</c:v>
                      </c:pt>
                      <c:pt idx="1874">
                        <c:v>0.34000000000000014</c:v>
                      </c:pt>
                      <c:pt idx="1875">
                        <c:v>0.35000000000000014</c:v>
                      </c:pt>
                      <c:pt idx="1876">
                        <c:v>0.36000000000000015</c:v>
                      </c:pt>
                      <c:pt idx="1877">
                        <c:v>0.37000000000000016</c:v>
                      </c:pt>
                      <c:pt idx="1878">
                        <c:v>0.38000000000000017</c:v>
                      </c:pt>
                      <c:pt idx="1879">
                        <c:v>0.39000000000000018</c:v>
                      </c:pt>
                      <c:pt idx="1880">
                        <c:v>0.40000000000000019</c:v>
                      </c:pt>
                      <c:pt idx="1881">
                        <c:v>0.4100000000000002</c:v>
                      </c:pt>
                      <c:pt idx="1882">
                        <c:v>0.42000000000000021</c:v>
                      </c:pt>
                      <c:pt idx="1883">
                        <c:v>0.43000000000000022</c:v>
                      </c:pt>
                      <c:pt idx="1884">
                        <c:v>0.44000000000000022</c:v>
                      </c:pt>
                      <c:pt idx="1885">
                        <c:v>0.45000000000000023</c:v>
                      </c:pt>
                      <c:pt idx="1886">
                        <c:v>0.46000000000000024</c:v>
                      </c:pt>
                      <c:pt idx="1887">
                        <c:v>0.47000000000000025</c:v>
                      </c:pt>
                      <c:pt idx="1888">
                        <c:v>0.48000000000000026</c:v>
                      </c:pt>
                      <c:pt idx="1889">
                        <c:v>0.49000000000000027</c:v>
                      </c:pt>
                      <c:pt idx="1890">
                        <c:v>0.50000000000000022</c:v>
                      </c:pt>
                      <c:pt idx="1891">
                        <c:v>0.51000000000000023</c:v>
                      </c:pt>
                      <c:pt idx="1892">
                        <c:v>0.52000000000000024</c:v>
                      </c:pt>
                      <c:pt idx="1893">
                        <c:v>0.53000000000000025</c:v>
                      </c:pt>
                      <c:pt idx="1894">
                        <c:v>0.54000000000000026</c:v>
                      </c:pt>
                      <c:pt idx="1895">
                        <c:v>0.55000000000000027</c:v>
                      </c:pt>
                      <c:pt idx="1896">
                        <c:v>0.56000000000000028</c:v>
                      </c:pt>
                      <c:pt idx="1897">
                        <c:v>0.57000000000000028</c:v>
                      </c:pt>
                      <c:pt idx="1898">
                        <c:v>0.58000000000000029</c:v>
                      </c:pt>
                      <c:pt idx="1899">
                        <c:v>0.5900000000000003</c:v>
                      </c:pt>
                      <c:pt idx="1900">
                        <c:v>0.60000000000000031</c:v>
                      </c:pt>
                      <c:pt idx="1901">
                        <c:v>0.61000000000000032</c:v>
                      </c:pt>
                      <c:pt idx="1902">
                        <c:v>0.62000000000000033</c:v>
                      </c:pt>
                      <c:pt idx="1903">
                        <c:v>0.63000000000000034</c:v>
                      </c:pt>
                      <c:pt idx="1904">
                        <c:v>0.64000000000000035</c:v>
                      </c:pt>
                      <c:pt idx="1905">
                        <c:v>0.65000000000000036</c:v>
                      </c:pt>
                      <c:pt idx="1906">
                        <c:v>0.66000000000000036</c:v>
                      </c:pt>
                      <c:pt idx="1907">
                        <c:v>0.67000000000000037</c:v>
                      </c:pt>
                      <c:pt idx="1908">
                        <c:v>0.68000000000000038</c:v>
                      </c:pt>
                      <c:pt idx="1909">
                        <c:v>0.69000000000000039</c:v>
                      </c:pt>
                      <c:pt idx="1910">
                        <c:v>0.7000000000000004</c:v>
                      </c:pt>
                      <c:pt idx="1911">
                        <c:v>0.71000000000000041</c:v>
                      </c:pt>
                      <c:pt idx="1912">
                        <c:v>0.72000000000000042</c:v>
                      </c:pt>
                      <c:pt idx="1913">
                        <c:v>0.73000000000000043</c:v>
                      </c:pt>
                      <c:pt idx="1914">
                        <c:v>0.74000000000000044</c:v>
                      </c:pt>
                      <c:pt idx="1915">
                        <c:v>0.75000000000000044</c:v>
                      </c:pt>
                      <c:pt idx="1916">
                        <c:v>0.76000000000000045</c:v>
                      </c:pt>
                      <c:pt idx="1917">
                        <c:v>0.77000000000000046</c:v>
                      </c:pt>
                      <c:pt idx="1918">
                        <c:v>0.78000000000000047</c:v>
                      </c:pt>
                      <c:pt idx="1919">
                        <c:v>0.79000000000000048</c:v>
                      </c:pt>
                      <c:pt idx="1920">
                        <c:v>0.80000000000000049</c:v>
                      </c:pt>
                      <c:pt idx="1921">
                        <c:v>0.8100000000000005</c:v>
                      </c:pt>
                      <c:pt idx="1922">
                        <c:v>0.82000000000000051</c:v>
                      </c:pt>
                      <c:pt idx="1923">
                        <c:v>0.83000000000000052</c:v>
                      </c:pt>
                      <c:pt idx="1924">
                        <c:v>0.84000000000000052</c:v>
                      </c:pt>
                      <c:pt idx="1925">
                        <c:v>0.85000000000000053</c:v>
                      </c:pt>
                      <c:pt idx="1926">
                        <c:v>0.86000000000000054</c:v>
                      </c:pt>
                      <c:pt idx="1927">
                        <c:v>0.87000000000000055</c:v>
                      </c:pt>
                      <c:pt idx="1928">
                        <c:v>0.88000000000000056</c:v>
                      </c:pt>
                      <c:pt idx="1929">
                        <c:v>0.89000000000000057</c:v>
                      </c:pt>
                      <c:pt idx="1930">
                        <c:v>0.90000000000000058</c:v>
                      </c:pt>
                      <c:pt idx="1932">
                        <c:v>0.10499999999999998</c:v>
                      </c:pt>
                      <c:pt idx="1933">
                        <c:v>0.11499999999999998</c:v>
                      </c:pt>
                      <c:pt idx="1934">
                        <c:v>0.12499999999999997</c:v>
                      </c:pt>
                      <c:pt idx="1935">
                        <c:v>0.13499999999999998</c:v>
                      </c:pt>
                      <c:pt idx="1936">
                        <c:v>0.14499999999999999</c:v>
                      </c:pt>
                      <c:pt idx="1937">
                        <c:v>0.155</c:v>
                      </c:pt>
                      <c:pt idx="1938">
                        <c:v>0.16500000000000001</c:v>
                      </c:pt>
                      <c:pt idx="1939">
                        <c:v>0.17500000000000002</c:v>
                      </c:pt>
                      <c:pt idx="1940">
                        <c:v>0.18500000000000003</c:v>
                      </c:pt>
                      <c:pt idx="1941">
                        <c:v>0.19500000000000003</c:v>
                      </c:pt>
                      <c:pt idx="1942">
                        <c:v>0.20500000000000004</c:v>
                      </c:pt>
                      <c:pt idx="1943">
                        <c:v>0.21500000000000005</c:v>
                      </c:pt>
                      <c:pt idx="1944">
                        <c:v>0.22500000000000006</c:v>
                      </c:pt>
                      <c:pt idx="1945">
                        <c:v>0.23500000000000007</c:v>
                      </c:pt>
                      <c:pt idx="1946">
                        <c:v>0.24500000000000008</c:v>
                      </c:pt>
                      <c:pt idx="1947">
                        <c:v>0.25500000000000006</c:v>
                      </c:pt>
                      <c:pt idx="1948">
                        <c:v>0.26500000000000007</c:v>
                      </c:pt>
                      <c:pt idx="1949">
                        <c:v>0.27500000000000008</c:v>
                      </c:pt>
                      <c:pt idx="1950">
                        <c:v>0.28500000000000009</c:v>
                      </c:pt>
                      <c:pt idx="1951">
                        <c:v>0.2950000000000001</c:v>
                      </c:pt>
                      <c:pt idx="1952">
                        <c:v>0.3050000000000001</c:v>
                      </c:pt>
                      <c:pt idx="1953">
                        <c:v>0.31500000000000011</c:v>
                      </c:pt>
                      <c:pt idx="1954">
                        <c:v>0.32500000000000012</c:v>
                      </c:pt>
                      <c:pt idx="1955">
                        <c:v>0.33500000000000013</c:v>
                      </c:pt>
                      <c:pt idx="1956">
                        <c:v>0.34500000000000014</c:v>
                      </c:pt>
                      <c:pt idx="1957">
                        <c:v>0.35500000000000015</c:v>
                      </c:pt>
                      <c:pt idx="1958">
                        <c:v>0.36500000000000016</c:v>
                      </c:pt>
                      <c:pt idx="1959">
                        <c:v>0.37500000000000017</c:v>
                      </c:pt>
                      <c:pt idx="1960">
                        <c:v>0.38500000000000018</c:v>
                      </c:pt>
                      <c:pt idx="1961">
                        <c:v>0.39500000000000018</c:v>
                      </c:pt>
                      <c:pt idx="1962">
                        <c:v>0.40500000000000019</c:v>
                      </c:pt>
                      <c:pt idx="1963">
                        <c:v>0.4150000000000002</c:v>
                      </c:pt>
                      <c:pt idx="1964">
                        <c:v>0.42500000000000021</c:v>
                      </c:pt>
                      <c:pt idx="1965">
                        <c:v>0.43500000000000022</c:v>
                      </c:pt>
                      <c:pt idx="1966">
                        <c:v>0.44500000000000023</c:v>
                      </c:pt>
                      <c:pt idx="1967">
                        <c:v>0.45500000000000024</c:v>
                      </c:pt>
                      <c:pt idx="1968">
                        <c:v>0.46500000000000025</c:v>
                      </c:pt>
                      <c:pt idx="1969">
                        <c:v>0.47500000000000026</c:v>
                      </c:pt>
                      <c:pt idx="1970">
                        <c:v>0.48500000000000026</c:v>
                      </c:pt>
                      <c:pt idx="1971">
                        <c:v>0.49500000000000027</c:v>
                      </c:pt>
                      <c:pt idx="1972">
                        <c:v>0.50500000000000023</c:v>
                      </c:pt>
                      <c:pt idx="1973">
                        <c:v>0.51500000000000024</c:v>
                      </c:pt>
                      <c:pt idx="1974">
                        <c:v>0.52500000000000024</c:v>
                      </c:pt>
                      <c:pt idx="1975">
                        <c:v>0.53500000000000025</c:v>
                      </c:pt>
                      <c:pt idx="1976">
                        <c:v>0.54500000000000026</c:v>
                      </c:pt>
                      <c:pt idx="1977">
                        <c:v>0.55500000000000027</c:v>
                      </c:pt>
                      <c:pt idx="1978">
                        <c:v>0.56500000000000028</c:v>
                      </c:pt>
                      <c:pt idx="1979">
                        <c:v>0.57500000000000029</c:v>
                      </c:pt>
                      <c:pt idx="1980">
                        <c:v>0.5850000000000003</c:v>
                      </c:pt>
                      <c:pt idx="1981">
                        <c:v>0.59500000000000031</c:v>
                      </c:pt>
                      <c:pt idx="1982">
                        <c:v>0.60500000000000032</c:v>
                      </c:pt>
                      <c:pt idx="1983">
                        <c:v>0.61500000000000032</c:v>
                      </c:pt>
                      <c:pt idx="1984">
                        <c:v>0.62500000000000033</c:v>
                      </c:pt>
                      <c:pt idx="1985">
                        <c:v>0.63500000000000034</c:v>
                      </c:pt>
                      <c:pt idx="1986">
                        <c:v>0.64500000000000035</c:v>
                      </c:pt>
                      <c:pt idx="1987">
                        <c:v>0.65500000000000036</c:v>
                      </c:pt>
                      <c:pt idx="1988">
                        <c:v>0.66500000000000037</c:v>
                      </c:pt>
                      <c:pt idx="1989">
                        <c:v>0.67500000000000038</c:v>
                      </c:pt>
                      <c:pt idx="1990">
                        <c:v>0.68500000000000039</c:v>
                      </c:pt>
                      <c:pt idx="1991">
                        <c:v>0.6950000000000004</c:v>
                      </c:pt>
                      <c:pt idx="1992">
                        <c:v>0.7050000000000004</c:v>
                      </c:pt>
                      <c:pt idx="1993">
                        <c:v>0.71500000000000041</c:v>
                      </c:pt>
                      <c:pt idx="1994">
                        <c:v>0.72500000000000042</c:v>
                      </c:pt>
                      <c:pt idx="1995">
                        <c:v>0.73500000000000043</c:v>
                      </c:pt>
                      <c:pt idx="1996">
                        <c:v>0.74500000000000044</c:v>
                      </c:pt>
                      <c:pt idx="1997">
                        <c:v>0.75500000000000045</c:v>
                      </c:pt>
                      <c:pt idx="1998">
                        <c:v>0.76500000000000046</c:v>
                      </c:pt>
                      <c:pt idx="1999">
                        <c:v>0.77500000000000047</c:v>
                      </c:pt>
                      <c:pt idx="2000">
                        <c:v>0.78500000000000048</c:v>
                      </c:pt>
                      <c:pt idx="2001">
                        <c:v>0.79500000000000048</c:v>
                      </c:pt>
                      <c:pt idx="2002">
                        <c:v>0.80500000000000049</c:v>
                      </c:pt>
                      <c:pt idx="2003">
                        <c:v>0.8150000000000005</c:v>
                      </c:pt>
                      <c:pt idx="2004">
                        <c:v>0.82500000000000051</c:v>
                      </c:pt>
                      <c:pt idx="2005">
                        <c:v>0.83500000000000052</c:v>
                      </c:pt>
                      <c:pt idx="2006">
                        <c:v>0.84500000000000053</c:v>
                      </c:pt>
                      <c:pt idx="2007">
                        <c:v>0.85500000000000054</c:v>
                      </c:pt>
                      <c:pt idx="2008">
                        <c:v>0.86500000000000055</c:v>
                      </c:pt>
                      <c:pt idx="2009">
                        <c:v>0.87500000000000056</c:v>
                      </c:pt>
                      <c:pt idx="2010">
                        <c:v>0.88500000000000056</c:v>
                      </c:pt>
                      <c:pt idx="2011">
                        <c:v>0.89500000000000057</c:v>
                      </c:pt>
                      <c:pt idx="2013">
                        <c:v>0.10999999999999999</c:v>
                      </c:pt>
                      <c:pt idx="2014">
                        <c:v>0.11999999999999998</c:v>
                      </c:pt>
                      <c:pt idx="2015">
                        <c:v>0.12999999999999998</c:v>
                      </c:pt>
                      <c:pt idx="2016">
                        <c:v>0.13999999999999999</c:v>
                      </c:pt>
                      <c:pt idx="2017">
                        <c:v>0.15</c:v>
                      </c:pt>
                      <c:pt idx="2018">
                        <c:v>0.16</c:v>
                      </c:pt>
                      <c:pt idx="2019">
                        <c:v>0.17</c:v>
                      </c:pt>
                      <c:pt idx="2020">
                        <c:v>0.18000000000000002</c:v>
                      </c:pt>
                      <c:pt idx="2021">
                        <c:v>0.19000000000000003</c:v>
                      </c:pt>
                      <c:pt idx="2022">
                        <c:v>0.20000000000000004</c:v>
                      </c:pt>
                      <c:pt idx="2023">
                        <c:v>0.21000000000000005</c:v>
                      </c:pt>
                      <c:pt idx="2024">
                        <c:v>0.22000000000000006</c:v>
                      </c:pt>
                      <c:pt idx="2025">
                        <c:v>0.23000000000000007</c:v>
                      </c:pt>
                      <c:pt idx="2026">
                        <c:v>0.24000000000000007</c:v>
                      </c:pt>
                      <c:pt idx="2027">
                        <c:v>0.25000000000000006</c:v>
                      </c:pt>
                      <c:pt idx="2028">
                        <c:v>0.26000000000000006</c:v>
                      </c:pt>
                      <c:pt idx="2029">
                        <c:v>0.27000000000000007</c:v>
                      </c:pt>
                      <c:pt idx="2030">
                        <c:v>0.28000000000000008</c:v>
                      </c:pt>
                      <c:pt idx="2031">
                        <c:v>0.29000000000000009</c:v>
                      </c:pt>
                      <c:pt idx="2032">
                        <c:v>0.3000000000000001</c:v>
                      </c:pt>
                      <c:pt idx="2033">
                        <c:v>0.31000000000000011</c:v>
                      </c:pt>
                      <c:pt idx="2034">
                        <c:v>0.32000000000000012</c:v>
                      </c:pt>
                      <c:pt idx="2035">
                        <c:v>0.33000000000000013</c:v>
                      </c:pt>
                      <c:pt idx="2036">
                        <c:v>0.34000000000000014</c:v>
                      </c:pt>
                      <c:pt idx="2037">
                        <c:v>0.35000000000000014</c:v>
                      </c:pt>
                      <c:pt idx="2038">
                        <c:v>0.36000000000000015</c:v>
                      </c:pt>
                      <c:pt idx="2039">
                        <c:v>0.37000000000000016</c:v>
                      </c:pt>
                      <c:pt idx="2040">
                        <c:v>0.38000000000000017</c:v>
                      </c:pt>
                      <c:pt idx="2041">
                        <c:v>0.39000000000000018</c:v>
                      </c:pt>
                      <c:pt idx="2042">
                        <c:v>0.40000000000000019</c:v>
                      </c:pt>
                      <c:pt idx="2043">
                        <c:v>0.4100000000000002</c:v>
                      </c:pt>
                      <c:pt idx="2044">
                        <c:v>0.42000000000000021</c:v>
                      </c:pt>
                      <c:pt idx="2045">
                        <c:v>0.43000000000000022</c:v>
                      </c:pt>
                      <c:pt idx="2046">
                        <c:v>0.44000000000000022</c:v>
                      </c:pt>
                      <c:pt idx="2047">
                        <c:v>0.45000000000000023</c:v>
                      </c:pt>
                      <c:pt idx="2048">
                        <c:v>0.46000000000000024</c:v>
                      </c:pt>
                      <c:pt idx="2049">
                        <c:v>0.47000000000000025</c:v>
                      </c:pt>
                      <c:pt idx="2050">
                        <c:v>0.48000000000000026</c:v>
                      </c:pt>
                      <c:pt idx="2051">
                        <c:v>0.49000000000000027</c:v>
                      </c:pt>
                      <c:pt idx="2052">
                        <c:v>0.50000000000000022</c:v>
                      </c:pt>
                      <c:pt idx="2053">
                        <c:v>0.51000000000000023</c:v>
                      </c:pt>
                      <c:pt idx="2054">
                        <c:v>0.52000000000000024</c:v>
                      </c:pt>
                      <c:pt idx="2055">
                        <c:v>0.53000000000000025</c:v>
                      </c:pt>
                      <c:pt idx="2056">
                        <c:v>0.54000000000000026</c:v>
                      </c:pt>
                      <c:pt idx="2057">
                        <c:v>0.55000000000000027</c:v>
                      </c:pt>
                      <c:pt idx="2058">
                        <c:v>0.56000000000000028</c:v>
                      </c:pt>
                      <c:pt idx="2059">
                        <c:v>0.57000000000000028</c:v>
                      </c:pt>
                      <c:pt idx="2060">
                        <c:v>0.58000000000000029</c:v>
                      </c:pt>
                      <c:pt idx="2061">
                        <c:v>0.5900000000000003</c:v>
                      </c:pt>
                      <c:pt idx="2062">
                        <c:v>0.60000000000000031</c:v>
                      </c:pt>
                      <c:pt idx="2063">
                        <c:v>0.61000000000000032</c:v>
                      </c:pt>
                      <c:pt idx="2064">
                        <c:v>0.62000000000000033</c:v>
                      </c:pt>
                      <c:pt idx="2065">
                        <c:v>0.63000000000000034</c:v>
                      </c:pt>
                      <c:pt idx="2066">
                        <c:v>0.64000000000000035</c:v>
                      </c:pt>
                      <c:pt idx="2067">
                        <c:v>0.65000000000000036</c:v>
                      </c:pt>
                      <c:pt idx="2068">
                        <c:v>0.66000000000000036</c:v>
                      </c:pt>
                      <c:pt idx="2069">
                        <c:v>0.67000000000000037</c:v>
                      </c:pt>
                      <c:pt idx="2070">
                        <c:v>0.68000000000000038</c:v>
                      </c:pt>
                      <c:pt idx="2071">
                        <c:v>0.69000000000000039</c:v>
                      </c:pt>
                      <c:pt idx="2072">
                        <c:v>0.7000000000000004</c:v>
                      </c:pt>
                      <c:pt idx="2073">
                        <c:v>0.71000000000000041</c:v>
                      </c:pt>
                      <c:pt idx="2074">
                        <c:v>0.72000000000000042</c:v>
                      </c:pt>
                      <c:pt idx="2075">
                        <c:v>0.73000000000000043</c:v>
                      </c:pt>
                      <c:pt idx="2076">
                        <c:v>0.74000000000000044</c:v>
                      </c:pt>
                      <c:pt idx="2077">
                        <c:v>0.75000000000000044</c:v>
                      </c:pt>
                      <c:pt idx="2078">
                        <c:v>0.76000000000000045</c:v>
                      </c:pt>
                      <c:pt idx="2079">
                        <c:v>0.77000000000000046</c:v>
                      </c:pt>
                      <c:pt idx="2080">
                        <c:v>0.78000000000000047</c:v>
                      </c:pt>
                      <c:pt idx="2081">
                        <c:v>0.79000000000000048</c:v>
                      </c:pt>
                      <c:pt idx="2082">
                        <c:v>0.80000000000000049</c:v>
                      </c:pt>
                      <c:pt idx="2083">
                        <c:v>0.8100000000000005</c:v>
                      </c:pt>
                      <c:pt idx="2084">
                        <c:v>0.82000000000000051</c:v>
                      </c:pt>
                      <c:pt idx="2085">
                        <c:v>0.83000000000000052</c:v>
                      </c:pt>
                      <c:pt idx="2086">
                        <c:v>0.84000000000000052</c:v>
                      </c:pt>
                      <c:pt idx="2087">
                        <c:v>0.85000000000000053</c:v>
                      </c:pt>
                      <c:pt idx="2088">
                        <c:v>0.86000000000000054</c:v>
                      </c:pt>
                      <c:pt idx="2089">
                        <c:v>0.87000000000000055</c:v>
                      </c:pt>
                      <c:pt idx="2090">
                        <c:v>0.88000000000000056</c:v>
                      </c:pt>
                      <c:pt idx="2091">
                        <c:v>0.89000000000000057</c:v>
                      </c:pt>
                      <c:pt idx="2093">
                        <c:v>0.11499999999999998</c:v>
                      </c:pt>
                      <c:pt idx="2094">
                        <c:v>0.12499999999999997</c:v>
                      </c:pt>
                      <c:pt idx="2095">
                        <c:v>0.13499999999999998</c:v>
                      </c:pt>
                      <c:pt idx="2096">
                        <c:v>0.14499999999999999</c:v>
                      </c:pt>
                      <c:pt idx="2097">
                        <c:v>0.155</c:v>
                      </c:pt>
                      <c:pt idx="2098">
                        <c:v>0.16500000000000001</c:v>
                      </c:pt>
                      <c:pt idx="2099">
                        <c:v>0.17500000000000002</c:v>
                      </c:pt>
                      <c:pt idx="2100">
                        <c:v>0.18500000000000003</c:v>
                      </c:pt>
                      <c:pt idx="2101">
                        <c:v>0.19500000000000003</c:v>
                      </c:pt>
                      <c:pt idx="2102">
                        <c:v>0.20500000000000004</c:v>
                      </c:pt>
                      <c:pt idx="2103">
                        <c:v>0.21500000000000005</c:v>
                      </c:pt>
                      <c:pt idx="2104">
                        <c:v>0.22500000000000006</c:v>
                      </c:pt>
                      <c:pt idx="2105">
                        <c:v>0.23500000000000007</c:v>
                      </c:pt>
                      <c:pt idx="2106">
                        <c:v>0.24500000000000008</c:v>
                      </c:pt>
                      <c:pt idx="2107">
                        <c:v>0.25500000000000006</c:v>
                      </c:pt>
                      <c:pt idx="2108">
                        <c:v>0.26500000000000007</c:v>
                      </c:pt>
                      <c:pt idx="2109">
                        <c:v>0.27500000000000008</c:v>
                      </c:pt>
                      <c:pt idx="2110">
                        <c:v>0.28500000000000009</c:v>
                      </c:pt>
                      <c:pt idx="2111">
                        <c:v>0.2950000000000001</c:v>
                      </c:pt>
                      <c:pt idx="2112">
                        <c:v>0.3050000000000001</c:v>
                      </c:pt>
                      <c:pt idx="2113">
                        <c:v>0.31500000000000011</c:v>
                      </c:pt>
                      <c:pt idx="2114">
                        <c:v>0.32500000000000012</c:v>
                      </c:pt>
                      <c:pt idx="2115">
                        <c:v>0.33500000000000013</c:v>
                      </c:pt>
                      <c:pt idx="2116">
                        <c:v>0.34500000000000014</c:v>
                      </c:pt>
                      <c:pt idx="2117">
                        <c:v>0.35500000000000015</c:v>
                      </c:pt>
                      <c:pt idx="2118">
                        <c:v>0.36500000000000016</c:v>
                      </c:pt>
                      <c:pt idx="2119">
                        <c:v>0.37500000000000017</c:v>
                      </c:pt>
                      <c:pt idx="2120">
                        <c:v>0.38500000000000018</c:v>
                      </c:pt>
                      <c:pt idx="2121">
                        <c:v>0.39500000000000018</c:v>
                      </c:pt>
                      <c:pt idx="2122">
                        <c:v>0.40500000000000019</c:v>
                      </c:pt>
                      <c:pt idx="2123">
                        <c:v>0.4150000000000002</c:v>
                      </c:pt>
                      <c:pt idx="2124">
                        <c:v>0.42500000000000021</c:v>
                      </c:pt>
                      <c:pt idx="2125">
                        <c:v>0.43500000000000022</c:v>
                      </c:pt>
                      <c:pt idx="2126">
                        <c:v>0.44500000000000023</c:v>
                      </c:pt>
                      <c:pt idx="2127">
                        <c:v>0.45500000000000024</c:v>
                      </c:pt>
                      <c:pt idx="2128">
                        <c:v>0.46500000000000025</c:v>
                      </c:pt>
                      <c:pt idx="2129">
                        <c:v>0.47500000000000026</c:v>
                      </c:pt>
                      <c:pt idx="2130">
                        <c:v>0.48500000000000026</c:v>
                      </c:pt>
                      <c:pt idx="2131">
                        <c:v>0.49500000000000027</c:v>
                      </c:pt>
                      <c:pt idx="2132">
                        <c:v>0.50500000000000023</c:v>
                      </c:pt>
                      <c:pt idx="2133">
                        <c:v>0.51500000000000024</c:v>
                      </c:pt>
                      <c:pt idx="2134">
                        <c:v>0.52500000000000024</c:v>
                      </c:pt>
                      <c:pt idx="2135">
                        <c:v>0.53500000000000025</c:v>
                      </c:pt>
                      <c:pt idx="2136">
                        <c:v>0.54500000000000026</c:v>
                      </c:pt>
                      <c:pt idx="2137">
                        <c:v>0.55500000000000027</c:v>
                      </c:pt>
                      <c:pt idx="2138">
                        <c:v>0.56500000000000028</c:v>
                      </c:pt>
                      <c:pt idx="2139">
                        <c:v>0.57500000000000029</c:v>
                      </c:pt>
                      <c:pt idx="2140">
                        <c:v>0.5850000000000003</c:v>
                      </c:pt>
                      <c:pt idx="2141">
                        <c:v>0.59500000000000031</c:v>
                      </c:pt>
                      <c:pt idx="2142">
                        <c:v>0.60500000000000032</c:v>
                      </c:pt>
                      <c:pt idx="2143">
                        <c:v>0.61500000000000032</c:v>
                      </c:pt>
                      <c:pt idx="2144">
                        <c:v>0.62500000000000033</c:v>
                      </c:pt>
                      <c:pt idx="2145">
                        <c:v>0.63500000000000034</c:v>
                      </c:pt>
                      <c:pt idx="2146">
                        <c:v>0.64500000000000035</c:v>
                      </c:pt>
                      <c:pt idx="2147">
                        <c:v>0.65500000000000036</c:v>
                      </c:pt>
                      <c:pt idx="2148">
                        <c:v>0.66500000000000037</c:v>
                      </c:pt>
                      <c:pt idx="2149">
                        <c:v>0.67500000000000038</c:v>
                      </c:pt>
                      <c:pt idx="2150">
                        <c:v>0.68500000000000039</c:v>
                      </c:pt>
                      <c:pt idx="2151">
                        <c:v>0.6950000000000004</c:v>
                      </c:pt>
                      <c:pt idx="2152">
                        <c:v>0.7050000000000004</c:v>
                      </c:pt>
                      <c:pt idx="2153">
                        <c:v>0.71500000000000041</c:v>
                      </c:pt>
                      <c:pt idx="2154">
                        <c:v>0.72500000000000042</c:v>
                      </c:pt>
                      <c:pt idx="2155">
                        <c:v>0.73500000000000043</c:v>
                      </c:pt>
                      <c:pt idx="2156">
                        <c:v>0.74500000000000044</c:v>
                      </c:pt>
                      <c:pt idx="2157">
                        <c:v>0.75500000000000045</c:v>
                      </c:pt>
                      <c:pt idx="2158">
                        <c:v>0.76500000000000046</c:v>
                      </c:pt>
                      <c:pt idx="2159">
                        <c:v>0.77500000000000047</c:v>
                      </c:pt>
                      <c:pt idx="2160">
                        <c:v>0.78500000000000048</c:v>
                      </c:pt>
                      <c:pt idx="2161">
                        <c:v>0.79500000000000048</c:v>
                      </c:pt>
                      <c:pt idx="2162">
                        <c:v>0.80500000000000049</c:v>
                      </c:pt>
                      <c:pt idx="2163">
                        <c:v>0.8150000000000005</c:v>
                      </c:pt>
                      <c:pt idx="2164">
                        <c:v>0.82500000000000051</c:v>
                      </c:pt>
                      <c:pt idx="2165">
                        <c:v>0.83500000000000052</c:v>
                      </c:pt>
                      <c:pt idx="2166">
                        <c:v>0.84500000000000053</c:v>
                      </c:pt>
                      <c:pt idx="2167">
                        <c:v>0.85500000000000054</c:v>
                      </c:pt>
                      <c:pt idx="2168">
                        <c:v>0.86500000000000055</c:v>
                      </c:pt>
                      <c:pt idx="2169">
                        <c:v>0.87500000000000056</c:v>
                      </c:pt>
                      <c:pt idx="2170">
                        <c:v>0.88500000000000056</c:v>
                      </c:pt>
                      <c:pt idx="2172">
                        <c:v>0.11999999999999998</c:v>
                      </c:pt>
                      <c:pt idx="2173">
                        <c:v>0.12999999999999998</c:v>
                      </c:pt>
                      <c:pt idx="2174">
                        <c:v>0.13999999999999999</c:v>
                      </c:pt>
                      <c:pt idx="2175">
                        <c:v>0.15</c:v>
                      </c:pt>
                      <c:pt idx="2176">
                        <c:v>0.16</c:v>
                      </c:pt>
                      <c:pt idx="2177">
                        <c:v>0.17</c:v>
                      </c:pt>
                      <c:pt idx="2178">
                        <c:v>0.18000000000000002</c:v>
                      </c:pt>
                      <c:pt idx="2179">
                        <c:v>0.19000000000000003</c:v>
                      </c:pt>
                      <c:pt idx="2180">
                        <c:v>0.20000000000000004</c:v>
                      </c:pt>
                      <c:pt idx="2181">
                        <c:v>0.21000000000000005</c:v>
                      </c:pt>
                      <c:pt idx="2182">
                        <c:v>0.22000000000000006</c:v>
                      </c:pt>
                      <c:pt idx="2183">
                        <c:v>0.23000000000000007</c:v>
                      </c:pt>
                      <c:pt idx="2184">
                        <c:v>0.24000000000000007</c:v>
                      </c:pt>
                      <c:pt idx="2185">
                        <c:v>0.25000000000000006</c:v>
                      </c:pt>
                      <c:pt idx="2186">
                        <c:v>0.26000000000000006</c:v>
                      </c:pt>
                      <c:pt idx="2187">
                        <c:v>0.27000000000000007</c:v>
                      </c:pt>
                      <c:pt idx="2188">
                        <c:v>0.28000000000000008</c:v>
                      </c:pt>
                      <c:pt idx="2189">
                        <c:v>0.29000000000000009</c:v>
                      </c:pt>
                      <c:pt idx="2190">
                        <c:v>0.3000000000000001</c:v>
                      </c:pt>
                      <c:pt idx="2191">
                        <c:v>0.31000000000000011</c:v>
                      </c:pt>
                      <c:pt idx="2192">
                        <c:v>0.32000000000000012</c:v>
                      </c:pt>
                      <c:pt idx="2193">
                        <c:v>0.33000000000000013</c:v>
                      </c:pt>
                      <c:pt idx="2194">
                        <c:v>0.34000000000000014</c:v>
                      </c:pt>
                      <c:pt idx="2195">
                        <c:v>0.35000000000000014</c:v>
                      </c:pt>
                      <c:pt idx="2196">
                        <c:v>0.36000000000000015</c:v>
                      </c:pt>
                      <c:pt idx="2197">
                        <c:v>0.37000000000000016</c:v>
                      </c:pt>
                      <c:pt idx="2198">
                        <c:v>0.38000000000000017</c:v>
                      </c:pt>
                      <c:pt idx="2199">
                        <c:v>0.39000000000000018</c:v>
                      </c:pt>
                      <c:pt idx="2200">
                        <c:v>0.40000000000000019</c:v>
                      </c:pt>
                      <c:pt idx="2201">
                        <c:v>0.4100000000000002</c:v>
                      </c:pt>
                      <c:pt idx="2202">
                        <c:v>0.42000000000000021</c:v>
                      </c:pt>
                      <c:pt idx="2203">
                        <c:v>0.43000000000000022</c:v>
                      </c:pt>
                      <c:pt idx="2204">
                        <c:v>0.44000000000000022</c:v>
                      </c:pt>
                      <c:pt idx="2205">
                        <c:v>0.45000000000000023</c:v>
                      </c:pt>
                      <c:pt idx="2206">
                        <c:v>0.46000000000000024</c:v>
                      </c:pt>
                      <c:pt idx="2207">
                        <c:v>0.47000000000000025</c:v>
                      </c:pt>
                      <c:pt idx="2208">
                        <c:v>0.48000000000000026</c:v>
                      </c:pt>
                      <c:pt idx="2209">
                        <c:v>0.49000000000000027</c:v>
                      </c:pt>
                      <c:pt idx="2210">
                        <c:v>0.50000000000000022</c:v>
                      </c:pt>
                      <c:pt idx="2211">
                        <c:v>0.51000000000000023</c:v>
                      </c:pt>
                      <c:pt idx="2212">
                        <c:v>0.52000000000000024</c:v>
                      </c:pt>
                      <c:pt idx="2213">
                        <c:v>0.53000000000000025</c:v>
                      </c:pt>
                      <c:pt idx="2214">
                        <c:v>0.54000000000000026</c:v>
                      </c:pt>
                      <c:pt idx="2215">
                        <c:v>0.55000000000000027</c:v>
                      </c:pt>
                      <c:pt idx="2216">
                        <c:v>0.56000000000000028</c:v>
                      </c:pt>
                      <c:pt idx="2217">
                        <c:v>0.57000000000000028</c:v>
                      </c:pt>
                      <c:pt idx="2218">
                        <c:v>0.58000000000000029</c:v>
                      </c:pt>
                      <c:pt idx="2219">
                        <c:v>0.5900000000000003</c:v>
                      </c:pt>
                      <c:pt idx="2220">
                        <c:v>0.60000000000000031</c:v>
                      </c:pt>
                      <c:pt idx="2221">
                        <c:v>0.61000000000000032</c:v>
                      </c:pt>
                      <c:pt idx="2222">
                        <c:v>0.62000000000000033</c:v>
                      </c:pt>
                      <c:pt idx="2223">
                        <c:v>0.63000000000000034</c:v>
                      </c:pt>
                      <c:pt idx="2224">
                        <c:v>0.64000000000000035</c:v>
                      </c:pt>
                      <c:pt idx="2225">
                        <c:v>0.65000000000000036</c:v>
                      </c:pt>
                      <c:pt idx="2226">
                        <c:v>0.66000000000000036</c:v>
                      </c:pt>
                      <c:pt idx="2227">
                        <c:v>0.67000000000000037</c:v>
                      </c:pt>
                      <c:pt idx="2228">
                        <c:v>0.68000000000000038</c:v>
                      </c:pt>
                      <c:pt idx="2229">
                        <c:v>0.69000000000000039</c:v>
                      </c:pt>
                      <c:pt idx="2230">
                        <c:v>0.7000000000000004</c:v>
                      </c:pt>
                      <c:pt idx="2231">
                        <c:v>0.71000000000000041</c:v>
                      </c:pt>
                      <c:pt idx="2232">
                        <c:v>0.72000000000000042</c:v>
                      </c:pt>
                      <c:pt idx="2233">
                        <c:v>0.73000000000000043</c:v>
                      </c:pt>
                      <c:pt idx="2234">
                        <c:v>0.74000000000000044</c:v>
                      </c:pt>
                      <c:pt idx="2235">
                        <c:v>0.75000000000000044</c:v>
                      </c:pt>
                      <c:pt idx="2236">
                        <c:v>0.76000000000000045</c:v>
                      </c:pt>
                      <c:pt idx="2237">
                        <c:v>0.77000000000000046</c:v>
                      </c:pt>
                      <c:pt idx="2238">
                        <c:v>0.78000000000000047</c:v>
                      </c:pt>
                      <c:pt idx="2239">
                        <c:v>0.79000000000000048</c:v>
                      </c:pt>
                      <c:pt idx="2240">
                        <c:v>0.80000000000000049</c:v>
                      </c:pt>
                      <c:pt idx="2241">
                        <c:v>0.8100000000000005</c:v>
                      </c:pt>
                      <c:pt idx="2242">
                        <c:v>0.82000000000000051</c:v>
                      </c:pt>
                      <c:pt idx="2243">
                        <c:v>0.83000000000000052</c:v>
                      </c:pt>
                      <c:pt idx="2244">
                        <c:v>0.84000000000000052</c:v>
                      </c:pt>
                      <c:pt idx="2245">
                        <c:v>0.85000000000000053</c:v>
                      </c:pt>
                      <c:pt idx="2246">
                        <c:v>0.86000000000000054</c:v>
                      </c:pt>
                      <c:pt idx="2247">
                        <c:v>0.87000000000000055</c:v>
                      </c:pt>
                      <c:pt idx="2248">
                        <c:v>0.88000000000000056</c:v>
                      </c:pt>
                      <c:pt idx="2250">
                        <c:v>0.12499999999999997</c:v>
                      </c:pt>
                      <c:pt idx="2251">
                        <c:v>0.13499999999999998</c:v>
                      </c:pt>
                      <c:pt idx="2252">
                        <c:v>0.14499999999999999</c:v>
                      </c:pt>
                      <c:pt idx="2253">
                        <c:v>0.155</c:v>
                      </c:pt>
                      <c:pt idx="2254">
                        <c:v>0.16500000000000001</c:v>
                      </c:pt>
                      <c:pt idx="2255">
                        <c:v>0.17500000000000002</c:v>
                      </c:pt>
                      <c:pt idx="2256">
                        <c:v>0.18500000000000003</c:v>
                      </c:pt>
                      <c:pt idx="2257">
                        <c:v>0.19500000000000003</c:v>
                      </c:pt>
                      <c:pt idx="2258">
                        <c:v>0.20500000000000004</c:v>
                      </c:pt>
                      <c:pt idx="2259">
                        <c:v>0.21500000000000005</c:v>
                      </c:pt>
                      <c:pt idx="2260">
                        <c:v>0.22500000000000006</c:v>
                      </c:pt>
                      <c:pt idx="2261">
                        <c:v>0.23500000000000007</c:v>
                      </c:pt>
                      <c:pt idx="2262">
                        <c:v>0.24500000000000008</c:v>
                      </c:pt>
                      <c:pt idx="2263">
                        <c:v>0.25500000000000006</c:v>
                      </c:pt>
                      <c:pt idx="2264">
                        <c:v>0.26500000000000007</c:v>
                      </c:pt>
                      <c:pt idx="2265">
                        <c:v>0.27500000000000008</c:v>
                      </c:pt>
                      <c:pt idx="2266">
                        <c:v>0.28500000000000009</c:v>
                      </c:pt>
                      <c:pt idx="2267">
                        <c:v>0.2950000000000001</c:v>
                      </c:pt>
                      <c:pt idx="2268">
                        <c:v>0.3050000000000001</c:v>
                      </c:pt>
                      <c:pt idx="2269">
                        <c:v>0.31500000000000011</c:v>
                      </c:pt>
                      <c:pt idx="2270">
                        <c:v>0.32500000000000012</c:v>
                      </c:pt>
                      <c:pt idx="2271">
                        <c:v>0.33500000000000013</c:v>
                      </c:pt>
                      <c:pt idx="2272">
                        <c:v>0.34500000000000014</c:v>
                      </c:pt>
                      <c:pt idx="2273">
                        <c:v>0.35500000000000015</c:v>
                      </c:pt>
                      <c:pt idx="2274">
                        <c:v>0.36500000000000016</c:v>
                      </c:pt>
                      <c:pt idx="2275">
                        <c:v>0.37500000000000017</c:v>
                      </c:pt>
                      <c:pt idx="2276">
                        <c:v>0.38500000000000018</c:v>
                      </c:pt>
                      <c:pt idx="2277">
                        <c:v>0.39500000000000018</c:v>
                      </c:pt>
                      <c:pt idx="2278">
                        <c:v>0.40500000000000019</c:v>
                      </c:pt>
                      <c:pt idx="2279">
                        <c:v>0.4150000000000002</c:v>
                      </c:pt>
                      <c:pt idx="2280">
                        <c:v>0.42500000000000021</c:v>
                      </c:pt>
                      <c:pt idx="2281">
                        <c:v>0.43500000000000022</c:v>
                      </c:pt>
                      <c:pt idx="2282">
                        <c:v>0.44500000000000023</c:v>
                      </c:pt>
                      <c:pt idx="2283">
                        <c:v>0.45500000000000024</c:v>
                      </c:pt>
                      <c:pt idx="2284">
                        <c:v>0.46500000000000025</c:v>
                      </c:pt>
                      <c:pt idx="2285">
                        <c:v>0.47500000000000026</c:v>
                      </c:pt>
                      <c:pt idx="2286">
                        <c:v>0.48500000000000026</c:v>
                      </c:pt>
                      <c:pt idx="2287">
                        <c:v>0.49500000000000027</c:v>
                      </c:pt>
                      <c:pt idx="2288">
                        <c:v>0.50500000000000023</c:v>
                      </c:pt>
                      <c:pt idx="2289">
                        <c:v>0.51500000000000024</c:v>
                      </c:pt>
                      <c:pt idx="2290">
                        <c:v>0.52500000000000024</c:v>
                      </c:pt>
                      <c:pt idx="2291">
                        <c:v>0.53500000000000025</c:v>
                      </c:pt>
                      <c:pt idx="2292">
                        <c:v>0.54500000000000026</c:v>
                      </c:pt>
                      <c:pt idx="2293">
                        <c:v>0.55500000000000027</c:v>
                      </c:pt>
                      <c:pt idx="2294">
                        <c:v>0.56500000000000028</c:v>
                      </c:pt>
                      <c:pt idx="2295">
                        <c:v>0.57500000000000029</c:v>
                      </c:pt>
                      <c:pt idx="2296">
                        <c:v>0.5850000000000003</c:v>
                      </c:pt>
                      <c:pt idx="2297">
                        <c:v>0.59500000000000031</c:v>
                      </c:pt>
                      <c:pt idx="2298">
                        <c:v>0.60500000000000032</c:v>
                      </c:pt>
                      <c:pt idx="2299">
                        <c:v>0.61500000000000032</c:v>
                      </c:pt>
                      <c:pt idx="2300">
                        <c:v>0.62500000000000033</c:v>
                      </c:pt>
                      <c:pt idx="2301">
                        <c:v>0.63500000000000034</c:v>
                      </c:pt>
                      <c:pt idx="2302">
                        <c:v>0.64500000000000035</c:v>
                      </c:pt>
                      <c:pt idx="2303">
                        <c:v>0.65500000000000036</c:v>
                      </c:pt>
                      <c:pt idx="2304">
                        <c:v>0.66500000000000037</c:v>
                      </c:pt>
                      <c:pt idx="2305">
                        <c:v>0.67500000000000038</c:v>
                      </c:pt>
                      <c:pt idx="2306">
                        <c:v>0.68500000000000039</c:v>
                      </c:pt>
                      <c:pt idx="2307">
                        <c:v>0.6950000000000004</c:v>
                      </c:pt>
                      <c:pt idx="2308">
                        <c:v>0.7050000000000004</c:v>
                      </c:pt>
                      <c:pt idx="2309">
                        <c:v>0.71500000000000041</c:v>
                      </c:pt>
                      <c:pt idx="2310">
                        <c:v>0.72500000000000042</c:v>
                      </c:pt>
                      <c:pt idx="2311">
                        <c:v>0.73500000000000043</c:v>
                      </c:pt>
                      <c:pt idx="2312">
                        <c:v>0.74500000000000044</c:v>
                      </c:pt>
                      <c:pt idx="2313">
                        <c:v>0.75500000000000045</c:v>
                      </c:pt>
                      <c:pt idx="2314">
                        <c:v>0.76500000000000046</c:v>
                      </c:pt>
                      <c:pt idx="2315">
                        <c:v>0.77500000000000047</c:v>
                      </c:pt>
                      <c:pt idx="2316">
                        <c:v>0.78500000000000048</c:v>
                      </c:pt>
                      <c:pt idx="2317">
                        <c:v>0.79500000000000048</c:v>
                      </c:pt>
                      <c:pt idx="2318">
                        <c:v>0.80500000000000049</c:v>
                      </c:pt>
                      <c:pt idx="2319">
                        <c:v>0.8150000000000005</c:v>
                      </c:pt>
                      <c:pt idx="2320">
                        <c:v>0.82500000000000051</c:v>
                      </c:pt>
                      <c:pt idx="2321">
                        <c:v>0.83500000000000052</c:v>
                      </c:pt>
                      <c:pt idx="2322">
                        <c:v>0.84500000000000053</c:v>
                      </c:pt>
                      <c:pt idx="2323">
                        <c:v>0.85500000000000054</c:v>
                      </c:pt>
                      <c:pt idx="2324">
                        <c:v>0.86500000000000055</c:v>
                      </c:pt>
                      <c:pt idx="2325">
                        <c:v>0.87500000000000056</c:v>
                      </c:pt>
                      <c:pt idx="2327">
                        <c:v>0.12999999999999998</c:v>
                      </c:pt>
                      <c:pt idx="2328">
                        <c:v>0.13999999999999999</c:v>
                      </c:pt>
                      <c:pt idx="2329">
                        <c:v>0.15</c:v>
                      </c:pt>
                      <c:pt idx="2330">
                        <c:v>0.16</c:v>
                      </c:pt>
                      <c:pt idx="2331">
                        <c:v>0.17</c:v>
                      </c:pt>
                      <c:pt idx="2332">
                        <c:v>0.18000000000000002</c:v>
                      </c:pt>
                      <c:pt idx="2333">
                        <c:v>0.19000000000000003</c:v>
                      </c:pt>
                      <c:pt idx="2334">
                        <c:v>0.20000000000000004</c:v>
                      </c:pt>
                      <c:pt idx="2335">
                        <c:v>0.21000000000000005</c:v>
                      </c:pt>
                      <c:pt idx="2336">
                        <c:v>0.22000000000000006</c:v>
                      </c:pt>
                      <c:pt idx="2337">
                        <c:v>0.23000000000000007</c:v>
                      </c:pt>
                      <c:pt idx="2338">
                        <c:v>0.24000000000000007</c:v>
                      </c:pt>
                      <c:pt idx="2339">
                        <c:v>0.25000000000000006</c:v>
                      </c:pt>
                      <c:pt idx="2340">
                        <c:v>0.26000000000000006</c:v>
                      </c:pt>
                      <c:pt idx="2341">
                        <c:v>0.27000000000000007</c:v>
                      </c:pt>
                      <c:pt idx="2342">
                        <c:v>0.28000000000000008</c:v>
                      </c:pt>
                      <c:pt idx="2343">
                        <c:v>0.29000000000000009</c:v>
                      </c:pt>
                      <c:pt idx="2344">
                        <c:v>0.3000000000000001</c:v>
                      </c:pt>
                      <c:pt idx="2345">
                        <c:v>0.31000000000000011</c:v>
                      </c:pt>
                      <c:pt idx="2346">
                        <c:v>0.32000000000000012</c:v>
                      </c:pt>
                      <c:pt idx="2347">
                        <c:v>0.33000000000000013</c:v>
                      </c:pt>
                      <c:pt idx="2348">
                        <c:v>0.34000000000000014</c:v>
                      </c:pt>
                      <c:pt idx="2349">
                        <c:v>0.35000000000000014</c:v>
                      </c:pt>
                      <c:pt idx="2350">
                        <c:v>0.36000000000000015</c:v>
                      </c:pt>
                      <c:pt idx="2351">
                        <c:v>0.37000000000000016</c:v>
                      </c:pt>
                      <c:pt idx="2352">
                        <c:v>0.38000000000000017</c:v>
                      </c:pt>
                      <c:pt idx="2353">
                        <c:v>0.39000000000000018</c:v>
                      </c:pt>
                      <c:pt idx="2354">
                        <c:v>0.40000000000000019</c:v>
                      </c:pt>
                      <c:pt idx="2355">
                        <c:v>0.4100000000000002</c:v>
                      </c:pt>
                      <c:pt idx="2356">
                        <c:v>0.42000000000000021</c:v>
                      </c:pt>
                      <c:pt idx="2357">
                        <c:v>0.43000000000000022</c:v>
                      </c:pt>
                      <c:pt idx="2358">
                        <c:v>0.44000000000000022</c:v>
                      </c:pt>
                      <c:pt idx="2359">
                        <c:v>0.45000000000000023</c:v>
                      </c:pt>
                      <c:pt idx="2360">
                        <c:v>0.46000000000000024</c:v>
                      </c:pt>
                      <c:pt idx="2361">
                        <c:v>0.47000000000000025</c:v>
                      </c:pt>
                      <c:pt idx="2362">
                        <c:v>0.48000000000000026</c:v>
                      </c:pt>
                      <c:pt idx="2363">
                        <c:v>0.49000000000000027</c:v>
                      </c:pt>
                      <c:pt idx="2364">
                        <c:v>0.50000000000000022</c:v>
                      </c:pt>
                      <c:pt idx="2365">
                        <c:v>0.51000000000000023</c:v>
                      </c:pt>
                      <c:pt idx="2366">
                        <c:v>0.52000000000000024</c:v>
                      </c:pt>
                      <c:pt idx="2367">
                        <c:v>0.53000000000000025</c:v>
                      </c:pt>
                      <c:pt idx="2368">
                        <c:v>0.54000000000000026</c:v>
                      </c:pt>
                      <c:pt idx="2369">
                        <c:v>0.55000000000000027</c:v>
                      </c:pt>
                      <c:pt idx="2370">
                        <c:v>0.56000000000000028</c:v>
                      </c:pt>
                      <c:pt idx="2371">
                        <c:v>0.57000000000000028</c:v>
                      </c:pt>
                      <c:pt idx="2372">
                        <c:v>0.58000000000000029</c:v>
                      </c:pt>
                      <c:pt idx="2373">
                        <c:v>0.5900000000000003</c:v>
                      </c:pt>
                      <c:pt idx="2374">
                        <c:v>0.60000000000000031</c:v>
                      </c:pt>
                      <c:pt idx="2375">
                        <c:v>0.61000000000000032</c:v>
                      </c:pt>
                      <c:pt idx="2376">
                        <c:v>0.62000000000000033</c:v>
                      </c:pt>
                      <c:pt idx="2377">
                        <c:v>0.63000000000000034</c:v>
                      </c:pt>
                      <c:pt idx="2378">
                        <c:v>0.64000000000000035</c:v>
                      </c:pt>
                      <c:pt idx="2379">
                        <c:v>0.65000000000000036</c:v>
                      </c:pt>
                      <c:pt idx="2380">
                        <c:v>0.66000000000000036</c:v>
                      </c:pt>
                      <c:pt idx="2381">
                        <c:v>0.67000000000000037</c:v>
                      </c:pt>
                      <c:pt idx="2382">
                        <c:v>0.68000000000000038</c:v>
                      </c:pt>
                      <c:pt idx="2383">
                        <c:v>0.69000000000000039</c:v>
                      </c:pt>
                      <c:pt idx="2384">
                        <c:v>0.7000000000000004</c:v>
                      </c:pt>
                      <c:pt idx="2385">
                        <c:v>0.71000000000000041</c:v>
                      </c:pt>
                      <c:pt idx="2386">
                        <c:v>0.72000000000000042</c:v>
                      </c:pt>
                      <c:pt idx="2387">
                        <c:v>0.73000000000000043</c:v>
                      </c:pt>
                      <c:pt idx="2388">
                        <c:v>0.74000000000000044</c:v>
                      </c:pt>
                      <c:pt idx="2389">
                        <c:v>0.75000000000000044</c:v>
                      </c:pt>
                      <c:pt idx="2390">
                        <c:v>0.76000000000000045</c:v>
                      </c:pt>
                      <c:pt idx="2391">
                        <c:v>0.77000000000000046</c:v>
                      </c:pt>
                      <c:pt idx="2392">
                        <c:v>0.78000000000000047</c:v>
                      </c:pt>
                      <c:pt idx="2393">
                        <c:v>0.79000000000000048</c:v>
                      </c:pt>
                      <c:pt idx="2394">
                        <c:v>0.80000000000000049</c:v>
                      </c:pt>
                      <c:pt idx="2395">
                        <c:v>0.8100000000000005</c:v>
                      </c:pt>
                      <c:pt idx="2396">
                        <c:v>0.82000000000000051</c:v>
                      </c:pt>
                      <c:pt idx="2397">
                        <c:v>0.83000000000000052</c:v>
                      </c:pt>
                      <c:pt idx="2398">
                        <c:v>0.84000000000000052</c:v>
                      </c:pt>
                      <c:pt idx="2399">
                        <c:v>0.85000000000000053</c:v>
                      </c:pt>
                      <c:pt idx="2400">
                        <c:v>0.86000000000000054</c:v>
                      </c:pt>
                      <c:pt idx="2401">
                        <c:v>0.87000000000000055</c:v>
                      </c:pt>
                      <c:pt idx="2403">
                        <c:v>0.13499999999999998</c:v>
                      </c:pt>
                      <c:pt idx="2404">
                        <c:v>0.14499999999999999</c:v>
                      </c:pt>
                      <c:pt idx="2405">
                        <c:v>0.155</c:v>
                      </c:pt>
                      <c:pt idx="2406">
                        <c:v>0.16500000000000001</c:v>
                      </c:pt>
                      <c:pt idx="2407">
                        <c:v>0.17500000000000002</c:v>
                      </c:pt>
                      <c:pt idx="2408">
                        <c:v>0.18500000000000003</c:v>
                      </c:pt>
                      <c:pt idx="2409">
                        <c:v>0.19500000000000003</c:v>
                      </c:pt>
                      <c:pt idx="2410">
                        <c:v>0.20500000000000004</c:v>
                      </c:pt>
                      <c:pt idx="2411">
                        <c:v>0.21500000000000005</c:v>
                      </c:pt>
                      <c:pt idx="2412">
                        <c:v>0.22500000000000006</c:v>
                      </c:pt>
                      <c:pt idx="2413">
                        <c:v>0.23500000000000007</c:v>
                      </c:pt>
                      <c:pt idx="2414">
                        <c:v>0.24500000000000008</c:v>
                      </c:pt>
                      <c:pt idx="2415">
                        <c:v>0.25500000000000006</c:v>
                      </c:pt>
                      <c:pt idx="2416">
                        <c:v>0.26500000000000007</c:v>
                      </c:pt>
                      <c:pt idx="2417">
                        <c:v>0.27500000000000008</c:v>
                      </c:pt>
                      <c:pt idx="2418">
                        <c:v>0.28500000000000009</c:v>
                      </c:pt>
                      <c:pt idx="2419">
                        <c:v>0.2950000000000001</c:v>
                      </c:pt>
                      <c:pt idx="2420">
                        <c:v>0.3050000000000001</c:v>
                      </c:pt>
                      <c:pt idx="2421">
                        <c:v>0.31500000000000011</c:v>
                      </c:pt>
                      <c:pt idx="2422">
                        <c:v>0.32500000000000012</c:v>
                      </c:pt>
                      <c:pt idx="2423">
                        <c:v>0.33500000000000013</c:v>
                      </c:pt>
                      <c:pt idx="2424">
                        <c:v>0.34500000000000014</c:v>
                      </c:pt>
                      <c:pt idx="2425">
                        <c:v>0.35500000000000015</c:v>
                      </c:pt>
                      <c:pt idx="2426">
                        <c:v>0.36500000000000016</c:v>
                      </c:pt>
                      <c:pt idx="2427">
                        <c:v>0.37500000000000017</c:v>
                      </c:pt>
                      <c:pt idx="2428">
                        <c:v>0.38500000000000018</c:v>
                      </c:pt>
                      <c:pt idx="2429">
                        <c:v>0.39500000000000018</c:v>
                      </c:pt>
                      <c:pt idx="2430">
                        <c:v>0.40500000000000019</c:v>
                      </c:pt>
                      <c:pt idx="2431">
                        <c:v>0.4150000000000002</c:v>
                      </c:pt>
                      <c:pt idx="2432">
                        <c:v>0.42500000000000021</c:v>
                      </c:pt>
                      <c:pt idx="2433">
                        <c:v>0.43500000000000022</c:v>
                      </c:pt>
                      <c:pt idx="2434">
                        <c:v>0.44500000000000023</c:v>
                      </c:pt>
                      <c:pt idx="2435">
                        <c:v>0.45500000000000024</c:v>
                      </c:pt>
                      <c:pt idx="2436">
                        <c:v>0.46500000000000025</c:v>
                      </c:pt>
                      <c:pt idx="2437">
                        <c:v>0.47500000000000026</c:v>
                      </c:pt>
                      <c:pt idx="2438">
                        <c:v>0.48500000000000026</c:v>
                      </c:pt>
                      <c:pt idx="2439">
                        <c:v>0.49500000000000027</c:v>
                      </c:pt>
                      <c:pt idx="2440">
                        <c:v>0.50500000000000023</c:v>
                      </c:pt>
                      <c:pt idx="2441">
                        <c:v>0.51500000000000024</c:v>
                      </c:pt>
                      <c:pt idx="2442">
                        <c:v>0.52500000000000024</c:v>
                      </c:pt>
                      <c:pt idx="2443">
                        <c:v>0.53500000000000025</c:v>
                      </c:pt>
                      <c:pt idx="2444">
                        <c:v>0.54500000000000026</c:v>
                      </c:pt>
                      <c:pt idx="2445">
                        <c:v>0.55500000000000027</c:v>
                      </c:pt>
                      <c:pt idx="2446">
                        <c:v>0.56500000000000028</c:v>
                      </c:pt>
                      <c:pt idx="2447">
                        <c:v>0.57500000000000029</c:v>
                      </c:pt>
                      <c:pt idx="2448">
                        <c:v>0.5850000000000003</c:v>
                      </c:pt>
                      <c:pt idx="2449">
                        <c:v>0.59500000000000031</c:v>
                      </c:pt>
                      <c:pt idx="2450">
                        <c:v>0.60500000000000032</c:v>
                      </c:pt>
                      <c:pt idx="2451">
                        <c:v>0.61500000000000032</c:v>
                      </c:pt>
                      <c:pt idx="2452">
                        <c:v>0.62500000000000033</c:v>
                      </c:pt>
                      <c:pt idx="2453">
                        <c:v>0.63500000000000034</c:v>
                      </c:pt>
                      <c:pt idx="2454">
                        <c:v>0.64500000000000035</c:v>
                      </c:pt>
                      <c:pt idx="2455">
                        <c:v>0.65500000000000036</c:v>
                      </c:pt>
                      <c:pt idx="2456">
                        <c:v>0.66500000000000037</c:v>
                      </c:pt>
                      <c:pt idx="2457">
                        <c:v>0.67500000000000038</c:v>
                      </c:pt>
                      <c:pt idx="2458">
                        <c:v>0.68500000000000039</c:v>
                      </c:pt>
                      <c:pt idx="2459">
                        <c:v>0.6950000000000004</c:v>
                      </c:pt>
                      <c:pt idx="2460">
                        <c:v>0.7050000000000004</c:v>
                      </c:pt>
                      <c:pt idx="2461">
                        <c:v>0.71500000000000041</c:v>
                      </c:pt>
                      <c:pt idx="2462">
                        <c:v>0.72500000000000042</c:v>
                      </c:pt>
                      <c:pt idx="2463">
                        <c:v>0.73500000000000043</c:v>
                      </c:pt>
                      <c:pt idx="2464">
                        <c:v>0.74500000000000044</c:v>
                      </c:pt>
                      <c:pt idx="2465">
                        <c:v>0.75500000000000045</c:v>
                      </c:pt>
                      <c:pt idx="2466">
                        <c:v>0.76500000000000046</c:v>
                      </c:pt>
                      <c:pt idx="2467">
                        <c:v>0.77500000000000047</c:v>
                      </c:pt>
                      <c:pt idx="2468">
                        <c:v>0.78500000000000048</c:v>
                      </c:pt>
                      <c:pt idx="2469">
                        <c:v>0.79500000000000048</c:v>
                      </c:pt>
                      <c:pt idx="2470">
                        <c:v>0.80500000000000049</c:v>
                      </c:pt>
                      <c:pt idx="2471">
                        <c:v>0.8150000000000005</c:v>
                      </c:pt>
                      <c:pt idx="2472">
                        <c:v>0.82500000000000051</c:v>
                      </c:pt>
                      <c:pt idx="2473">
                        <c:v>0.83500000000000052</c:v>
                      </c:pt>
                      <c:pt idx="2474">
                        <c:v>0.84500000000000053</c:v>
                      </c:pt>
                      <c:pt idx="2475">
                        <c:v>0.85500000000000054</c:v>
                      </c:pt>
                      <c:pt idx="2476">
                        <c:v>0.86500000000000055</c:v>
                      </c:pt>
                      <c:pt idx="2478">
                        <c:v>0.13999999999999999</c:v>
                      </c:pt>
                      <c:pt idx="2479">
                        <c:v>0.15</c:v>
                      </c:pt>
                      <c:pt idx="2480">
                        <c:v>0.16</c:v>
                      </c:pt>
                      <c:pt idx="2481">
                        <c:v>0.17</c:v>
                      </c:pt>
                      <c:pt idx="2482">
                        <c:v>0.18000000000000002</c:v>
                      </c:pt>
                      <c:pt idx="2483">
                        <c:v>0.19000000000000003</c:v>
                      </c:pt>
                      <c:pt idx="2484">
                        <c:v>0.20000000000000004</c:v>
                      </c:pt>
                      <c:pt idx="2485">
                        <c:v>0.21000000000000005</c:v>
                      </c:pt>
                      <c:pt idx="2486">
                        <c:v>0.22000000000000006</c:v>
                      </c:pt>
                      <c:pt idx="2487">
                        <c:v>0.23000000000000007</c:v>
                      </c:pt>
                      <c:pt idx="2488">
                        <c:v>0.24000000000000007</c:v>
                      </c:pt>
                      <c:pt idx="2489">
                        <c:v>0.25000000000000006</c:v>
                      </c:pt>
                      <c:pt idx="2490">
                        <c:v>0.26000000000000006</c:v>
                      </c:pt>
                      <c:pt idx="2491">
                        <c:v>0.27000000000000007</c:v>
                      </c:pt>
                      <c:pt idx="2492">
                        <c:v>0.28000000000000008</c:v>
                      </c:pt>
                      <c:pt idx="2493">
                        <c:v>0.29000000000000009</c:v>
                      </c:pt>
                      <c:pt idx="2494">
                        <c:v>0.3000000000000001</c:v>
                      </c:pt>
                      <c:pt idx="2495">
                        <c:v>0.31000000000000011</c:v>
                      </c:pt>
                      <c:pt idx="2496">
                        <c:v>0.32000000000000012</c:v>
                      </c:pt>
                      <c:pt idx="2497">
                        <c:v>0.33000000000000013</c:v>
                      </c:pt>
                      <c:pt idx="2498">
                        <c:v>0.34000000000000014</c:v>
                      </c:pt>
                      <c:pt idx="2499">
                        <c:v>0.35000000000000014</c:v>
                      </c:pt>
                      <c:pt idx="2500">
                        <c:v>0.36000000000000015</c:v>
                      </c:pt>
                      <c:pt idx="2501">
                        <c:v>0.37000000000000016</c:v>
                      </c:pt>
                      <c:pt idx="2502">
                        <c:v>0.38000000000000017</c:v>
                      </c:pt>
                      <c:pt idx="2503">
                        <c:v>0.39000000000000018</c:v>
                      </c:pt>
                      <c:pt idx="2504">
                        <c:v>0.40000000000000019</c:v>
                      </c:pt>
                      <c:pt idx="2505">
                        <c:v>0.4100000000000002</c:v>
                      </c:pt>
                      <c:pt idx="2506">
                        <c:v>0.42000000000000021</c:v>
                      </c:pt>
                      <c:pt idx="2507">
                        <c:v>0.43000000000000022</c:v>
                      </c:pt>
                      <c:pt idx="2508">
                        <c:v>0.44000000000000022</c:v>
                      </c:pt>
                      <c:pt idx="2509">
                        <c:v>0.45000000000000023</c:v>
                      </c:pt>
                      <c:pt idx="2510">
                        <c:v>0.46000000000000024</c:v>
                      </c:pt>
                      <c:pt idx="2511">
                        <c:v>0.47000000000000025</c:v>
                      </c:pt>
                      <c:pt idx="2512">
                        <c:v>0.48000000000000026</c:v>
                      </c:pt>
                      <c:pt idx="2513">
                        <c:v>0.49000000000000027</c:v>
                      </c:pt>
                      <c:pt idx="2514">
                        <c:v>0.50000000000000022</c:v>
                      </c:pt>
                      <c:pt idx="2515">
                        <c:v>0.51000000000000023</c:v>
                      </c:pt>
                      <c:pt idx="2516">
                        <c:v>0.52000000000000024</c:v>
                      </c:pt>
                      <c:pt idx="2517">
                        <c:v>0.53000000000000025</c:v>
                      </c:pt>
                      <c:pt idx="2518">
                        <c:v>0.54000000000000026</c:v>
                      </c:pt>
                      <c:pt idx="2519">
                        <c:v>0.55000000000000027</c:v>
                      </c:pt>
                      <c:pt idx="2520">
                        <c:v>0.56000000000000028</c:v>
                      </c:pt>
                      <c:pt idx="2521">
                        <c:v>0.57000000000000028</c:v>
                      </c:pt>
                      <c:pt idx="2522">
                        <c:v>0.58000000000000029</c:v>
                      </c:pt>
                      <c:pt idx="2523">
                        <c:v>0.5900000000000003</c:v>
                      </c:pt>
                      <c:pt idx="2524">
                        <c:v>0.60000000000000031</c:v>
                      </c:pt>
                      <c:pt idx="2525">
                        <c:v>0.61000000000000032</c:v>
                      </c:pt>
                      <c:pt idx="2526">
                        <c:v>0.62000000000000033</c:v>
                      </c:pt>
                      <c:pt idx="2527">
                        <c:v>0.63000000000000034</c:v>
                      </c:pt>
                      <c:pt idx="2528">
                        <c:v>0.64000000000000035</c:v>
                      </c:pt>
                      <c:pt idx="2529">
                        <c:v>0.65000000000000036</c:v>
                      </c:pt>
                      <c:pt idx="2530">
                        <c:v>0.66000000000000036</c:v>
                      </c:pt>
                      <c:pt idx="2531">
                        <c:v>0.67000000000000037</c:v>
                      </c:pt>
                      <c:pt idx="2532">
                        <c:v>0.68000000000000038</c:v>
                      </c:pt>
                      <c:pt idx="2533">
                        <c:v>0.69000000000000039</c:v>
                      </c:pt>
                      <c:pt idx="2534">
                        <c:v>0.7000000000000004</c:v>
                      </c:pt>
                      <c:pt idx="2535">
                        <c:v>0.71000000000000041</c:v>
                      </c:pt>
                      <c:pt idx="2536">
                        <c:v>0.72000000000000042</c:v>
                      </c:pt>
                      <c:pt idx="2537">
                        <c:v>0.73000000000000043</c:v>
                      </c:pt>
                      <c:pt idx="2538">
                        <c:v>0.74000000000000044</c:v>
                      </c:pt>
                      <c:pt idx="2539">
                        <c:v>0.75000000000000044</c:v>
                      </c:pt>
                      <c:pt idx="2540">
                        <c:v>0.76000000000000045</c:v>
                      </c:pt>
                      <c:pt idx="2541">
                        <c:v>0.77000000000000046</c:v>
                      </c:pt>
                      <c:pt idx="2542">
                        <c:v>0.78000000000000047</c:v>
                      </c:pt>
                      <c:pt idx="2543">
                        <c:v>0.79000000000000048</c:v>
                      </c:pt>
                      <c:pt idx="2544">
                        <c:v>0.80000000000000049</c:v>
                      </c:pt>
                      <c:pt idx="2545">
                        <c:v>0.8100000000000005</c:v>
                      </c:pt>
                      <c:pt idx="2546">
                        <c:v>0.82000000000000051</c:v>
                      </c:pt>
                      <c:pt idx="2547">
                        <c:v>0.83000000000000052</c:v>
                      </c:pt>
                      <c:pt idx="2548">
                        <c:v>0.84000000000000052</c:v>
                      </c:pt>
                      <c:pt idx="2549">
                        <c:v>0.85000000000000053</c:v>
                      </c:pt>
                      <c:pt idx="2550">
                        <c:v>0.86000000000000054</c:v>
                      </c:pt>
                      <c:pt idx="2552">
                        <c:v>0.14499999999999999</c:v>
                      </c:pt>
                      <c:pt idx="2553">
                        <c:v>0.155</c:v>
                      </c:pt>
                      <c:pt idx="2554">
                        <c:v>0.16500000000000001</c:v>
                      </c:pt>
                      <c:pt idx="2555">
                        <c:v>0.17500000000000002</c:v>
                      </c:pt>
                      <c:pt idx="2556">
                        <c:v>0.18500000000000003</c:v>
                      </c:pt>
                      <c:pt idx="2557">
                        <c:v>0.19500000000000003</c:v>
                      </c:pt>
                      <c:pt idx="2558">
                        <c:v>0.20500000000000004</c:v>
                      </c:pt>
                      <c:pt idx="2559">
                        <c:v>0.21500000000000005</c:v>
                      </c:pt>
                      <c:pt idx="2560">
                        <c:v>0.22500000000000006</c:v>
                      </c:pt>
                      <c:pt idx="2561">
                        <c:v>0.23500000000000007</c:v>
                      </c:pt>
                      <c:pt idx="2562">
                        <c:v>0.24500000000000008</c:v>
                      </c:pt>
                      <c:pt idx="2563">
                        <c:v>0.25500000000000006</c:v>
                      </c:pt>
                      <c:pt idx="2564">
                        <c:v>0.26500000000000007</c:v>
                      </c:pt>
                      <c:pt idx="2565">
                        <c:v>0.27500000000000008</c:v>
                      </c:pt>
                      <c:pt idx="2566">
                        <c:v>0.28500000000000009</c:v>
                      </c:pt>
                      <c:pt idx="2567">
                        <c:v>0.2950000000000001</c:v>
                      </c:pt>
                      <c:pt idx="2568">
                        <c:v>0.3050000000000001</c:v>
                      </c:pt>
                      <c:pt idx="2569">
                        <c:v>0.31500000000000011</c:v>
                      </c:pt>
                      <c:pt idx="2570">
                        <c:v>0.32500000000000012</c:v>
                      </c:pt>
                      <c:pt idx="2571">
                        <c:v>0.33500000000000013</c:v>
                      </c:pt>
                      <c:pt idx="2572">
                        <c:v>0.34500000000000014</c:v>
                      </c:pt>
                      <c:pt idx="2573">
                        <c:v>0.35500000000000015</c:v>
                      </c:pt>
                      <c:pt idx="2574">
                        <c:v>0.36500000000000016</c:v>
                      </c:pt>
                      <c:pt idx="2575">
                        <c:v>0.37500000000000017</c:v>
                      </c:pt>
                      <c:pt idx="2576">
                        <c:v>0.38500000000000018</c:v>
                      </c:pt>
                      <c:pt idx="2577">
                        <c:v>0.39500000000000018</c:v>
                      </c:pt>
                      <c:pt idx="2578">
                        <c:v>0.40500000000000019</c:v>
                      </c:pt>
                      <c:pt idx="2579">
                        <c:v>0.4150000000000002</c:v>
                      </c:pt>
                      <c:pt idx="2580">
                        <c:v>0.42500000000000021</c:v>
                      </c:pt>
                      <c:pt idx="2581">
                        <c:v>0.43500000000000022</c:v>
                      </c:pt>
                      <c:pt idx="2582">
                        <c:v>0.44500000000000023</c:v>
                      </c:pt>
                      <c:pt idx="2583">
                        <c:v>0.45500000000000024</c:v>
                      </c:pt>
                      <c:pt idx="2584">
                        <c:v>0.46500000000000025</c:v>
                      </c:pt>
                      <c:pt idx="2585">
                        <c:v>0.47500000000000026</c:v>
                      </c:pt>
                      <c:pt idx="2586">
                        <c:v>0.48500000000000026</c:v>
                      </c:pt>
                      <c:pt idx="2587">
                        <c:v>0.49500000000000027</c:v>
                      </c:pt>
                      <c:pt idx="2588">
                        <c:v>0.50500000000000023</c:v>
                      </c:pt>
                      <c:pt idx="2589">
                        <c:v>0.51500000000000024</c:v>
                      </c:pt>
                      <c:pt idx="2590">
                        <c:v>0.52500000000000024</c:v>
                      </c:pt>
                      <c:pt idx="2591">
                        <c:v>0.53500000000000025</c:v>
                      </c:pt>
                      <c:pt idx="2592">
                        <c:v>0.54500000000000026</c:v>
                      </c:pt>
                      <c:pt idx="2593">
                        <c:v>0.55500000000000027</c:v>
                      </c:pt>
                      <c:pt idx="2594">
                        <c:v>0.56500000000000028</c:v>
                      </c:pt>
                      <c:pt idx="2595">
                        <c:v>0.57500000000000029</c:v>
                      </c:pt>
                      <c:pt idx="2596">
                        <c:v>0.5850000000000003</c:v>
                      </c:pt>
                      <c:pt idx="2597">
                        <c:v>0.59500000000000031</c:v>
                      </c:pt>
                      <c:pt idx="2598">
                        <c:v>0.60500000000000032</c:v>
                      </c:pt>
                      <c:pt idx="2599">
                        <c:v>0.61500000000000032</c:v>
                      </c:pt>
                      <c:pt idx="2600">
                        <c:v>0.62500000000000033</c:v>
                      </c:pt>
                      <c:pt idx="2601">
                        <c:v>0.63500000000000034</c:v>
                      </c:pt>
                      <c:pt idx="2602">
                        <c:v>0.64500000000000035</c:v>
                      </c:pt>
                      <c:pt idx="2603">
                        <c:v>0.65500000000000036</c:v>
                      </c:pt>
                      <c:pt idx="2604">
                        <c:v>0.66500000000000037</c:v>
                      </c:pt>
                      <c:pt idx="2605">
                        <c:v>0.67500000000000038</c:v>
                      </c:pt>
                      <c:pt idx="2606">
                        <c:v>0.68500000000000039</c:v>
                      </c:pt>
                      <c:pt idx="2607">
                        <c:v>0.6950000000000004</c:v>
                      </c:pt>
                      <c:pt idx="2608">
                        <c:v>0.7050000000000004</c:v>
                      </c:pt>
                      <c:pt idx="2609">
                        <c:v>0.71500000000000041</c:v>
                      </c:pt>
                      <c:pt idx="2610">
                        <c:v>0.72500000000000042</c:v>
                      </c:pt>
                      <c:pt idx="2611">
                        <c:v>0.73500000000000043</c:v>
                      </c:pt>
                      <c:pt idx="2612">
                        <c:v>0.74500000000000044</c:v>
                      </c:pt>
                      <c:pt idx="2613">
                        <c:v>0.75500000000000045</c:v>
                      </c:pt>
                      <c:pt idx="2614">
                        <c:v>0.76500000000000046</c:v>
                      </c:pt>
                      <c:pt idx="2615">
                        <c:v>0.77500000000000047</c:v>
                      </c:pt>
                      <c:pt idx="2616">
                        <c:v>0.78500000000000048</c:v>
                      </c:pt>
                      <c:pt idx="2617">
                        <c:v>0.79500000000000048</c:v>
                      </c:pt>
                      <c:pt idx="2618">
                        <c:v>0.80500000000000049</c:v>
                      </c:pt>
                      <c:pt idx="2619">
                        <c:v>0.8150000000000005</c:v>
                      </c:pt>
                      <c:pt idx="2620">
                        <c:v>0.82500000000000051</c:v>
                      </c:pt>
                      <c:pt idx="2621">
                        <c:v>0.83500000000000052</c:v>
                      </c:pt>
                      <c:pt idx="2622">
                        <c:v>0.84500000000000053</c:v>
                      </c:pt>
                      <c:pt idx="2623">
                        <c:v>0.85500000000000054</c:v>
                      </c:pt>
                      <c:pt idx="2625">
                        <c:v>0.15</c:v>
                      </c:pt>
                      <c:pt idx="2626">
                        <c:v>0.16</c:v>
                      </c:pt>
                      <c:pt idx="2627">
                        <c:v>0.17</c:v>
                      </c:pt>
                      <c:pt idx="2628">
                        <c:v>0.18000000000000002</c:v>
                      </c:pt>
                      <c:pt idx="2629">
                        <c:v>0.19000000000000003</c:v>
                      </c:pt>
                      <c:pt idx="2630">
                        <c:v>0.20000000000000004</c:v>
                      </c:pt>
                      <c:pt idx="2631">
                        <c:v>0.21000000000000005</c:v>
                      </c:pt>
                      <c:pt idx="2632">
                        <c:v>0.22000000000000006</c:v>
                      </c:pt>
                      <c:pt idx="2633">
                        <c:v>0.23000000000000007</c:v>
                      </c:pt>
                      <c:pt idx="2634">
                        <c:v>0.24000000000000007</c:v>
                      </c:pt>
                      <c:pt idx="2635">
                        <c:v>0.25000000000000006</c:v>
                      </c:pt>
                      <c:pt idx="2636">
                        <c:v>0.26000000000000006</c:v>
                      </c:pt>
                      <c:pt idx="2637">
                        <c:v>0.27000000000000007</c:v>
                      </c:pt>
                      <c:pt idx="2638">
                        <c:v>0.28000000000000008</c:v>
                      </c:pt>
                      <c:pt idx="2639">
                        <c:v>0.29000000000000009</c:v>
                      </c:pt>
                      <c:pt idx="2640">
                        <c:v>0.3000000000000001</c:v>
                      </c:pt>
                      <c:pt idx="2641">
                        <c:v>0.31000000000000011</c:v>
                      </c:pt>
                      <c:pt idx="2642">
                        <c:v>0.32000000000000012</c:v>
                      </c:pt>
                      <c:pt idx="2643">
                        <c:v>0.33000000000000013</c:v>
                      </c:pt>
                      <c:pt idx="2644">
                        <c:v>0.34000000000000014</c:v>
                      </c:pt>
                      <c:pt idx="2645">
                        <c:v>0.35000000000000014</c:v>
                      </c:pt>
                      <c:pt idx="2646">
                        <c:v>0.36000000000000015</c:v>
                      </c:pt>
                      <c:pt idx="2647">
                        <c:v>0.37000000000000016</c:v>
                      </c:pt>
                      <c:pt idx="2648">
                        <c:v>0.38000000000000017</c:v>
                      </c:pt>
                      <c:pt idx="2649">
                        <c:v>0.39000000000000018</c:v>
                      </c:pt>
                      <c:pt idx="2650">
                        <c:v>0.40000000000000019</c:v>
                      </c:pt>
                      <c:pt idx="2651">
                        <c:v>0.4100000000000002</c:v>
                      </c:pt>
                      <c:pt idx="2652">
                        <c:v>0.42000000000000021</c:v>
                      </c:pt>
                      <c:pt idx="2653">
                        <c:v>0.43000000000000022</c:v>
                      </c:pt>
                      <c:pt idx="2654">
                        <c:v>0.44000000000000022</c:v>
                      </c:pt>
                      <c:pt idx="2655">
                        <c:v>0.45000000000000023</c:v>
                      </c:pt>
                      <c:pt idx="2656">
                        <c:v>0.46000000000000024</c:v>
                      </c:pt>
                      <c:pt idx="2657">
                        <c:v>0.47000000000000025</c:v>
                      </c:pt>
                      <c:pt idx="2658">
                        <c:v>0.48000000000000026</c:v>
                      </c:pt>
                      <c:pt idx="2659">
                        <c:v>0.49000000000000027</c:v>
                      </c:pt>
                      <c:pt idx="2660">
                        <c:v>0.50000000000000022</c:v>
                      </c:pt>
                      <c:pt idx="2661">
                        <c:v>0.51000000000000023</c:v>
                      </c:pt>
                      <c:pt idx="2662">
                        <c:v>0.52000000000000024</c:v>
                      </c:pt>
                      <c:pt idx="2663">
                        <c:v>0.53000000000000025</c:v>
                      </c:pt>
                      <c:pt idx="2664">
                        <c:v>0.54000000000000026</c:v>
                      </c:pt>
                      <c:pt idx="2665">
                        <c:v>0.55000000000000027</c:v>
                      </c:pt>
                      <c:pt idx="2666">
                        <c:v>0.56000000000000028</c:v>
                      </c:pt>
                      <c:pt idx="2667">
                        <c:v>0.57000000000000028</c:v>
                      </c:pt>
                      <c:pt idx="2668">
                        <c:v>0.58000000000000029</c:v>
                      </c:pt>
                      <c:pt idx="2669">
                        <c:v>0.5900000000000003</c:v>
                      </c:pt>
                      <c:pt idx="2670">
                        <c:v>0.60000000000000031</c:v>
                      </c:pt>
                      <c:pt idx="2671">
                        <c:v>0.61000000000000032</c:v>
                      </c:pt>
                      <c:pt idx="2672">
                        <c:v>0.62000000000000033</c:v>
                      </c:pt>
                      <c:pt idx="2673">
                        <c:v>0.63000000000000034</c:v>
                      </c:pt>
                      <c:pt idx="2674">
                        <c:v>0.64000000000000035</c:v>
                      </c:pt>
                      <c:pt idx="2675">
                        <c:v>0.65000000000000036</c:v>
                      </c:pt>
                      <c:pt idx="2676">
                        <c:v>0.66000000000000036</c:v>
                      </c:pt>
                      <c:pt idx="2677">
                        <c:v>0.67000000000000037</c:v>
                      </c:pt>
                      <c:pt idx="2678">
                        <c:v>0.68000000000000038</c:v>
                      </c:pt>
                      <c:pt idx="2679">
                        <c:v>0.69000000000000039</c:v>
                      </c:pt>
                      <c:pt idx="2680">
                        <c:v>0.7000000000000004</c:v>
                      </c:pt>
                      <c:pt idx="2681">
                        <c:v>0.71000000000000041</c:v>
                      </c:pt>
                      <c:pt idx="2682">
                        <c:v>0.72000000000000042</c:v>
                      </c:pt>
                      <c:pt idx="2683">
                        <c:v>0.73000000000000043</c:v>
                      </c:pt>
                      <c:pt idx="2684">
                        <c:v>0.74000000000000044</c:v>
                      </c:pt>
                      <c:pt idx="2685">
                        <c:v>0.75000000000000044</c:v>
                      </c:pt>
                      <c:pt idx="2686">
                        <c:v>0.76000000000000045</c:v>
                      </c:pt>
                      <c:pt idx="2687">
                        <c:v>0.77000000000000046</c:v>
                      </c:pt>
                      <c:pt idx="2688">
                        <c:v>0.78000000000000047</c:v>
                      </c:pt>
                      <c:pt idx="2689">
                        <c:v>0.79000000000000048</c:v>
                      </c:pt>
                      <c:pt idx="2690">
                        <c:v>0.80000000000000049</c:v>
                      </c:pt>
                      <c:pt idx="2691">
                        <c:v>0.8100000000000005</c:v>
                      </c:pt>
                      <c:pt idx="2692">
                        <c:v>0.82000000000000051</c:v>
                      </c:pt>
                      <c:pt idx="2693">
                        <c:v>0.83000000000000052</c:v>
                      </c:pt>
                      <c:pt idx="2694">
                        <c:v>0.84000000000000052</c:v>
                      </c:pt>
                      <c:pt idx="2695">
                        <c:v>0.85000000000000053</c:v>
                      </c:pt>
                      <c:pt idx="2697">
                        <c:v>0.155</c:v>
                      </c:pt>
                      <c:pt idx="2698">
                        <c:v>0.16500000000000001</c:v>
                      </c:pt>
                      <c:pt idx="2699">
                        <c:v>0.17500000000000002</c:v>
                      </c:pt>
                      <c:pt idx="2700">
                        <c:v>0.18500000000000003</c:v>
                      </c:pt>
                      <c:pt idx="2701">
                        <c:v>0.19500000000000003</c:v>
                      </c:pt>
                      <c:pt idx="2702">
                        <c:v>0.20500000000000004</c:v>
                      </c:pt>
                      <c:pt idx="2703">
                        <c:v>0.21500000000000005</c:v>
                      </c:pt>
                      <c:pt idx="2704">
                        <c:v>0.22500000000000006</c:v>
                      </c:pt>
                      <c:pt idx="2705">
                        <c:v>0.23500000000000007</c:v>
                      </c:pt>
                      <c:pt idx="2706">
                        <c:v>0.24500000000000008</c:v>
                      </c:pt>
                      <c:pt idx="2707">
                        <c:v>0.25500000000000006</c:v>
                      </c:pt>
                      <c:pt idx="2708">
                        <c:v>0.26500000000000007</c:v>
                      </c:pt>
                      <c:pt idx="2709">
                        <c:v>0.27500000000000008</c:v>
                      </c:pt>
                      <c:pt idx="2710">
                        <c:v>0.28500000000000009</c:v>
                      </c:pt>
                      <c:pt idx="2711">
                        <c:v>0.2950000000000001</c:v>
                      </c:pt>
                      <c:pt idx="2712">
                        <c:v>0.3050000000000001</c:v>
                      </c:pt>
                      <c:pt idx="2713">
                        <c:v>0.31500000000000011</c:v>
                      </c:pt>
                      <c:pt idx="2714">
                        <c:v>0.32500000000000012</c:v>
                      </c:pt>
                      <c:pt idx="2715">
                        <c:v>0.33500000000000013</c:v>
                      </c:pt>
                      <c:pt idx="2716">
                        <c:v>0.34500000000000014</c:v>
                      </c:pt>
                      <c:pt idx="2717">
                        <c:v>0.35500000000000015</c:v>
                      </c:pt>
                      <c:pt idx="2718">
                        <c:v>0.36500000000000016</c:v>
                      </c:pt>
                      <c:pt idx="2719">
                        <c:v>0.37500000000000017</c:v>
                      </c:pt>
                      <c:pt idx="2720">
                        <c:v>0.38500000000000018</c:v>
                      </c:pt>
                      <c:pt idx="2721">
                        <c:v>0.39500000000000018</c:v>
                      </c:pt>
                      <c:pt idx="2722">
                        <c:v>0.40500000000000019</c:v>
                      </c:pt>
                      <c:pt idx="2723">
                        <c:v>0.4150000000000002</c:v>
                      </c:pt>
                      <c:pt idx="2724">
                        <c:v>0.42500000000000021</c:v>
                      </c:pt>
                      <c:pt idx="2725">
                        <c:v>0.43500000000000022</c:v>
                      </c:pt>
                      <c:pt idx="2726">
                        <c:v>0.44500000000000023</c:v>
                      </c:pt>
                      <c:pt idx="2727">
                        <c:v>0.45500000000000024</c:v>
                      </c:pt>
                      <c:pt idx="2728">
                        <c:v>0.46500000000000025</c:v>
                      </c:pt>
                      <c:pt idx="2729">
                        <c:v>0.47500000000000026</c:v>
                      </c:pt>
                      <c:pt idx="2730">
                        <c:v>0.48500000000000026</c:v>
                      </c:pt>
                      <c:pt idx="2731">
                        <c:v>0.49500000000000027</c:v>
                      </c:pt>
                      <c:pt idx="2732">
                        <c:v>0.50500000000000023</c:v>
                      </c:pt>
                      <c:pt idx="2733">
                        <c:v>0.51500000000000024</c:v>
                      </c:pt>
                      <c:pt idx="2734">
                        <c:v>0.52500000000000024</c:v>
                      </c:pt>
                      <c:pt idx="2735">
                        <c:v>0.53500000000000025</c:v>
                      </c:pt>
                      <c:pt idx="2736">
                        <c:v>0.54500000000000026</c:v>
                      </c:pt>
                      <c:pt idx="2737">
                        <c:v>0.55500000000000027</c:v>
                      </c:pt>
                      <c:pt idx="2738">
                        <c:v>0.56500000000000028</c:v>
                      </c:pt>
                      <c:pt idx="2739">
                        <c:v>0.57500000000000029</c:v>
                      </c:pt>
                      <c:pt idx="2740">
                        <c:v>0.5850000000000003</c:v>
                      </c:pt>
                      <c:pt idx="2741">
                        <c:v>0.59500000000000031</c:v>
                      </c:pt>
                      <c:pt idx="2742">
                        <c:v>0.60500000000000032</c:v>
                      </c:pt>
                      <c:pt idx="2743">
                        <c:v>0.61500000000000032</c:v>
                      </c:pt>
                      <c:pt idx="2744">
                        <c:v>0.62500000000000033</c:v>
                      </c:pt>
                      <c:pt idx="2745">
                        <c:v>0.63500000000000034</c:v>
                      </c:pt>
                      <c:pt idx="2746">
                        <c:v>0.64500000000000035</c:v>
                      </c:pt>
                      <c:pt idx="2747">
                        <c:v>0.65500000000000036</c:v>
                      </c:pt>
                      <c:pt idx="2748">
                        <c:v>0.66500000000000037</c:v>
                      </c:pt>
                      <c:pt idx="2749">
                        <c:v>0.67500000000000038</c:v>
                      </c:pt>
                      <c:pt idx="2750">
                        <c:v>0.68500000000000039</c:v>
                      </c:pt>
                      <c:pt idx="2751">
                        <c:v>0.6950000000000004</c:v>
                      </c:pt>
                      <c:pt idx="2752">
                        <c:v>0.7050000000000004</c:v>
                      </c:pt>
                      <c:pt idx="2753">
                        <c:v>0.71500000000000041</c:v>
                      </c:pt>
                      <c:pt idx="2754">
                        <c:v>0.72500000000000042</c:v>
                      </c:pt>
                      <c:pt idx="2755">
                        <c:v>0.73500000000000043</c:v>
                      </c:pt>
                      <c:pt idx="2756">
                        <c:v>0.74500000000000044</c:v>
                      </c:pt>
                      <c:pt idx="2757">
                        <c:v>0.75500000000000045</c:v>
                      </c:pt>
                      <c:pt idx="2758">
                        <c:v>0.76500000000000046</c:v>
                      </c:pt>
                      <c:pt idx="2759">
                        <c:v>0.77500000000000047</c:v>
                      </c:pt>
                      <c:pt idx="2760">
                        <c:v>0.78500000000000048</c:v>
                      </c:pt>
                      <c:pt idx="2761">
                        <c:v>0.79500000000000048</c:v>
                      </c:pt>
                      <c:pt idx="2762">
                        <c:v>0.80500000000000049</c:v>
                      </c:pt>
                      <c:pt idx="2763">
                        <c:v>0.8150000000000005</c:v>
                      </c:pt>
                      <c:pt idx="2764">
                        <c:v>0.82500000000000051</c:v>
                      </c:pt>
                      <c:pt idx="2765">
                        <c:v>0.83500000000000052</c:v>
                      </c:pt>
                      <c:pt idx="2766">
                        <c:v>0.84500000000000053</c:v>
                      </c:pt>
                      <c:pt idx="2768">
                        <c:v>0.16</c:v>
                      </c:pt>
                      <c:pt idx="2769">
                        <c:v>0.17</c:v>
                      </c:pt>
                      <c:pt idx="2770">
                        <c:v>0.18000000000000002</c:v>
                      </c:pt>
                      <c:pt idx="2771">
                        <c:v>0.19000000000000003</c:v>
                      </c:pt>
                      <c:pt idx="2772">
                        <c:v>0.20000000000000004</c:v>
                      </c:pt>
                      <c:pt idx="2773">
                        <c:v>0.21000000000000005</c:v>
                      </c:pt>
                      <c:pt idx="2774">
                        <c:v>0.22000000000000006</c:v>
                      </c:pt>
                      <c:pt idx="2775">
                        <c:v>0.23000000000000007</c:v>
                      </c:pt>
                      <c:pt idx="2776">
                        <c:v>0.24000000000000007</c:v>
                      </c:pt>
                      <c:pt idx="2777">
                        <c:v>0.25000000000000006</c:v>
                      </c:pt>
                      <c:pt idx="2778">
                        <c:v>0.26000000000000006</c:v>
                      </c:pt>
                      <c:pt idx="2779">
                        <c:v>0.27000000000000007</c:v>
                      </c:pt>
                      <c:pt idx="2780">
                        <c:v>0.28000000000000008</c:v>
                      </c:pt>
                      <c:pt idx="2781">
                        <c:v>0.29000000000000009</c:v>
                      </c:pt>
                      <c:pt idx="2782">
                        <c:v>0.3000000000000001</c:v>
                      </c:pt>
                      <c:pt idx="2783">
                        <c:v>0.31000000000000011</c:v>
                      </c:pt>
                      <c:pt idx="2784">
                        <c:v>0.32000000000000012</c:v>
                      </c:pt>
                      <c:pt idx="2785">
                        <c:v>0.33000000000000013</c:v>
                      </c:pt>
                      <c:pt idx="2786">
                        <c:v>0.34000000000000014</c:v>
                      </c:pt>
                      <c:pt idx="2787">
                        <c:v>0.35000000000000014</c:v>
                      </c:pt>
                      <c:pt idx="2788">
                        <c:v>0.36000000000000015</c:v>
                      </c:pt>
                      <c:pt idx="2789">
                        <c:v>0.37000000000000016</c:v>
                      </c:pt>
                      <c:pt idx="2790">
                        <c:v>0.38000000000000017</c:v>
                      </c:pt>
                      <c:pt idx="2791">
                        <c:v>0.39000000000000018</c:v>
                      </c:pt>
                      <c:pt idx="2792">
                        <c:v>0.40000000000000019</c:v>
                      </c:pt>
                      <c:pt idx="2793">
                        <c:v>0.4100000000000002</c:v>
                      </c:pt>
                      <c:pt idx="2794">
                        <c:v>0.42000000000000021</c:v>
                      </c:pt>
                      <c:pt idx="2795">
                        <c:v>0.43000000000000022</c:v>
                      </c:pt>
                      <c:pt idx="2796">
                        <c:v>0.44000000000000022</c:v>
                      </c:pt>
                      <c:pt idx="2797">
                        <c:v>0.45000000000000023</c:v>
                      </c:pt>
                      <c:pt idx="2798">
                        <c:v>0.46000000000000024</c:v>
                      </c:pt>
                      <c:pt idx="2799">
                        <c:v>0.47000000000000025</c:v>
                      </c:pt>
                      <c:pt idx="2800">
                        <c:v>0.48000000000000026</c:v>
                      </c:pt>
                      <c:pt idx="2801">
                        <c:v>0.49000000000000027</c:v>
                      </c:pt>
                      <c:pt idx="2802">
                        <c:v>0.50000000000000022</c:v>
                      </c:pt>
                      <c:pt idx="2803">
                        <c:v>0.51000000000000023</c:v>
                      </c:pt>
                      <c:pt idx="2804">
                        <c:v>0.52000000000000024</c:v>
                      </c:pt>
                      <c:pt idx="2805">
                        <c:v>0.53000000000000025</c:v>
                      </c:pt>
                      <c:pt idx="2806">
                        <c:v>0.54000000000000026</c:v>
                      </c:pt>
                      <c:pt idx="2807">
                        <c:v>0.55000000000000027</c:v>
                      </c:pt>
                      <c:pt idx="2808">
                        <c:v>0.56000000000000028</c:v>
                      </c:pt>
                      <c:pt idx="2809">
                        <c:v>0.57000000000000028</c:v>
                      </c:pt>
                      <c:pt idx="2810">
                        <c:v>0.58000000000000029</c:v>
                      </c:pt>
                      <c:pt idx="2811">
                        <c:v>0.5900000000000003</c:v>
                      </c:pt>
                      <c:pt idx="2812">
                        <c:v>0.60000000000000031</c:v>
                      </c:pt>
                      <c:pt idx="2813">
                        <c:v>0.61000000000000032</c:v>
                      </c:pt>
                      <c:pt idx="2814">
                        <c:v>0.62000000000000033</c:v>
                      </c:pt>
                      <c:pt idx="2815">
                        <c:v>0.63000000000000034</c:v>
                      </c:pt>
                      <c:pt idx="2816">
                        <c:v>0.64000000000000035</c:v>
                      </c:pt>
                      <c:pt idx="2817">
                        <c:v>0.65000000000000036</c:v>
                      </c:pt>
                      <c:pt idx="2818">
                        <c:v>0.66000000000000036</c:v>
                      </c:pt>
                      <c:pt idx="2819">
                        <c:v>0.67000000000000037</c:v>
                      </c:pt>
                      <c:pt idx="2820">
                        <c:v>0.68000000000000038</c:v>
                      </c:pt>
                      <c:pt idx="2821">
                        <c:v>0.69000000000000039</c:v>
                      </c:pt>
                      <c:pt idx="2822">
                        <c:v>0.7000000000000004</c:v>
                      </c:pt>
                      <c:pt idx="2823">
                        <c:v>0.71000000000000041</c:v>
                      </c:pt>
                      <c:pt idx="2824">
                        <c:v>0.72000000000000042</c:v>
                      </c:pt>
                      <c:pt idx="2825">
                        <c:v>0.73000000000000043</c:v>
                      </c:pt>
                      <c:pt idx="2826">
                        <c:v>0.74000000000000044</c:v>
                      </c:pt>
                      <c:pt idx="2827">
                        <c:v>0.75000000000000044</c:v>
                      </c:pt>
                      <c:pt idx="2828">
                        <c:v>0.76000000000000045</c:v>
                      </c:pt>
                      <c:pt idx="2829">
                        <c:v>0.77000000000000046</c:v>
                      </c:pt>
                      <c:pt idx="2830">
                        <c:v>0.78000000000000047</c:v>
                      </c:pt>
                      <c:pt idx="2831">
                        <c:v>0.79000000000000048</c:v>
                      </c:pt>
                      <c:pt idx="2832">
                        <c:v>0.80000000000000049</c:v>
                      </c:pt>
                      <c:pt idx="2833">
                        <c:v>0.8100000000000005</c:v>
                      </c:pt>
                      <c:pt idx="2834">
                        <c:v>0.82000000000000051</c:v>
                      </c:pt>
                      <c:pt idx="2835">
                        <c:v>0.83000000000000052</c:v>
                      </c:pt>
                      <c:pt idx="2836">
                        <c:v>0.84000000000000052</c:v>
                      </c:pt>
                      <c:pt idx="2838">
                        <c:v>0.16500000000000001</c:v>
                      </c:pt>
                      <c:pt idx="2839">
                        <c:v>0.17500000000000002</c:v>
                      </c:pt>
                      <c:pt idx="2840">
                        <c:v>0.18500000000000003</c:v>
                      </c:pt>
                      <c:pt idx="2841">
                        <c:v>0.19500000000000003</c:v>
                      </c:pt>
                      <c:pt idx="2842">
                        <c:v>0.20500000000000004</c:v>
                      </c:pt>
                      <c:pt idx="2843">
                        <c:v>0.21500000000000005</c:v>
                      </c:pt>
                      <c:pt idx="2844">
                        <c:v>0.22500000000000006</c:v>
                      </c:pt>
                      <c:pt idx="2845">
                        <c:v>0.23500000000000007</c:v>
                      </c:pt>
                      <c:pt idx="2846">
                        <c:v>0.24500000000000008</c:v>
                      </c:pt>
                      <c:pt idx="2847">
                        <c:v>0.25500000000000006</c:v>
                      </c:pt>
                      <c:pt idx="2848">
                        <c:v>0.26500000000000007</c:v>
                      </c:pt>
                      <c:pt idx="2849">
                        <c:v>0.27500000000000008</c:v>
                      </c:pt>
                      <c:pt idx="2850">
                        <c:v>0.28500000000000009</c:v>
                      </c:pt>
                      <c:pt idx="2851">
                        <c:v>0.2950000000000001</c:v>
                      </c:pt>
                      <c:pt idx="2852">
                        <c:v>0.3050000000000001</c:v>
                      </c:pt>
                      <c:pt idx="2853">
                        <c:v>0.31500000000000011</c:v>
                      </c:pt>
                      <c:pt idx="2854">
                        <c:v>0.32500000000000012</c:v>
                      </c:pt>
                      <c:pt idx="2855">
                        <c:v>0.33500000000000013</c:v>
                      </c:pt>
                      <c:pt idx="2856">
                        <c:v>0.34500000000000014</c:v>
                      </c:pt>
                      <c:pt idx="2857">
                        <c:v>0.35500000000000015</c:v>
                      </c:pt>
                      <c:pt idx="2858">
                        <c:v>0.36500000000000016</c:v>
                      </c:pt>
                      <c:pt idx="2859">
                        <c:v>0.37500000000000017</c:v>
                      </c:pt>
                      <c:pt idx="2860">
                        <c:v>0.38500000000000018</c:v>
                      </c:pt>
                      <c:pt idx="2861">
                        <c:v>0.39500000000000018</c:v>
                      </c:pt>
                      <c:pt idx="2862">
                        <c:v>0.40500000000000019</c:v>
                      </c:pt>
                      <c:pt idx="2863">
                        <c:v>0.4150000000000002</c:v>
                      </c:pt>
                      <c:pt idx="2864">
                        <c:v>0.42500000000000021</c:v>
                      </c:pt>
                      <c:pt idx="2865">
                        <c:v>0.43500000000000022</c:v>
                      </c:pt>
                      <c:pt idx="2866">
                        <c:v>0.44500000000000023</c:v>
                      </c:pt>
                      <c:pt idx="2867">
                        <c:v>0.45500000000000024</c:v>
                      </c:pt>
                      <c:pt idx="2868">
                        <c:v>0.46500000000000025</c:v>
                      </c:pt>
                      <c:pt idx="2869">
                        <c:v>0.47500000000000026</c:v>
                      </c:pt>
                      <c:pt idx="2870">
                        <c:v>0.48500000000000026</c:v>
                      </c:pt>
                      <c:pt idx="2871">
                        <c:v>0.49500000000000027</c:v>
                      </c:pt>
                      <c:pt idx="2872">
                        <c:v>0.50500000000000023</c:v>
                      </c:pt>
                      <c:pt idx="2873">
                        <c:v>0.51500000000000024</c:v>
                      </c:pt>
                      <c:pt idx="2874">
                        <c:v>0.52500000000000024</c:v>
                      </c:pt>
                      <c:pt idx="2875">
                        <c:v>0.53500000000000025</c:v>
                      </c:pt>
                      <c:pt idx="2876">
                        <c:v>0.54500000000000026</c:v>
                      </c:pt>
                      <c:pt idx="2877">
                        <c:v>0.55500000000000027</c:v>
                      </c:pt>
                      <c:pt idx="2878">
                        <c:v>0.56500000000000028</c:v>
                      </c:pt>
                      <c:pt idx="2879">
                        <c:v>0.57500000000000029</c:v>
                      </c:pt>
                      <c:pt idx="2880">
                        <c:v>0.5850000000000003</c:v>
                      </c:pt>
                      <c:pt idx="2881">
                        <c:v>0.59500000000000031</c:v>
                      </c:pt>
                      <c:pt idx="2882">
                        <c:v>0.60500000000000032</c:v>
                      </c:pt>
                      <c:pt idx="2883">
                        <c:v>0.61500000000000032</c:v>
                      </c:pt>
                      <c:pt idx="2884">
                        <c:v>0.62500000000000033</c:v>
                      </c:pt>
                      <c:pt idx="2885">
                        <c:v>0.63500000000000034</c:v>
                      </c:pt>
                      <c:pt idx="2886">
                        <c:v>0.64500000000000035</c:v>
                      </c:pt>
                      <c:pt idx="2887">
                        <c:v>0.65500000000000036</c:v>
                      </c:pt>
                      <c:pt idx="2888">
                        <c:v>0.66500000000000037</c:v>
                      </c:pt>
                      <c:pt idx="2889">
                        <c:v>0.67500000000000038</c:v>
                      </c:pt>
                      <c:pt idx="2890">
                        <c:v>0.68500000000000039</c:v>
                      </c:pt>
                      <c:pt idx="2891">
                        <c:v>0.6950000000000004</c:v>
                      </c:pt>
                      <c:pt idx="2892">
                        <c:v>0.7050000000000004</c:v>
                      </c:pt>
                      <c:pt idx="2893">
                        <c:v>0.71500000000000041</c:v>
                      </c:pt>
                      <c:pt idx="2894">
                        <c:v>0.72500000000000042</c:v>
                      </c:pt>
                      <c:pt idx="2895">
                        <c:v>0.73500000000000043</c:v>
                      </c:pt>
                      <c:pt idx="2896">
                        <c:v>0.74500000000000044</c:v>
                      </c:pt>
                      <c:pt idx="2897">
                        <c:v>0.75500000000000045</c:v>
                      </c:pt>
                      <c:pt idx="2898">
                        <c:v>0.76500000000000046</c:v>
                      </c:pt>
                      <c:pt idx="2899">
                        <c:v>0.77500000000000047</c:v>
                      </c:pt>
                      <c:pt idx="2900">
                        <c:v>0.78500000000000048</c:v>
                      </c:pt>
                      <c:pt idx="2901">
                        <c:v>0.79500000000000048</c:v>
                      </c:pt>
                      <c:pt idx="2902">
                        <c:v>0.80500000000000049</c:v>
                      </c:pt>
                      <c:pt idx="2903">
                        <c:v>0.8150000000000005</c:v>
                      </c:pt>
                      <c:pt idx="2904">
                        <c:v>0.82500000000000051</c:v>
                      </c:pt>
                      <c:pt idx="2905">
                        <c:v>0.83500000000000052</c:v>
                      </c:pt>
                      <c:pt idx="2907">
                        <c:v>0.17</c:v>
                      </c:pt>
                      <c:pt idx="2908">
                        <c:v>0.18000000000000002</c:v>
                      </c:pt>
                      <c:pt idx="2909">
                        <c:v>0.19000000000000003</c:v>
                      </c:pt>
                      <c:pt idx="2910">
                        <c:v>0.20000000000000004</c:v>
                      </c:pt>
                      <c:pt idx="2911">
                        <c:v>0.21000000000000005</c:v>
                      </c:pt>
                      <c:pt idx="2912">
                        <c:v>0.22000000000000006</c:v>
                      </c:pt>
                      <c:pt idx="2913">
                        <c:v>0.23000000000000007</c:v>
                      </c:pt>
                      <c:pt idx="2914">
                        <c:v>0.24000000000000007</c:v>
                      </c:pt>
                      <c:pt idx="2915">
                        <c:v>0.25000000000000006</c:v>
                      </c:pt>
                      <c:pt idx="2916">
                        <c:v>0.26000000000000006</c:v>
                      </c:pt>
                      <c:pt idx="2917">
                        <c:v>0.27000000000000007</c:v>
                      </c:pt>
                      <c:pt idx="2918">
                        <c:v>0.28000000000000008</c:v>
                      </c:pt>
                      <c:pt idx="2919">
                        <c:v>0.29000000000000009</c:v>
                      </c:pt>
                      <c:pt idx="2920">
                        <c:v>0.3000000000000001</c:v>
                      </c:pt>
                      <c:pt idx="2921">
                        <c:v>0.31000000000000011</c:v>
                      </c:pt>
                      <c:pt idx="2922">
                        <c:v>0.32000000000000012</c:v>
                      </c:pt>
                      <c:pt idx="2923">
                        <c:v>0.33000000000000013</c:v>
                      </c:pt>
                      <c:pt idx="2924">
                        <c:v>0.34000000000000014</c:v>
                      </c:pt>
                      <c:pt idx="2925">
                        <c:v>0.35000000000000014</c:v>
                      </c:pt>
                      <c:pt idx="2926">
                        <c:v>0.36000000000000015</c:v>
                      </c:pt>
                      <c:pt idx="2927">
                        <c:v>0.37000000000000016</c:v>
                      </c:pt>
                      <c:pt idx="2928">
                        <c:v>0.38000000000000017</c:v>
                      </c:pt>
                      <c:pt idx="2929">
                        <c:v>0.39000000000000018</c:v>
                      </c:pt>
                      <c:pt idx="2930">
                        <c:v>0.40000000000000019</c:v>
                      </c:pt>
                      <c:pt idx="2931">
                        <c:v>0.4100000000000002</c:v>
                      </c:pt>
                      <c:pt idx="2932">
                        <c:v>0.42000000000000021</c:v>
                      </c:pt>
                      <c:pt idx="2933">
                        <c:v>0.43000000000000022</c:v>
                      </c:pt>
                      <c:pt idx="2934">
                        <c:v>0.44000000000000022</c:v>
                      </c:pt>
                      <c:pt idx="2935">
                        <c:v>0.45000000000000023</c:v>
                      </c:pt>
                      <c:pt idx="2936">
                        <c:v>0.46000000000000024</c:v>
                      </c:pt>
                      <c:pt idx="2937">
                        <c:v>0.47000000000000025</c:v>
                      </c:pt>
                      <c:pt idx="2938">
                        <c:v>0.48000000000000026</c:v>
                      </c:pt>
                      <c:pt idx="2939">
                        <c:v>0.49000000000000027</c:v>
                      </c:pt>
                      <c:pt idx="2940">
                        <c:v>0.50000000000000022</c:v>
                      </c:pt>
                      <c:pt idx="2941">
                        <c:v>0.51000000000000023</c:v>
                      </c:pt>
                      <c:pt idx="2942">
                        <c:v>0.52000000000000024</c:v>
                      </c:pt>
                      <c:pt idx="2943">
                        <c:v>0.53000000000000025</c:v>
                      </c:pt>
                      <c:pt idx="2944">
                        <c:v>0.54000000000000026</c:v>
                      </c:pt>
                      <c:pt idx="2945">
                        <c:v>0.55000000000000027</c:v>
                      </c:pt>
                      <c:pt idx="2946">
                        <c:v>0.56000000000000028</c:v>
                      </c:pt>
                      <c:pt idx="2947">
                        <c:v>0.57000000000000028</c:v>
                      </c:pt>
                      <c:pt idx="2948">
                        <c:v>0.58000000000000029</c:v>
                      </c:pt>
                      <c:pt idx="2949">
                        <c:v>0.5900000000000003</c:v>
                      </c:pt>
                      <c:pt idx="2950">
                        <c:v>0.60000000000000031</c:v>
                      </c:pt>
                      <c:pt idx="2951">
                        <c:v>0.61000000000000032</c:v>
                      </c:pt>
                      <c:pt idx="2952">
                        <c:v>0.62000000000000033</c:v>
                      </c:pt>
                      <c:pt idx="2953">
                        <c:v>0.63000000000000034</c:v>
                      </c:pt>
                      <c:pt idx="2954">
                        <c:v>0.64000000000000035</c:v>
                      </c:pt>
                      <c:pt idx="2955">
                        <c:v>0.65000000000000036</c:v>
                      </c:pt>
                      <c:pt idx="2956">
                        <c:v>0.66000000000000036</c:v>
                      </c:pt>
                      <c:pt idx="2957">
                        <c:v>0.67000000000000037</c:v>
                      </c:pt>
                      <c:pt idx="2958">
                        <c:v>0.68000000000000038</c:v>
                      </c:pt>
                      <c:pt idx="2959">
                        <c:v>0.69000000000000039</c:v>
                      </c:pt>
                      <c:pt idx="2960">
                        <c:v>0.7000000000000004</c:v>
                      </c:pt>
                      <c:pt idx="2961">
                        <c:v>0.71000000000000041</c:v>
                      </c:pt>
                      <c:pt idx="2962">
                        <c:v>0.72000000000000042</c:v>
                      </c:pt>
                      <c:pt idx="2963">
                        <c:v>0.73000000000000043</c:v>
                      </c:pt>
                      <c:pt idx="2964">
                        <c:v>0.74000000000000044</c:v>
                      </c:pt>
                      <c:pt idx="2965">
                        <c:v>0.75000000000000044</c:v>
                      </c:pt>
                      <c:pt idx="2966">
                        <c:v>0.76000000000000045</c:v>
                      </c:pt>
                      <c:pt idx="2967">
                        <c:v>0.77000000000000046</c:v>
                      </c:pt>
                      <c:pt idx="2968">
                        <c:v>0.78000000000000047</c:v>
                      </c:pt>
                      <c:pt idx="2969">
                        <c:v>0.79000000000000048</c:v>
                      </c:pt>
                      <c:pt idx="2970">
                        <c:v>0.80000000000000049</c:v>
                      </c:pt>
                      <c:pt idx="2971">
                        <c:v>0.8100000000000005</c:v>
                      </c:pt>
                      <c:pt idx="2972">
                        <c:v>0.82000000000000051</c:v>
                      </c:pt>
                      <c:pt idx="2973">
                        <c:v>0.83000000000000052</c:v>
                      </c:pt>
                      <c:pt idx="2975">
                        <c:v>0.17500000000000002</c:v>
                      </c:pt>
                      <c:pt idx="2976">
                        <c:v>0.18500000000000003</c:v>
                      </c:pt>
                      <c:pt idx="2977">
                        <c:v>0.19500000000000003</c:v>
                      </c:pt>
                      <c:pt idx="2978">
                        <c:v>0.20500000000000004</c:v>
                      </c:pt>
                      <c:pt idx="2979">
                        <c:v>0.21500000000000005</c:v>
                      </c:pt>
                      <c:pt idx="2980">
                        <c:v>0.22500000000000006</c:v>
                      </c:pt>
                      <c:pt idx="2981">
                        <c:v>0.23500000000000007</c:v>
                      </c:pt>
                      <c:pt idx="2982">
                        <c:v>0.24500000000000008</c:v>
                      </c:pt>
                      <c:pt idx="2983">
                        <c:v>0.25500000000000006</c:v>
                      </c:pt>
                      <c:pt idx="2984">
                        <c:v>0.26500000000000007</c:v>
                      </c:pt>
                      <c:pt idx="2985">
                        <c:v>0.27500000000000008</c:v>
                      </c:pt>
                      <c:pt idx="2986">
                        <c:v>0.28500000000000009</c:v>
                      </c:pt>
                      <c:pt idx="2987">
                        <c:v>0.2950000000000001</c:v>
                      </c:pt>
                      <c:pt idx="2988">
                        <c:v>0.3050000000000001</c:v>
                      </c:pt>
                      <c:pt idx="2989">
                        <c:v>0.31500000000000011</c:v>
                      </c:pt>
                      <c:pt idx="2990">
                        <c:v>0.32500000000000012</c:v>
                      </c:pt>
                      <c:pt idx="2991">
                        <c:v>0.33500000000000013</c:v>
                      </c:pt>
                      <c:pt idx="2992">
                        <c:v>0.34500000000000014</c:v>
                      </c:pt>
                      <c:pt idx="2993">
                        <c:v>0.35500000000000015</c:v>
                      </c:pt>
                      <c:pt idx="2994">
                        <c:v>0.36500000000000016</c:v>
                      </c:pt>
                      <c:pt idx="2995">
                        <c:v>0.37500000000000017</c:v>
                      </c:pt>
                      <c:pt idx="2996">
                        <c:v>0.38500000000000018</c:v>
                      </c:pt>
                      <c:pt idx="2997">
                        <c:v>0.39500000000000018</c:v>
                      </c:pt>
                      <c:pt idx="2998">
                        <c:v>0.40500000000000019</c:v>
                      </c:pt>
                      <c:pt idx="2999">
                        <c:v>0.4150000000000002</c:v>
                      </c:pt>
                      <c:pt idx="3000">
                        <c:v>0.42500000000000021</c:v>
                      </c:pt>
                      <c:pt idx="3001">
                        <c:v>0.43500000000000022</c:v>
                      </c:pt>
                      <c:pt idx="3002">
                        <c:v>0.44500000000000023</c:v>
                      </c:pt>
                      <c:pt idx="3003">
                        <c:v>0.45500000000000024</c:v>
                      </c:pt>
                      <c:pt idx="3004">
                        <c:v>0.46500000000000025</c:v>
                      </c:pt>
                      <c:pt idx="3005">
                        <c:v>0.47500000000000026</c:v>
                      </c:pt>
                      <c:pt idx="3006">
                        <c:v>0.48500000000000026</c:v>
                      </c:pt>
                      <c:pt idx="3007">
                        <c:v>0.49500000000000027</c:v>
                      </c:pt>
                      <c:pt idx="3008">
                        <c:v>0.50500000000000023</c:v>
                      </c:pt>
                      <c:pt idx="3009">
                        <c:v>0.51500000000000024</c:v>
                      </c:pt>
                      <c:pt idx="3010">
                        <c:v>0.52500000000000024</c:v>
                      </c:pt>
                      <c:pt idx="3011">
                        <c:v>0.53500000000000025</c:v>
                      </c:pt>
                      <c:pt idx="3012">
                        <c:v>0.54500000000000026</c:v>
                      </c:pt>
                      <c:pt idx="3013">
                        <c:v>0.55500000000000027</c:v>
                      </c:pt>
                      <c:pt idx="3014">
                        <c:v>0.56500000000000028</c:v>
                      </c:pt>
                      <c:pt idx="3015">
                        <c:v>0.57500000000000029</c:v>
                      </c:pt>
                      <c:pt idx="3016">
                        <c:v>0.5850000000000003</c:v>
                      </c:pt>
                      <c:pt idx="3017">
                        <c:v>0.59500000000000031</c:v>
                      </c:pt>
                      <c:pt idx="3018">
                        <c:v>0.60500000000000032</c:v>
                      </c:pt>
                      <c:pt idx="3019">
                        <c:v>0.61500000000000032</c:v>
                      </c:pt>
                      <c:pt idx="3020">
                        <c:v>0.62500000000000033</c:v>
                      </c:pt>
                      <c:pt idx="3021">
                        <c:v>0.63500000000000034</c:v>
                      </c:pt>
                      <c:pt idx="3022">
                        <c:v>0.64500000000000035</c:v>
                      </c:pt>
                      <c:pt idx="3023">
                        <c:v>0.65500000000000036</c:v>
                      </c:pt>
                      <c:pt idx="3024">
                        <c:v>0.66500000000000037</c:v>
                      </c:pt>
                      <c:pt idx="3025">
                        <c:v>0.67500000000000038</c:v>
                      </c:pt>
                      <c:pt idx="3026">
                        <c:v>0.68500000000000039</c:v>
                      </c:pt>
                      <c:pt idx="3027">
                        <c:v>0.6950000000000004</c:v>
                      </c:pt>
                      <c:pt idx="3028">
                        <c:v>0.7050000000000004</c:v>
                      </c:pt>
                      <c:pt idx="3029">
                        <c:v>0.71500000000000041</c:v>
                      </c:pt>
                      <c:pt idx="3030">
                        <c:v>0.72500000000000042</c:v>
                      </c:pt>
                      <c:pt idx="3031">
                        <c:v>0.73500000000000043</c:v>
                      </c:pt>
                      <c:pt idx="3032">
                        <c:v>0.74500000000000044</c:v>
                      </c:pt>
                      <c:pt idx="3033">
                        <c:v>0.75500000000000045</c:v>
                      </c:pt>
                      <c:pt idx="3034">
                        <c:v>0.76500000000000046</c:v>
                      </c:pt>
                      <c:pt idx="3035">
                        <c:v>0.77500000000000047</c:v>
                      </c:pt>
                      <c:pt idx="3036">
                        <c:v>0.78500000000000048</c:v>
                      </c:pt>
                      <c:pt idx="3037">
                        <c:v>0.79500000000000048</c:v>
                      </c:pt>
                      <c:pt idx="3038">
                        <c:v>0.80500000000000049</c:v>
                      </c:pt>
                      <c:pt idx="3039">
                        <c:v>0.8150000000000005</c:v>
                      </c:pt>
                      <c:pt idx="3040">
                        <c:v>0.82500000000000051</c:v>
                      </c:pt>
                      <c:pt idx="3042">
                        <c:v>0.18000000000000002</c:v>
                      </c:pt>
                      <c:pt idx="3043">
                        <c:v>0.19000000000000003</c:v>
                      </c:pt>
                      <c:pt idx="3044">
                        <c:v>0.20000000000000004</c:v>
                      </c:pt>
                      <c:pt idx="3045">
                        <c:v>0.21000000000000005</c:v>
                      </c:pt>
                      <c:pt idx="3046">
                        <c:v>0.22000000000000006</c:v>
                      </c:pt>
                      <c:pt idx="3047">
                        <c:v>0.23000000000000007</c:v>
                      </c:pt>
                      <c:pt idx="3048">
                        <c:v>0.24000000000000007</c:v>
                      </c:pt>
                      <c:pt idx="3049">
                        <c:v>0.25000000000000006</c:v>
                      </c:pt>
                      <c:pt idx="3050">
                        <c:v>0.26000000000000006</c:v>
                      </c:pt>
                      <c:pt idx="3051">
                        <c:v>0.27000000000000007</c:v>
                      </c:pt>
                      <c:pt idx="3052">
                        <c:v>0.28000000000000008</c:v>
                      </c:pt>
                      <c:pt idx="3053">
                        <c:v>0.29000000000000009</c:v>
                      </c:pt>
                      <c:pt idx="3054">
                        <c:v>0.3000000000000001</c:v>
                      </c:pt>
                      <c:pt idx="3055">
                        <c:v>0.31000000000000011</c:v>
                      </c:pt>
                      <c:pt idx="3056">
                        <c:v>0.32000000000000012</c:v>
                      </c:pt>
                      <c:pt idx="3057">
                        <c:v>0.33000000000000013</c:v>
                      </c:pt>
                      <c:pt idx="3058">
                        <c:v>0.34000000000000014</c:v>
                      </c:pt>
                      <c:pt idx="3059">
                        <c:v>0.35000000000000014</c:v>
                      </c:pt>
                      <c:pt idx="3060">
                        <c:v>0.36000000000000015</c:v>
                      </c:pt>
                      <c:pt idx="3061">
                        <c:v>0.37000000000000016</c:v>
                      </c:pt>
                      <c:pt idx="3062">
                        <c:v>0.38000000000000017</c:v>
                      </c:pt>
                      <c:pt idx="3063">
                        <c:v>0.39000000000000018</c:v>
                      </c:pt>
                      <c:pt idx="3064">
                        <c:v>0.40000000000000019</c:v>
                      </c:pt>
                      <c:pt idx="3065">
                        <c:v>0.4100000000000002</c:v>
                      </c:pt>
                      <c:pt idx="3066">
                        <c:v>0.42000000000000021</c:v>
                      </c:pt>
                      <c:pt idx="3067">
                        <c:v>0.43000000000000022</c:v>
                      </c:pt>
                      <c:pt idx="3068">
                        <c:v>0.44000000000000022</c:v>
                      </c:pt>
                      <c:pt idx="3069">
                        <c:v>0.45000000000000023</c:v>
                      </c:pt>
                      <c:pt idx="3070">
                        <c:v>0.46000000000000024</c:v>
                      </c:pt>
                      <c:pt idx="3071">
                        <c:v>0.47000000000000025</c:v>
                      </c:pt>
                      <c:pt idx="3072">
                        <c:v>0.48000000000000026</c:v>
                      </c:pt>
                      <c:pt idx="3073">
                        <c:v>0.49000000000000027</c:v>
                      </c:pt>
                      <c:pt idx="3074">
                        <c:v>0.50000000000000022</c:v>
                      </c:pt>
                      <c:pt idx="3075">
                        <c:v>0.51000000000000023</c:v>
                      </c:pt>
                      <c:pt idx="3076">
                        <c:v>0.52000000000000024</c:v>
                      </c:pt>
                      <c:pt idx="3077">
                        <c:v>0.53000000000000025</c:v>
                      </c:pt>
                      <c:pt idx="3078">
                        <c:v>0.54000000000000026</c:v>
                      </c:pt>
                      <c:pt idx="3079">
                        <c:v>0.55000000000000027</c:v>
                      </c:pt>
                      <c:pt idx="3080">
                        <c:v>0.56000000000000028</c:v>
                      </c:pt>
                      <c:pt idx="3081">
                        <c:v>0.57000000000000028</c:v>
                      </c:pt>
                      <c:pt idx="3082">
                        <c:v>0.58000000000000029</c:v>
                      </c:pt>
                      <c:pt idx="3083">
                        <c:v>0.5900000000000003</c:v>
                      </c:pt>
                      <c:pt idx="3084">
                        <c:v>0.60000000000000031</c:v>
                      </c:pt>
                      <c:pt idx="3085">
                        <c:v>0.61000000000000032</c:v>
                      </c:pt>
                      <c:pt idx="3086">
                        <c:v>0.62000000000000033</c:v>
                      </c:pt>
                      <c:pt idx="3087">
                        <c:v>0.63000000000000034</c:v>
                      </c:pt>
                      <c:pt idx="3088">
                        <c:v>0.64000000000000035</c:v>
                      </c:pt>
                      <c:pt idx="3089">
                        <c:v>0.65000000000000036</c:v>
                      </c:pt>
                      <c:pt idx="3090">
                        <c:v>0.66000000000000036</c:v>
                      </c:pt>
                      <c:pt idx="3091">
                        <c:v>0.67000000000000037</c:v>
                      </c:pt>
                      <c:pt idx="3092">
                        <c:v>0.68000000000000038</c:v>
                      </c:pt>
                      <c:pt idx="3093">
                        <c:v>0.69000000000000039</c:v>
                      </c:pt>
                      <c:pt idx="3094">
                        <c:v>0.7000000000000004</c:v>
                      </c:pt>
                      <c:pt idx="3095">
                        <c:v>0.71000000000000041</c:v>
                      </c:pt>
                      <c:pt idx="3096">
                        <c:v>0.72000000000000042</c:v>
                      </c:pt>
                      <c:pt idx="3097">
                        <c:v>0.73000000000000043</c:v>
                      </c:pt>
                      <c:pt idx="3098">
                        <c:v>0.74000000000000044</c:v>
                      </c:pt>
                      <c:pt idx="3099">
                        <c:v>0.75000000000000044</c:v>
                      </c:pt>
                      <c:pt idx="3100">
                        <c:v>0.76000000000000045</c:v>
                      </c:pt>
                      <c:pt idx="3101">
                        <c:v>0.77000000000000046</c:v>
                      </c:pt>
                      <c:pt idx="3102">
                        <c:v>0.78000000000000047</c:v>
                      </c:pt>
                      <c:pt idx="3103">
                        <c:v>0.79000000000000048</c:v>
                      </c:pt>
                      <c:pt idx="3104">
                        <c:v>0.80000000000000049</c:v>
                      </c:pt>
                      <c:pt idx="3105">
                        <c:v>0.8100000000000005</c:v>
                      </c:pt>
                      <c:pt idx="3106">
                        <c:v>0.82000000000000051</c:v>
                      </c:pt>
                      <c:pt idx="3108">
                        <c:v>0.18500000000000003</c:v>
                      </c:pt>
                      <c:pt idx="3109">
                        <c:v>0.19500000000000003</c:v>
                      </c:pt>
                      <c:pt idx="3110">
                        <c:v>0.20500000000000004</c:v>
                      </c:pt>
                      <c:pt idx="3111">
                        <c:v>0.21500000000000005</c:v>
                      </c:pt>
                      <c:pt idx="3112">
                        <c:v>0.22500000000000006</c:v>
                      </c:pt>
                      <c:pt idx="3113">
                        <c:v>0.23500000000000007</c:v>
                      </c:pt>
                      <c:pt idx="3114">
                        <c:v>0.24500000000000008</c:v>
                      </c:pt>
                      <c:pt idx="3115">
                        <c:v>0.25500000000000006</c:v>
                      </c:pt>
                      <c:pt idx="3116">
                        <c:v>0.26500000000000007</c:v>
                      </c:pt>
                      <c:pt idx="3117">
                        <c:v>0.27500000000000008</c:v>
                      </c:pt>
                      <c:pt idx="3118">
                        <c:v>0.28500000000000009</c:v>
                      </c:pt>
                      <c:pt idx="3119">
                        <c:v>0.2950000000000001</c:v>
                      </c:pt>
                      <c:pt idx="3120">
                        <c:v>0.3050000000000001</c:v>
                      </c:pt>
                      <c:pt idx="3121">
                        <c:v>0.31500000000000011</c:v>
                      </c:pt>
                      <c:pt idx="3122">
                        <c:v>0.32500000000000012</c:v>
                      </c:pt>
                      <c:pt idx="3123">
                        <c:v>0.33500000000000013</c:v>
                      </c:pt>
                      <c:pt idx="3124">
                        <c:v>0.34500000000000014</c:v>
                      </c:pt>
                      <c:pt idx="3125">
                        <c:v>0.35500000000000015</c:v>
                      </c:pt>
                      <c:pt idx="3126">
                        <c:v>0.36500000000000016</c:v>
                      </c:pt>
                      <c:pt idx="3127">
                        <c:v>0.37500000000000017</c:v>
                      </c:pt>
                      <c:pt idx="3128">
                        <c:v>0.38500000000000018</c:v>
                      </c:pt>
                      <c:pt idx="3129">
                        <c:v>0.39500000000000018</c:v>
                      </c:pt>
                      <c:pt idx="3130">
                        <c:v>0.40500000000000019</c:v>
                      </c:pt>
                      <c:pt idx="3131">
                        <c:v>0.4150000000000002</c:v>
                      </c:pt>
                      <c:pt idx="3132">
                        <c:v>0.42500000000000021</c:v>
                      </c:pt>
                      <c:pt idx="3133">
                        <c:v>0.43500000000000022</c:v>
                      </c:pt>
                      <c:pt idx="3134">
                        <c:v>0.44500000000000023</c:v>
                      </c:pt>
                      <c:pt idx="3135">
                        <c:v>0.45500000000000024</c:v>
                      </c:pt>
                      <c:pt idx="3136">
                        <c:v>0.46500000000000025</c:v>
                      </c:pt>
                      <c:pt idx="3137">
                        <c:v>0.47500000000000026</c:v>
                      </c:pt>
                      <c:pt idx="3138">
                        <c:v>0.48500000000000026</c:v>
                      </c:pt>
                      <c:pt idx="3139">
                        <c:v>0.49500000000000027</c:v>
                      </c:pt>
                      <c:pt idx="3140">
                        <c:v>0.50500000000000023</c:v>
                      </c:pt>
                      <c:pt idx="3141">
                        <c:v>0.51500000000000024</c:v>
                      </c:pt>
                      <c:pt idx="3142">
                        <c:v>0.52500000000000024</c:v>
                      </c:pt>
                      <c:pt idx="3143">
                        <c:v>0.53500000000000025</c:v>
                      </c:pt>
                      <c:pt idx="3144">
                        <c:v>0.54500000000000026</c:v>
                      </c:pt>
                      <c:pt idx="3145">
                        <c:v>0.55500000000000027</c:v>
                      </c:pt>
                      <c:pt idx="3146">
                        <c:v>0.56500000000000028</c:v>
                      </c:pt>
                      <c:pt idx="3147">
                        <c:v>0.57500000000000029</c:v>
                      </c:pt>
                      <c:pt idx="3148">
                        <c:v>0.5850000000000003</c:v>
                      </c:pt>
                      <c:pt idx="3149">
                        <c:v>0.59500000000000031</c:v>
                      </c:pt>
                      <c:pt idx="3150">
                        <c:v>0.60500000000000032</c:v>
                      </c:pt>
                      <c:pt idx="3151">
                        <c:v>0.61500000000000032</c:v>
                      </c:pt>
                      <c:pt idx="3152">
                        <c:v>0.62500000000000033</c:v>
                      </c:pt>
                      <c:pt idx="3153">
                        <c:v>0.63500000000000034</c:v>
                      </c:pt>
                      <c:pt idx="3154">
                        <c:v>0.64500000000000035</c:v>
                      </c:pt>
                      <c:pt idx="3155">
                        <c:v>0.65500000000000036</c:v>
                      </c:pt>
                      <c:pt idx="3156">
                        <c:v>0.66500000000000037</c:v>
                      </c:pt>
                      <c:pt idx="3157">
                        <c:v>0.67500000000000038</c:v>
                      </c:pt>
                      <c:pt idx="3158">
                        <c:v>0.68500000000000039</c:v>
                      </c:pt>
                      <c:pt idx="3159">
                        <c:v>0.6950000000000004</c:v>
                      </c:pt>
                      <c:pt idx="3160">
                        <c:v>0.7050000000000004</c:v>
                      </c:pt>
                      <c:pt idx="3161">
                        <c:v>0.71500000000000041</c:v>
                      </c:pt>
                      <c:pt idx="3162">
                        <c:v>0.72500000000000042</c:v>
                      </c:pt>
                      <c:pt idx="3163">
                        <c:v>0.73500000000000043</c:v>
                      </c:pt>
                      <c:pt idx="3164">
                        <c:v>0.74500000000000044</c:v>
                      </c:pt>
                      <c:pt idx="3165">
                        <c:v>0.75500000000000045</c:v>
                      </c:pt>
                      <c:pt idx="3166">
                        <c:v>0.76500000000000046</c:v>
                      </c:pt>
                      <c:pt idx="3167">
                        <c:v>0.77500000000000047</c:v>
                      </c:pt>
                      <c:pt idx="3168">
                        <c:v>0.78500000000000048</c:v>
                      </c:pt>
                      <c:pt idx="3169">
                        <c:v>0.79500000000000048</c:v>
                      </c:pt>
                      <c:pt idx="3170">
                        <c:v>0.80500000000000049</c:v>
                      </c:pt>
                      <c:pt idx="3171">
                        <c:v>0.8150000000000005</c:v>
                      </c:pt>
                      <c:pt idx="3173">
                        <c:v>0.19000000000000003</c:v>
                      </c:pt>
                      <c:pt idx="3174">
                        <c:v>0.20000000000000004</c:v>
                      </c:pt>
                      <c:pt idx="3175">
                        <c:v>0.21000000000000005</c:v>
                      </c:pt>
                      <c:pt idx="3176">
                        <c:v>0.22000000000000006</c:v>
                      </c:pt>
                      <c:pt idx="3177">
                        <c:v>0.23000000000000007</c:v>
                      </c:pt>
                      <c:pt idx="3178">
                        <c:v>0.24000000000000007</c:v>
                      </c:pt>
                      <c:pt idx="3179">
                        <c:v>0.25000000000000006</c:v>
                      </c:pt>
                      <c:pt idx="3180">
                        <c:v>0.26000000000000006</c:v>
                      </c:pt>
                      <c:pt idx="3181">
                        <c:v>0.27000000000000007</c:v>
                      </c:pt>
                      <c:pt idx="3182">
                        <c:v>0.28000000000000008</c:v>
                      </c:pt>
                      <c:pt idx="3183">
                        <c:v>0.29000000000000009</c:v>
                      </c:pt>
                      <c:pt idx="3184">
                        <c:v>0.3000000000000001</c:v>
                      </c:pt>
                      <c:pt idx="3185">
                        <c:v>0.31000000000000011</c:v>
                      </c:pt>
                      <c:pt idx="3186">
                        <c:v>0.32000000000000012</c:v>
                      </c:pt>
                      <c:pt idx="3187">
                        <c:v>0.33000000000000013</c:v>
                      </c:pt>
                      <c:pt idx="3188">
                        <c:v>0.34000000000000014</c:v>
                      </c:pt>
                      <c:pt idx="3189">
                        <c:v>0.35000000000000014</c:v>
                      </c:pt>
                      <c:pt idx="3190">
                        <c:v>0.36000000000000015</c:v>
                      </c:pt>
                      <c:pt idx="3191">
                        <c:v>0.37000000000000016</c:v>
                      </c:pt>
                      <c:pt idx="3192">
                        <c:v>0.38000000000000017</c:v>
                      </c:pt>
                      <c:pt idx="3193">
                        <c:v>0.39000000000000018</c:v>
                      </c:pt>
                      <c:pt idx="3194">
                        <c:v>0.40000000000000019</c:v>
                      </c:pt>
                      <c:pt idx="3195">
                        <c:v>0.4100000000000002</c:v>
                      </c:pt>
                      <c:pt idx="3196">
                        <c:v>0.42000000000000021</c:v>
                      </c:pt>
                      <c:pt idx="3197">
                        <c:v>0.43000000000000022</c:v>
                      </c:pt>
                      <c:pt idx="3198">
                        <c:v>0.44000000000000022</c:v>
                      </c:pt>
                      <c:pt idx="3199">
                        <c:v>0.45000000000000023</c:v>
                      </c:pt>
                      <c:pt idx="3200">
                        <c:v>0.46000000000000024</c:v>
                      </c:pt>
                      <c:pt idx="3201">
                        <c:v>0.47000000000000025</c:v>
                      </c:pt>
                      <c:pt idx="3202">
                        <c:v>0.48000000000000026</c:v>
                      </c:pt>
                      <c:pt idx="3203">
                        <c:v>0.49000000000000027</c:v>
                      </c:pt>
                      <c:pt idx="3204">
                        <c:v>0.50000000000000022</c:v>
                      </c:pt>
                      <c:pt idx="3205">
                        <c:v>0.51000000000000023</c:v>
                      </c:pt>
                      <c:pt idx="3206">
                        <c:v>0.52000000000000024</c:v>
                      </c:pt>
                      <c:pt idx="3207">
                        <c:v>0.53000000000000025</c:v>
                      </c:pt>
                      <c:pt idx="3208">
                        <c:v>0.54000000000000026</c:v>
                      </c:pt>
                      <c:pt idx="3209">
                        <c:v>0.55000000000000027</c:v>
                      </c:pt>
                      <c:pt idx="3210">
                        <c:v>0.56000000000000028</c:v>
                      </c:pt>
                      <c:pt idx="3211">
                        <c:v>0.57000000000000028</c:v>
                      </c:pt>
                      <c:pt idx="3212">
                        <c:v>0.58000000000000029</c:v>
                      </c:pt>
                      <c:pt idx="3213">
                        <c:v>0.5900000000000003</c:v>
                      </c:pt>
                      <c:pt idx="3214">
                        <c:v>0.60000000000000031</c:v>
                      </c:pt>
                      <c:pt idx="3215">
                        <c:v>0.61000000000000032</c:v>
                      </c:pt>
                      <c:pt idx="3216">
                        <c:v>0.62000000000000033</c:v>
                      </c:pt>
                      <c:pt idx="3217">
                        <c:v>0.63000000000000034</c:v>
                      </c:pt>
                      <c:pt idx="3218">
                        <c:v>0.64000000000000035</c:v>
                      </c:pt>
                      <c:pt idx="3219">
                        <c:v>0.65000000000000036</c:v>
                      </c:pt>
                      <c:pt idx="3220">
                        <c:v>0.66000000000000036</c:v>
                      </c:pt>
                      <c:pt idx="3221">
                        <c:v>0.67000000000000037</c:v>
                      </c:pt>
                      <c:pt idx="3222">
                        <c:v>0.68000000000000038</c:v>
                      </c:pt>
                      <c:pt idx="3223">
                        <c:v>0.69000000000000039</c:v>
                      </c:pt>
                      <c:pt idx="3224">
                        <c:v>0.7000000000000004</c:v>
                      </c:pt>
                      <c:pt idx="3225">
                        <c:v>0.71000000000000041</c:v>
                      </c:pt>
                      <c:pt idx="3226">
                        <c:v>0.72000000000000042</c:v>
                      </c:pt>
                      <c:pt idx="3227">
                        <c:v>0.73000000000000043</c:v>
                      </c:pt>
                      <c:pt idx="3228">
                        <c:v>0.74000000000000044</c:v>
                      </c:pt>
                      <c:pt idx="3229">
                        <c:v>0.75000000000000044</c:v>
                      </c:pt>
                      <c:pt idx="3230">
                        <c:v>0.76000000000000045</c:v>
                      </c:pt>
                      <c:pt idx="3231">
                        <c:v>0.77000000000000046</c:v>
                      </c:pt>
                      <c:pt idx="3232">
                        <c:v>0.78000000000000047</c:v>
                      </c:pt>
                      <c:pt idx="3233">
                        <c:v>0.79000000000000048</c:v>
                      </c:pt>
                      <c:pt idx="3234">
                        <c:v>0.80000000000000049</c:v>
                      </c:pt>
                      <c:pt idx="3235">
                        <c:v>0.8100000000000005</c:v>
                      </c:pt>
                      <c:pt idx="3237">
                        <c:v>0.19500000000000003</c:v>
                      </c:pt>
                      <c:pt idx="3238">
                        <c:v>0.20500000000000004</c:v>
                      </c:pt>
                      <c:pt idx="3239">
                        <c:v>0.21500000000000005</c:v>
                      </c:pt>
                      <c:pt idx="3240">
                        <c:v>0.22500000000000006</c:v>
                      </c:pt>
                      <c:pt idx="3241">
                        <c:v>0.23500000000000007</c:v>
                      </c:pt>
                      <c:pt idx="3242">
                        <c:v>0.24500000000000008</c:v>
                      </c:pt>
                      <c:pt idx="3243">
                        <c:v>0.25500000000000006</c:v>
                      </c:pt>
                      <c:pt idx="3244">
                        <c:v>0.26500000000000007</c:v>
                      </c:pt>
                      <c:pt idx="3245">
                        <c:v>0.27500000000000008</c:v>
                      </c:pt>
                      <c:pt idx="3246">
                        <c:v>0.28500000000000009</c:v>
                      </c:pt>
                      <c:pt idx="3247">
                        <c:v>0.2950000000000001</c:v>
                      </c:pt>
                      <c:pt idx="3248">
                        <c:v>0.3050000000000001</c:v>
                      </c:pt>
                      <c:pt idx="3249">
                        <c:v>0.31500000000000011</c:v>
                      </c:pt>
                      <c:pt idx="3250">
                        <c:v>0.32500000000000012</c:v>
                      </c:pt>
                      <c:pt idx="3251">
                        <c:v>0.33500000000000013</c:v>
                      </c:pt>
                      <c:pt idx="3252">
                        <c:v>0.34500000000000014</c:v>
                      </c:pt>
                      <c:pt idx="3253">
                        <c:v>0.35500000000000015</c:v>
                      </c:pt>
                      <c:pt idx="3254">
                        <c:v>0.36500000000000016</c:v>
                      </c:pt>
                      <c:pt idx="3255">
                        <c:v>0.37500000000000017</c:v>
                      </c:pt>
                      <c:pt idx="3256">
                        <c:v>0.38500000000000018</c:v>
                      </c:pt>
                      <c:pt idx="3257">
                        <c:v>0.39500000000000018</c:v>
                      </c:pt>
                      <c:pt idx="3258">
                        <c:v>0.40500000000000019</c:v>
                      </c:pt>
                      <c:pt idx="3259">
                        <c:v>0.4150000000000002</c:v>
                      </c:pt>
                      <c:pt idx="3260">
                        <c:v>0.42500000000000021</c:v>
                      </c:pt>
                      <c:pt idx="3261">
                        <c:v>0.43500000000000022</c:v>
                      </c:pt>
                      <c:pt idx="3262">
                        <c:v>0.44500000000000023</c:v>
                      </c:pt>
                      <c:pt idx="3263">
                        <c:v>0.45500000000000024</c:v>
                      </c:pt>
                      <c:pt idx="3264">
                        <c:v>0.46500000000000025</c:v>
                      </c:pt>
                      <c:pt idx="3265">
                        <c:v>0.47500000000000026</c:v>
                      </c:pt>
                      <c:pt idx="3266">
                        <c:v>0.48500000000000026</c:v>
                      </c:pt>
                      <c:pt idx="3267">
                        <c:v>0.49500000000000027</c:v>
                      </c:pt>
                      <c:pt idx="3268">
                        <c:v>0.50500000000000023</c:v>
                      </c:pt>
                      <c:pt idx="3269">
                        <c:v>0.51500000000000024</c:v>
                      </c:pt>
                      <c:pt idx="3270">
                        <c:v>0.52500000000000024</c:v>
                      </c:pt>
                      <c:pt idx="3271">
                        <c:v>0.53500000000000025</c:v>
                      </c:pt>
                      <c:pt idx="3272">
                        <c:v>0.54500000000000026</c:v>
                      </c:pt>
                      <c:pt idx="3273">
                        <c:v>0.55500000000000027</c:v>
                      </c:pt>
                      <c:pt idx="3274">
                        <c:v>0.56500000000000028</c:v>
                      </c:pt>
                      <c:pt idx="3275">
                        <c:v>0.57500000000000029</c:v>
                      </c:pt>
                      <c:pt idx="3276">
                        <c:v>0.5850000000000003</c:v>
                      </c:pt>
                      <c:pt idx="3277">
                        <c:v>0.59500000000000031</c:v>
                      </c:pt>
                      <c:pt idx="3278">
                        <c:v>0.60500000000000032</c:v>
                      </c:pt>
                      <c:pt idx="3279">
                        <c:v>0.61500000000000032</c:v>
                      </c:pt>
                      <c:pt idx="3280">
                        <c:v>0.62500000000000033</c:v>
                      </c:pt>
                      <c:pt idx="3281">
                        <c:v>0.63500000000000034</c:v>
                      </c:pt>
                      <c:pt idx="3282">
                        <c:v>0.64500000000000035</c:v>
                      </c:pt>
                      <c:pt idx="3283">
                        <c:v>0.65500000000000036</c:v>
                      </c:pt>
                      <c:pt idx="3284">
                        <c:v>0.66500000000000037</c:v>
                      </c:pt>
                      <c:pt idx="3285">
                        <c:v>0.67500000000000038</c:v>
                      </c:pt>
                      <c:pt idx="3286">
                        <c:v>0.68500000000000039</c:v>
                      </c:pt>
                      <c:pt idx="3287">
                        <c:v>0.6950000000000004</c:v>
                      </c:pt>
                      <c:pt idx="3288">
                        <c:v>0.7050000000000004</c:v>
                      </c:pt>
                      <c:pt idx="3289">
                        <c:v>0.71500000000000041</c:v>
                      </c:pt>
                      <c:pt idx="3290">
                        <c:v>0.72500000000000042</c:v>
                      </c:pt>
                      <c:pt idx="3291">
                        <c:v>0.73500000000000043</c:v>
                      </c:pt>
                      <c:pt idx="3292">
                        <c:v>0.74500000000000044</c:v>
                      </c:pt>
                      <c:pt idx="3293">
                        <c:v>0.75500000000000045</c:v>
                      </c:pt>
                      <c:pt idx="3294">
                        <c:v>0.76500000000000046</c:v>
                      </c:pt>
                      <c:pt idx="3295">
                        <c:v>0.77500000000000047</c:v>
                      </c:pt>
                      <c:pt idx="3296">
                        <c:v>0.78500000000000048</c:v>
                      </c:pt>
                      <c:pt idx="3297">
                        <c:v>0.79500000000000048</c:v>
                      </c:pt>
                      <c:pt idx="3298">
                        <c:v>0.80500000000000049</c:v>
                      </c:pt>
                      <c:pt idx="3300">
                        <c:v>0.20000000000000004</c:v>
                      </c:pt>
                      <c:pt idx="3301">
                        <c:v>0.21000000000000005</c:v>
                      </c:pt>
                      <c:pt idx="3302">
                        <c:v>0.22000000000000006</c:v>
                      </c:pt>
                      <c:pt idx="3303">
                        <c:v>0.23000000000000007</c:v>
                      </c:pt>
                      <c:pt idx="3304">
                        <c:v>0.24000000000000007</c:v>
                      </c:pt>
                      <c:pt idx="3305">
                        <c:v>0.25000000000000006</c:v>
                      </c:pt>
                      <c:pt idx="3306">
                        <c:v>0.26000000000000006</c:v>
                      </c:pt>
                      <c:pt idx="3307">
                        <c:v>0.27000000000000007</c:v>
                      </c:pt>
                      <c:pt idx="3308">
                        <c:v>0.28000000000000008</c:v>
                      </c:pt>
                      <c:pt idx="3309">
                        <c:v>0.29000000000000009</c:v>
                      </c:pt>
                      <c:pt idx="3310">
                        <c:v>0.3000000000000001</c:v>
                      </c:pt>
                      <c:pt idx="3311">
                        <c:v>0.31000000000000011</c:v>
                      </c:pt>
                      <c:pt idx="3312">
                        <c:v>0.32000000000000012</c:v>
                      </c:pt>
                      <c:pt idx="3313">
                        <c:v>0.33000000000000013</c:v>
                      </c:pt>
                      <c:pt idx="3314">
                        <c:v>0.34000000000000014</c:v>
                      </c:pt>
                      <c:pt idx="3315">
                        <c:v>0.35000000000000014</c:v>
                      </c:pt>
                      <c:pt idx="3316">
                        <c:v>0.36000000000000015</c:v>
                      </c:pt>
                      <c:pt idx="3317">
                        <c:v>0.37000000000000016</c:v>
                      </c:pt>
                      <c:pt idx="3318">
                        <c:v>0.38000000000000017</c:v>
                      </c:pt>
                      <c:pt idx="3319">
                        <c:v>0.39000000000000018</c:v>
                      </c:pt>
                      <c:pt idx="3320">
                        <c:v>0.40000000000000019</c:v>
                      </c:pt>
                      <c:pt idx="3321">
                        <c:v>0.4100000000000002</c:v>
                      </c:pt>
                      <c:pt idx="3322">
                        <c:v>0.42000000000000021</c:v>
                      </c:pt>
                      <c:pt idx="3323">
                        <c:v>0.43000000000000022</c:v>
                      </c:pt>
                      <c:pt idx="3324">
                        <c:v>0.44000000000000022</c:v>
                      </c:pt>
                      <c:pt idx="3325">
                        <c:v>0.45000000000000023</c:v>
                      </c:pt>
                      <c:pt idx="3326">
                        <c:v>0.46000000000000024</c:v>
                      </c:pt>
                      <c:pt idx="3327">
                        <c:v>0.47000000000000025</c:v>
                      </c:pt>
                      <c:pt idx="3328">
                        <c:v>0.48000000000000026</c:v>
                      </c:pt>
                      <c:pt idx="3329">
                        <c:v>0.49000000000000027</c:v>
                      </c:pt>
                      <c:pt idx="3330">
                        <c:v>0.50000000000000022</c:v>
                      </c:pt>
                      <c:pt idx="3331">
                        <c:v>0.51000000000000023</c:v>
                      </c:pt>
                      <c:pt idx="3332">
                        <c:v>0.52000000000000024</c:v>
                      </c:pt>
                      <c:pt idx="3333">
                        <c:v>0.53000000000000025</c:v>
                      </c:pt>
                      <c:pt idx="3334">
                        <c:v>0.54000000000000026</c:v>
                      </c:pt>
                      <c:pt idx="3335">
                        <c:v>0.55000000000000027</c:v>
                      </c:pt>
                      <c:pt idx="3336">
                        <c:v>0.56000000000000028</c:v>
                      </c:pt>
                      <c:pt idx="3337">
                        <c:v>0.57000000000000028</c:v>
                      </c:pt>
                      <c:pt idx="3338">
                        <c:v>0.58000000000000029</c:v>
                      </c:pt>
                      <c:pt idx="3339">
                        <c:v>0.5900000000000003</c:v>
                      </c:pt>
                      <c:pt idx="3340">
                        <c:v>0.60000000000000031</c:v>
                      </c:pt>
                      <c:pt idx="3341">
                        <c:v>0.61000000000000032</c:v>
                      </c:pt>
                      <c:pt idx="3342">
                        <c:v>0.62000000000000033</c:v>
                      </c:pt>
                      <c:pt idx="3343">
                        <c:v>0.63000000000000034</c:v>
                      </c:pt>
                      <c:pt idx="3344">
                        <c:v>0.64000000000000035</c:v>
                      </c:pt>
                      <c:pt idx="3345">
                        <c:v>0.65000000000000036</c:v>
                      </c:pt>
                      <c:pt idx="3346">
                        <c:v>0.66000000000000036</c:v>
                      </c:pt>
                      <c:pt idx="3347">
                        <c:v>0.67000000000000037</c:v>
                      </c:pt>
                      <c:pt idx="3348">
                        <c:v>0.68000000000000038</c:v>
                      </c:pt>
                      <c:pt idx="3349">
                        <c:v>0.69000000000000039</c:v>
                      </c:pt>
                      <c:pt idx="3350">
                        <c:v>0.7000000000000004</c:v>
                      </c:pt>
                      <c:pt idx="3351">
                        <c:v>0.71000000000000041</c:v>
                      </c:pt>
                      <c:pt idx="3352">
                        <c:v>0.72000000000000042</c:v>
                      </c:pt>
                      <c:pt idx="3353">
                        <c:v>0.73000000000000043</c:v>
                      </c:pt>
                      <c:pt idx="3354">
                        <c:v>0.74000000000000044</c:v>
                      </c:pt>
                      <c:pt idx="3355">
                        <c:v>0.75000000000000044</c:v>
                      </c:pt>
                      <c:pt idx="3356">
                        <c:v>0.76000000000000045</c:v>
                      </c:pt>
                      <c:pt idx="3357">
                        <c:v>0.77000000000000046</c:v>
                      </c:pt>
                      <c:pt idx="3358">
                        <c:v>0.78000000000000047</c:v>
                      </c:pt>
                      <c:pt idx="3359">
                        <c:v>0.79000000000000048</c:v>
                      </c:pt>
                      <c:pt idx="3360">
                        <c:v>0.80000000000000049</c:v>
                      </c:pt>
                      <c:pt idx="3362">
                        <c:v>0.20500000000000004</c:v>
                      </c:pt>
                      <c:pt idx="3363">
                        <c:v>0.21500000000000005</c:v>
                      </c:pt>
                      <c:pt idx="3364">
                        <c:v>0.22500000000000006</c:v>
                      </c:pt>
                      <c:pt idx="3365">
                        <c:v>0.23500000000000007</c:v>
                      </c:pt>
                      <c:pt idx="3366">
                        <c:v>0.24500000000000008</c:v>
                      </c:pt>
                      <c:pt idx="3367">
                        <c:v>0.25500000000000006</c:v>
                      </c:pt>
                      <c:pt idx="3368">
                        <c:v>0.26500000000000007</c:v>
                      </c:pt>
                      <c:pt idx="3369">
                        <c:v>0.27500000000000008</c:v>
                      </c:pt>
                      <c:pt idx="3370">
                        <c:v>0.28500000000000009</c:v>
                      </c:pt>
                      <c:pt idx="3371">
                        <c:v>0.2950000000000001</c:v>
                      </c:pt>
                      <c:pt idx="3372">
                        <c:v>0.3050000000000001</c:v>
                      </c:pt>
                      <c:pt idx="3373">
                        <c:v>0.31500000000000011</c:v>
                      </c:pt>
                      <c:pt idx="3374">
                        <c:v>0.32500000000000012</c:v>
                      </c:pt>
                      <c:pt idx="3375">
                        <c:v>0.33500000000000013</c:v>
                      </c:pt>
                      <c:pt idx="3376">
                        <c:v>0.34500000000000014</c:v>
                      </c:pt>
                      <c:pt idx="3377">
                        <c:v>0.35500000000000015</c:v>
                      </c:pt>
                      <c:pt idx="3378">
                        <c:v>0.36500000000000016</c:v>
                      </c:pt>
                      <c:pt idx="3379">
                        <c:v>0.37500000000000017</c:v>
                      </c:pt>
                      <c:pt idx="3380">
                        <c:v>0.38500000000000018</c:v>
                      </c:pt>
                      <c:pt idx="3381">
                        <c:v>0.39500000000000018</c:v>
                      </c:pt>
                      <c:pt idx="3382">
                        <c:v>0.40500000000000019</c:v>
                      </c:pt>
                      <c:pt idx="3383">
                        <c:v>0.4150000000000002</c:v>
                      </c:pt>
                      <c:pt idx="3384">
                        <c:v>0.42500000000000021</c:v>
                      </c:pt>
                      <c:pt idx="3385">
                        <c:v>0.43500000000000022</c:v>
                      </c:pt>
                      <c:pt idx="3386">
                        <c:v>0.44500000000000023</c:v>
                      </c:pt>
                      <c:pt idx="3387">
                        <c:v>0.45500000000000024</c:v>
                      </c:pt>
                      <c:pt idx="3388">
                        <c:v>0.46500000000000025</c:v>
                      </c:pt>
                      <c:pt idx="3389">
                        <c:v>0.47500000000000026</c:v>
                      </c:pt>
                      <c:pt idx="3390">
                        <c:v>0.48500000000000026</c:v>
                      </c:pt>
                      <c:pt idx="3391">
                        <c:v>0.49500000000000027</c:v>
                      </c:pt>
                      <c:pt idx="3392">
                        <c:v>0.50500000000000023</c:v>
                      </c:pt>
                      <c:pt idx="3393">
                        <c:v>0.51500000000000024</c:v>
                      </c:pt>
                      <c:pt idx="3394">
                        <c:v>0.52500000000000024</c:v>
                      </c:pt>
                      <c:pt idx="3395">
                        <c:v>0.53500000000000025</c:v>
                      </c:pt>
                      <c:pt idx="3396">
                        <c:v>0.54500000000000026</c:v>
                      </c:pt>
                      <c:pt idx="3397">
                        <c:v>0.55500000000000027</c:v>
                      </c:pt>
                      <c:pt idx="3398">
                        <c:v>0.56500000000000028</c:v>
                      </c:pt>
                      <c:pt idx="3399">
                        <c:v>0.57500000000000029</c:v>
                      </c:pt>
                      <c:pt idx="3400">
                        <c:v>0.5850000000000003</c:v>
                      </c:pt>
                      <c:pt idx="3401">
                        <c:v>0.59500000000000031</c:v>
                      </c:pt>
                      <c:pt idx="3402">
                        <c:v>0.60500000000000032</c:v>
                      </c:pt>
                      <c:pt idx="3403">
                        <c:v>0.61500000000000032</c:v>
                      </c:pt>
                      <c:pt idx="3404">
                        <c:v>0.62500000000000033</c:v>
                      </c:pt>
                      <c:pt idx="3405">
                        <c:v>0.63500000000000034</c:v>
                      </c:pt>
                      <c:pt idx="3406">
                        <c:v>0.64500000000000035</c:v>
                      </c:pt>
                      <c:pt idx="3407">
                        <c:v>0.65500000000000036</c:v>
                      </c:pt>
                      <c:pt idx="3408">
                        <c:v>0.66500000000000037</c:v>
                      </c:pt>
                      <c:pt idx="3409">
                        <c:v>0.67500000000000038</c:v>
                      </c:pt>
                      <c:pt idx="3410">
                        <c:v>0.68500000000000039</c:v>
                      </c:pt>
                      <c:pt idx="3411">
                        <c:v>0.6950000000000004</c:v>
                      </c:pt>
                      <c:pt idx="3412">
                        <c:v>0.7050000000000004</c:v>
                      </c:pt>
                      <c:pt idx="3413">
                        <c:v>0.71500000000000041</c:v>
                      </c:pt>
                      <c:pt idx="3414">
                        <c:v>0.72500000000000042</c:v>
                      </c:pt>
                      <c:pt idx="3415">
                        <c:v>0.73500000000000043</c:v>
                      </c:pt>
                      <c:pt idx="3416">
                        <c:v>0.74500000000000044</c:v>
                      </c:pt>
                      <c:pt idx="3417">
                        <c:v>0.75500000000000045</c:v>
                      </c:pt>
                      <c:pt idx="3418">
                        <c:v>0.76500000000000046</c:v>
                      </c:pt>
                      <c:pt idx="3419">
                        <c:v>0.77500000000000047</c:v>
                      </c:pt>
                      <c:pt idx="3420">
                        <c:v>0.78500000000000048</c:v>
                      </c:pt>
                      <c:pt idx="3421">
                        <c:v>0.79500000000000048</c:v>
                      </c:pt>
                      <c:pt idx="3423">
                        <c:v>0.21000000000000005</c:v>
                      </c:pt>
                      <c:pt idx="3424">
                        <c:v>0.22000000000000006</c:v>
                      </c:pt>
                      <c:pt idx="3425">
                        <c:v>0.23000000000000007</c:v>
                      </c:pt>
                      <c:pt idx="3426">
                        <c:v>0.24000000000000007</c:v>
                      </c:pt>
                      <c:pt idx="3427">
                        <c:v>0.25000000000000006</c:v>
                      </c:pt>
                      <c:pt idx="3428">
                        <c:v>0.26000000000000006</c:v>
                      </c:pt>
                      <c:pt idx="3429">
                        <c:v>0.27000000000000007</c:v>
                      </c:pt>
                      <c:pt idx="3430">
                        <c:v>0.28000000000000008</c:v>
                      </c:pt>
                      <c:pt idx="3431">
                        <c:v>0.29000000000000009</c:v>
                      </c:pt>
                      <c:pt idx="3432">
                        <c:v>0.3000000000000001</c:v>
                      </c:pt>
                      <c:pt idx="3433">
                        <c:v>0.31000000000000011</c:v>
                      </c:pt>
                      <c:pt idx="3434">
                        <c:v>0.32000000000000012</c:v>
                      </c:pt>
                      <c:pt idx="3435">
                        <c:v>0.33000000000000013</c:v>
                      </c:pt>
                      <c:pt idx="3436">
                        <c:v>0.34000000000000014</c:v>
                      </c:pt>
                      <c:pt idx="3437">
                        <c:v>0.35000000000000014</c:v>
                      </c:pt>
                      <c:pt idx="3438">
                        <c:v>0.36000000000000015</c:v>
                      </c:pt>
                      <c:pt idx="3439">
                        <c:v>0.37000000000000016</c:v>
                      </c:pt>
                      <c:pt idx="3440">
                        <c:v>0.38000000000000017</c:v>
                      </c:pt>
                      <c:pt idx="3441">
                        <c:v>0.39000000000000018</c:v>
                      </c:pt>
                      <c:pt idx="3442">
                        <c:v>0.40000000000000019</c:v>
                      </c:pt>
                      <c:pt idx="3443">
                        <c:v>0.4100000000000002</c:v>
                      </c:pt>
                      <c:pt idx="3444">
                        <c:v>0.42000000000000021</c:v>
                      </c:pt>
                      <c:pt idx="3445">
                        <c:v>0.43000000000000022</c:v>
                      </c:pt>
                      <c:pt idx="3446">
                        <c:v>0.44000000000000022</c:v>
                      </c:pt>
                      <c:pt idx="3447">
                        <c:v>0.45000000000000023</c:v>
                      </c:pt>
                      <c:pt idx="3448">
                        <c:v>0.46000000000000024</c:v>
                      </c:pt>
                      <c:pt idx="3449">
                        <c:v>0.47000000000000025</c:v>
                      </c:pt>
                      <c:pt idx="3450">
                        <c:v>0.48000000000000026</c:v>
                      </c:pt>
                      <c:pt idx="3451">
                        <c:v>0.49000000000000027</c:v>
                      </c:pt>
                      <c:pt idx="3452">
                        <c:v>0.50000000000000022</c:v>
                      </c:pt>
                      <c:pt idx="3453">
                        <c:v>0.51000000000000023</c:v>
                      </c:pt>
                      <c:pt idx="3454">
                        <c:v>0.52000000000000024</c:v>
                      </c:pt>
                      <c:pt idx="3455">
                        <c:v>0.53000000000000025</c:v>
                      </c:pt>
                      <c:pt idx="3456">
                        <c:v>0.54000000000000026</c:v>
                      </c:pt>
                      <c:pt idx="3457">
                        <c:v>0.55000000000000027</c:v>
                      </c:pt>
                      <c:pt idx="3458">
                        <c:v>0.56000000000000028</c:v>
                      </c:pt>
                      <c:pt idx="3459">
                        <c:v>0.57000000000000028</c:v>
                      </c:pt>
                      <c:pt idx="3460">
                        <c:v>0.58000000000000029</c:v>
                      </c:pt>
                      <c:pt idx="3461">
                        <c:v>0.5900000000000003</c:v>
                      </c:pt>
                      <c:pt idx="3462">
                        <c:v>0.60000000000000031</c:v>
                      </c:pt>
                      <c:pt idx="3463">
                        <c:v>0.61000000000000032</c:v>
                      </c:pt>
                      <c:pt idx="3464">
                        <c:v>0.62000000000000033</c:v>
                      </c:pt>
                      <c:pt idx="3465">
                        <c:v>0.63000000000000034</c:v>
                      </c:pt>
                      <c:pt idx="3466">
                        <c:v>0.64000000000000035</c:v>
                      </c:pt>
                      <c:pt idx="3467">
                        <c:v>0.65000000000000036</c:v>
                      </c:pt>
                      <c:pt idx="3468">
                        <c:v>0.66000000000000036</c:v>
                      </c:pt>
                      <c:pt idx="3469">
                        <c:v>0.67000000000000037</c:v>
                      </c:pt>
                      <c:pt idx="3470">
                        <c:v>0.68000000000000038</c:v>
                      </c:pt>
                      <c:pt idx="3471">
                        <c:v>0.69000000000000039</c:v>
                      </c:pt>
                      <c:pt idx="3472">
                        <c:v>0.7000000000000004</c:v>
                      </c:pt>
                      <c:pt idx="3473">
                        <c:v>0.71000000000000041</c:v>
                      </c:pt>
                      <c:pt idx="3474">
                        <c:v>0.72000000000000042</c:v>
                      </c:pt>
                      <c:pt idx="3475">
                        <c:v>0.73000000000000043</c:v>
                      </c:pt>
                      <c:pt idx="3476">
                        <c:v>0.74000000000000044</c:v>
                      </c:pt>
                      <c:pt idx="3477">
                        <c:v>0.75000000000000044</c:v>
                      </c:pt>
                      <c:pt idx="3478">
                        <c:v>0.76000000000000045</c:v>
                      </c:pt>
                      <c:pt idx="3479">
                        <c:v>0.77000000000000046</c:v>
                      </c:pt>
                      <c:pt idx="3480">
                        <c:v>0.78000000000000047</c:v>
                      </c:pt>
                      <c:pt idx="3481">
                        <c:v>0.79000000000000048</c:v>
                      </c:pt>
                      <c:pt idx="3483">
                        <c:v>0.21500000000000005</c:v>
                      </c:pt>
                      <c:pt idx="3484">
                        <c:v>0.22500000000000006</c:v>
                      </c:pt>
                      <c:pt idx="3485">
                        <c:v>0.23500000000000007</c:v>
                      </c:pt>
                      <c:pt idx="3486">
                        <c:v>0.24500000000000008</c:v>
                      </c:pt>
                      <c:pt idx="3487">
                        <c:v>0.25500000000000006</c:v>
                      </c:pt>
                      <c:pt idx="3488">
                        <c:v>0.26500000000000007</c:v>
                      </c:pt>
                      <c:pt idx="3489">
                        <c:v>0.27500000000000008</c:v>
                      </c:pt>
                      <c:pt idx="3490">
                        <c:v>0.28500000000000009</c:v>
                      </c:pt>
                      <c:pt idx="3491">
                        <c:v>0.2950000000000001</c:v>
                      </c:pt>
                      <c:pt idx="3492">
                        <c:v>0.3050000000000001</c:v>
                      </c:pt>
                      <c:pt idx="3493">
                        <c:v>0.31500000000000011</c:v>
                      </c:pt>
                      <c:pt idx="3494">
                        <c:v>0.32500000000000012</c:v>
                      </c:pt>
                      <c:pt idx="3495">
                        <c:v>0.33500000000000013</c:v>
                      </c:pt>
                      <c:pt idx="3496">
                        <c:v>0.34500000000000014</c:v>
                      </c:pt>
                      <c:pt idx="3497">
                        <c:v>0.35500000000000015</c:v>
                      </c:pt>
                      <c:pt idx="3498">
                        <c:v>0.36500000000000016</c:v>
                      </c:pt>
                      <c:pt idx="3499">
                        <c:v>0.37500000000000017</c:v>
                      </c:pt>
                      <c:pt idx="3500">
                        <c:v>0.38500000000000018</c:v>
                      </c:pt>
                      <c:pt idx="3501">
                        <c:v>0.39500000000000018</c:v>
                      </c:pt>
                      <c:pt idx="3502">
                        <c:v>0.40500000000000019</c:v>
                      </c:pt>
                      <c:pt idx="3503">
                        <c:v>0.4150000000000002</c:v>
                      </c:pt>
                      <c:pt idx="3504">
                        <c:v>0.42500000000000021</c:v>
                      </c:pt>
                      <c:pt idx="3505">
                        <c:v>0.43500000000000022</c:v>
                      </c:pt>
                      <c:pt idx="3506">
                        <c:v>0.44500000000000023</c:v>
                      </c:pt>
                      <c:pt idx="3507">
                        <c:v>0.45500000000000024</c:v>
                      </c:pt>
                      <c:pt idx="3508">
                        <c:v>0.46500000000000025</c:v>
                      </c:pt>
                      <c:pt idx="3509">
                        <c:v>0.47500000000000026</c:v>
                      </c:pt>
                      <c:pt idx="3510">
                        <c:v>0.48500000000000026</c:v>
                      </c:pt>
                      <c:pt idx="3511">
                        <c:v>0.49500000000000027</c:v>
                      </c:pt>
                      <c:pt idx="3512">
                        <c:v>0.50500000000000023</c:v>
                      </c:pt>
                      <c:pt idx="3513">
                        <c:v>0.51500000000000024</c:v>
                      </c:pt>
                      <c:pt idx="3514">
                        <c:v>0.52500000000000024</c:v>
                      </c:pt>
                      <c:pt idx="3515">
                        <c:v>0.53500000000000025</c:v>
                      </c:pt>
                      <c:pt idx="3516">
                        <c:v>0.54500000000000026</c:v>
                      </c:pt>
                      <c:pt idx="3517">
                        <c:v>0.55500000000000027</c:v>
                      </c:pt>
                      <c:pt idx="3518">
                        <c:v>0.56500000000000028</c:v>
                      </c:pt>
                      <c:pt idx="3519">
                        <c:v>0.57500000000000029</c:v>
                      </c:pt>
                      <c:pt idx="3520">
                        <c:v>0.5850000000000003</c:v>
                      </c:pt>
                      <c:pt idx="3521">
                        <c:v>0.59500000000000031</c:v>
                      </c:pt>
                      <c:pt idx="3522">
                        <c:v>0.60500000000000032</c:v>
                      </c:pt>
                      <c:pt idx="3523">
                        <c:v>0.61500000000000032</c:v>
                      </c:pt>
                      <c:pt idx="3524">
                        <c:v>0.62500000000000033</c:v>
                      </c:pt>
                      <c:pt idx="3525">
                        <c:v>0.63500000000000034</c:v>
                      </c:pt>
                      <c:pt idx="3526">
                        <c:v>0.64500000000000035</c:v>
                      </c:pt>
                      <c:pt idx="3527">
                        <c:v>0.65500000000000036</c:v>
                      </c:pt>
                      <c:pt idx="3528">
                        <c:v>0.66500000000000037</c:v>
                      </c:pt>
                      <c:pt idx="3529">
                        <c:v>0.67500000000000038</c:v>
                      </c:pt>
                      <c:pt idx="3530">
                        <c:v>0.68500000000000039</c:v>
                      </c:pt>
                      <c:pt idx="3531">
                        <c:v>0.6950000000000004</c:v>
                      </c:pt>
                      <c:pt idx="3532">
                        <c:v>0.7050000000000004</c:v>
                      </c:pt>
                      <c:pt idx="3533">
                        <c:v>0.71500000000000041</c:v>
                      </c:pt>
                      <c:pt idx="3534">
                        <c:v>0.72500000000000042</c:v>
                      </c:pt>
                      <c:pt idx="3535">
                        <c:v>0.73500000000000043</c:v>
                      </c:pt>
                      <c:pt idx="3536">
                        <c:v>0.74500000000000044</c:v>
                      </c:pt>
                      <c:pt idx="3537">
                        <c:v>0.75500000000000045</c:v>
                      </c:pt>
                      <c:pt idx="3538">
                        <c:v>0.76500000000000046</c:v>
                      </c:pt>
                      <c:pt idx="3539">
                        <c:v>0.77500000000000047</c:v>
                      </c:pt>
                      <c:pt idx="3540">
                        <c:v>0.78500000000000048</c:v>
                      </c:pt>
                      <c:pt idx="3542">
                        <c:v>0.22000000000000006</c:v>
                      </c:pt>
                      <c:pt idx="3543">
                        <c:v>0.23000000000000007</c:v>
                      </c:pt>
                      <c:pt idx="3544">
                        <c:v>0.24000000000000007</c:v>
                      </c:pt>
                      <c:pt idx="3545">
                        <c:v>0.25000000000000006</c:v>
                      </c:pt>
                      <c:pt idx="3546">
                        <c:v>0.26000000000000006</c:v>
                      </c:pt>
                      <c:pt idx="3547">
                        <c:v>0.27000000000000007</c:v>
                      </c:pt>
                      <c:pt idx="3548">
                        <c:v>0.28000000000000008</c:v>
                      </c:pt>
                      <c:pt idx="3549">
                        <c:v>0.29000000000000009</c:v>
                      </c:pt>
                      <c:pt idx="3550">
                        <c:v>0.3000000000000001</c:v>
                      </c:pt>
                      <c:pt idx="3551">
                        <c:v>0.31000000000000011</c:v>
                      </c:pt>
                      <c:pt idx="3552">
                        <c:v>0.32000000000000012</c:v>
                      </c:pt>
                      <c:pt idx="3553">
                        <c:v>0.33000000000000013</c:v>
                      </c:pt>
                      <c:pt idx="3554">
                        <c:v>0.34000000000000014</c:v>
                      </c:pt>
                      <c:pt idx="3555">
                        <c:v>0.35000000000000014</c:v>
                      </c:pt>
                      <c:pt idx="3556">
                        <c:v>0.36000000000000015</c:v>
                      </c:pt>
                      <c:pt idx="3557">
                        <c:v>0.37000000000000016</c:v>
                      </c:pt>
                      <c:pt idx="3558">
                        <c:v>0.38000000000000017</c:v>
                      </c:pt>
                      <c:pt idx="3559">
                        <c:v>0.39000000000000018</c:v>
                      </c:pt>
                      <c:pt idx="3560">
                        <c:v>0.40000000000000019</c:v>
                      </c:pt>
                      <c:pt idx="3561">
                        <c:v>0.4100000000000002</c:v>
                      </c:pt>
                      <c:pt idx="3562">
                        <c:v>0.42000000000000021</c:v>
                      </c:pt>
                      <c:pt idx="3563">
                        <c:v>0.43000000000000022</c:v>
                      </c:pt>
                      <c:pt idx="3564">
                        <c:v>0.44000000000000022</c:v>
                      </c:pt>
                      <c:pt idx="3565">
                        <c:v>0.45000000000000023</c:v>
                      </c:pt>
                      <c:pt idx="3566">
                        <c:v>0.46000000000000024</c:v>
                      </c:pt>
                      <c:pt idx="3567">
                        <c:v>0.47000000000000025</c:v>
                      </c:pt>
                      <c:pt idx="3568">
                        <c:v>0.48000000000000026</c:v>
                      </c:pt>
                      <c:pt idx="3569">
                        <c:v>0.49000000000000027</c:v>
                      </c:pt>
                      <c:pt idx="3570">
                        <c:v>0.50000000000000022</c:v>
                      </c:pt>
                      <c:pt idx="3571">
                        <c:v>0.51000000000000023</c:v>
                      </c:pt>
                      <c:pt idx="3572">
                        <c:v>0.52000000000000024</c:v>
                      </c:pt>
                      <c:pt idx="3573">
                        <c:v>0.53000000000000025</c:v>
                      </c:pt>
                      <c:pt idx="3574">
                        <c:v>0.54000000000000026</c:v>
                      </c:pt>
                      <c:pt idx="3575">
                        <c:v>0.55000000000000027</c:v>
                      </c:pt>
                      <c:pt idx="3576">
                        <c:v>0.56000000000000028</c:v>
                      </c:pt>
                      <c:pt idx="3577">
                        <c:v>0.57000000000000028</c:v>
                      </c:pt>
                      <c:pt idx="3578">
                        <c:v>0.58000000000000029</c:v>
                      </c:pt>
                      <c:pt idx="3579">
                        <c:v>0.5900000000000003</c:v>
                      </c:pt>
                      <c:pt idx="3580">
                        <c:v>0.60000000000000031</c:v>
                      </c:pt>
                      <c:pt idx="3581">
                        <c:v>0.61000000000000032</c:v>
                      </c:pt>
                      <c:pt idx="3582">
                        <c:v>0.62000000000000033</c:v>
                      </c:pt>
                      <c:pt idx="3583">
                        <c:v>0.63000000000000034</c:v>
                      </c:pt>
                      <c:pt idx="3584">
                        <c:v>0.64000000000000035</c:v>
                      </c:pt>
                      <c:pt idx="3585">
                        <c:v>0.65000000000000036</c:v>
                      </c:pt>
                      <c:pt idx="3586">
                        <c:v>0.66000000000000036</c:v>
                      </c:pt>
                      <c:pt idx="3587">
                        <c:v>0.67000000000000037</c:v>
                      </c:pt>
                      <c:pt idx="3588">
                        <c:v>0.68000000000000038</c:v>
                      </c:pt>
                      <c:pt idx="3589">
                        <c:v>0.69000000000000039</c:v>
                      </c:pt>
                      <c:pt idx="3590">
                        <c:v>0.7000000000000004</c:v>
                      </c:pt>
                      <c:pt idx="3591">
                        <c:v>0.71000000000000041</c:v>
                      </c:pt>
                      <c:pt idx="3592">
                        <c:v>0.72000000000000042</c:v>
                      </c:pt>
                      <c:pt idx="3593">
                        <c:v>0.73000000000000043</c:v>
                      </c:pt>
                      <c:pt idx="3594">
                        <c:v>0.74000000000000044</c:v>
                      </c:pt>
                      <c:pt idx="3595">
                        <c:v>0.75000000000000044</c:v>
                      </c:pt>
                      <c:pt idx="3596">
                        <c:v>0.76000000000000045</c:v>
                      </c:pt>
                      <c:pt idx="3597">
                        <c:v>0.77000000000000046</c:v>
                      </c:pt>
                      <c:pt idx="3598">
                        <c:v>0.78000000000000047</c:v>
                      </c:pt>
                      <c:pt idx="3600">
                        <c:v>0.22500000000000006</c:v>
                      </c:pt>
                      <c:pt idx="3601">
                        <c:v>0.23500000000000007</c:v>
                      </c:pt>
                      <c:pt idx="3602">
                        <c:v>0.24500000000000008</c:v>
                      </c:pt>
                      <c:pt idx="3603">
                        <c:v>0.25500000000000006</c:v>
                      </c:pt>
                      <c:pt idx="3604">
                        <c:v>0.26500000000000007</c:v>
                      </c:pt>
                      <c:pt idx="3605">
                        <c:v>0.27500000000000008</c:v>
                      </c:pt>
                      <c:pt idx="3606">
                        <c:v>0.28500000000000009</c:v>
                      </c:pt>
                      <c:pt idx="3607">
                        <c:v>0.2950000000000001</c:v>
                      </c:pt>
                      <c:pt idx="3608">
                        <c:v>0.3050000000000001</c:v>
                      </c:pt>
                      <c:pt idx="3609">
                        <c:v>0.31500000000000011</c:v>
                      </c:pt>
                      <c:pt idx="3610">
                        <c:v>0.32500000000000012</c:v>
                      </c:pt>
                      <c:pt idx="3611">
                        <c:v>0.33500000000000013</c:v>
                      </c:pt>
                      <c:pt idx="3612">
                        <c:v>0.34500000000000014</c:v>
                      </c:pt>
                      <c:pt idx="3613">
                        <c:v>0.35500000000000015</c:v>
                      </c:pt>
                      <c:pt idx="3614">
                        <c:v>0.36500000000000016</c:v>
                      </c:pt>
                      <c:pt idx="3615">
                        <c:v>0.37500000000000017</c:v>
                      </c:pt>
                      <c:pt idx="3616">
                        <c:v>0.38500000000000018</c:v>
                      </c:pt>
                      <c:pt idx="3617">
                        <c:v>0.39500000000000018</c:v>
                      </c:pt>
                      <c:pt idx="3618">
                        <c:v>0.40500000000000019</c:v>
                      </c:pt>
                      <c:pt idx="3619">
                        <c:v>0.4150000000000002</c:v>
                      </c:pt>
                      <c:pt idx="3620">
                        <c:v>0.42500000000000021</c:v>
                      </c:pt>
                      <c:pt idx="3621">
                        <c:v>0.43500000000000022</c:v>
                      </c:pt>
                      <c:pt idx="3622">
                        <c:v>0.44500000000000023</c:v>
                      </c:pt>
                      <c:pt idx="3623">
                        <c:v>0.45500000000000024</c:v>
                      </c:pt>
                      <c:pt idx="3624">
                        <c:v>0.46500000000000025</c:v>
                      </c:pt>
                      <c:pt idx="3625">
                        <c:v>0.47500000000000026</c:v>
                      </c:pt>
                      <c:pt idx="3626">
                        <c:v>0.48500000000000026</c:v>
                      </c:pt>
                      <c:pt idx="3627">
                        <c:v>0.49500000000000027</c:v>
                      </c:pt>
                      <c:pt idx="3628">
                        <c:v>0.50500000000000023</c:v>
                      </c:pt>
                      <c:pt idx="3629">
                        <c:v>0.51500000000000024</c:v>
                      </c:pt>
                      <c:pt idx="3630">
                        <c:v>0.52500000000000024</c:v>
                      </c:pt>
                      <c:pt idx="3631">
                        <c:v>0.53500000000000025</c:v>
                      </c:pt>
                      <c:pt idx="3632">
                        <c:v>0.54500000000000026</c:v>
                      </c:pt>
                      <c:pt idx="3633">
                        <c:v>0.55500000000000027</c:v>
                      </c:pt>
                      <c:pt idx="3634">
                        <c:v>0.56500000000000028</c:v>
                      </c:pt>
                      <c:pt idx="3635">
                        <c:v>0.57500000000000029</c:v>
                      </c:pt>
                      <c:pt idx="3636">
                        <c:v>0.5850000000000003</c:v>
                      </c:pt>
                      <c:pt idx="3637">
                        <c:v>0.59500000000000031</c:v>
                      </c:pt>
                      <c:pt idx="3638">
                        <c:v>0.60500000000000032</c:v>
                      </c:pt>
                      <c:pt idx="3639">
                        <c:v>0.61500000000000032</c:v>
                      </c:pt>
                      <c:pt idx="3640">
                        <c:v>0.62500000000000033</c:v>
                      </c:pt>
                      <c:pt idx="3641">
                        <c:v>0.63500000000000034</c:v>
                      </c:pt>
                      <c:pt idx="3642">
                        <c:v>0.64500000000000035</c:v>
                      </c:pt>
                      <c:pt idx="3643">
                        <c:v>0.65500000000000036</c:v>
                      </c:pt>
                      <c:pt idx="3644">
                        <c:v>0.66500000000000037</c:v>
                      </c:pt>
                      <c:pt idx="3645">
                        <c:v>0.67500000000000038</c:v>
                      </c:pt>
                      <c:pt idx="3646">
                        <c:v>0.68500000000000039</c:v>
                      </c:pt>
                      <c:pt idx="3647">
                        <c:v>0.6950000000000004</c:v>
                      </c:pt>
                      <c:pt idx="3648">
                        <c:v>0.7050000000000004</c:v>
                      </c:pt>
                      <c:pt idx="3649">
                        <c:v>0.71500000000000041</c:v>
                      </c:pt>
                      <c:pt idx="3650">
                        <c:v>0.72500000000000042</c:v>
                      </c:pt>
                      <c:pt idx="3651">
                        <c:v>0.73500000000000043</c:v>
                      </c:pt>
                      <c:pt idx="3652">
                        <c:v>0.74500000000000044</c:v>
                      </c:pt>
                      <c:pt idx="3653">
                        <c:v>0.75500000000000045</c:v>
                      </c:pt>
                      <c:pt idx="3654">
                        <c:v>0.76500000000000046</c:v>
                      </c:pt>
                      <c:pt idx="3655">
                        <c:v>0.77500000000000047</c:v>
                      </c:pt>
                      <c:pt idx="3657">
                        <c:v>0.23000000000000007</c:v>
                      </c:pt>
                      <c:pt idx="3658">
                        <c:v>0.24000000000000007</c:v>
                      </c:pt>
                      <c:pt idx="3659">
                        <c:v>0.25000000000000006</c:v>
                      </c:pt>
                      <c:pt idx="3660">
                        <c:v>0.26000000000000006</c:v>
                      </c:pt>
                      <c:pt idx="3661">
                        <c:v>0.27000000000000007</c:v>
                      </c:pt>
                      <c:pt idx="3662">
                        <c:v>0.28000000000000008</c:v>
                      </c:pt>
                      <c:pt idx="3663">
                        <c:v>0.29000000000000009</c:v>
                      </c:pt>
                      <c:pt idx="3664">
                        <c:v>0.3000000000000001</c:v>
                      </c:pt>
                      <c:pt idx="3665">
                        <c:v>0.31000000000000011</c:v>
                      </c:pt>
                      <c:pt idx="3666">
                        <c:v>0.32000000000000012</c:v>
                      </c:pt>
                      <c:pt idx="3667">
                        <c:v>0.33000000000000013</c:v>
                      </c:pt>
                      <c:pt idx="3668">
                        <c:v>0.34000000000000014</c:v>
                      </c:pt>
                      <c:pt idx="3669">
                        <c:v>0.35000000000000014</c:v>
                      </c:pt>
                      <c:pt idx="3670">
                        <c:v>0.36000000000000015</c:v>
                      </c:pt>
                      <c:pt idx="3671">
                        <c:v>0.37000000000000016</c:v>
                      </c:pt>
                      <c:pt idx="3672">
                        <c:v>0.38000000000000017</c:v>
                      </c:pt>
                      <c:pt idx="3673">
                        <c:v>0.39000000000000018</c:v>
                      </c:pt>
                      <c:pt idx="3674">
                        <c:v>0.40000000000000019</c:v>
                      </c:pt>
                      <c:pt idx="3675">
                        <c:v>0.4100000000000002</c:v>
                      </c:pt>
                      <c:pt idx="3676">
                        <c:v>0.42000000000000021</c:v>
                      </c:pt>
                      <c:pt idx="3677">
                        <c:v>0.43000000000000022</c:v>
                      </c:pt>
                      <c:pt idx="3678">
                        <c:v>0.44000000000000022</c:v>
                      </c:pt>
                      <c:pt idx="3679">
                        <c:v>0.45000000000000023</c:v>
                      </c:pt>
                      <c:pt idx="3680">
                        <c:v>0.46000000000000024</c:v>
                      </c:pt>
                      <c:pt idx="3681">
                        <c:v>0.47000000000000025</c:v>
                      </c:pt>
                      <c:pt idx="3682">
                        <c:v>0.48000000000000026</c:v>
                      </c:pt>
                      <c:pt idx="3683">
                        <c:v>0.49000000000000027</c:v>
                      </c:pt>
                      <c:pt idx="3684">
                        <c:v>0.50000000000000022</c:v>
                      </c:pt>
                      <c:pt idx="3685">
                        <c:v>0.51000000000000023</c:v>
                      </c:pt>
                      <c:pt idx="3686">
                        <c:v>0.52000000000000024</c:v>
                      </c:pt>
                      <c:pt idx="3687">
                        <c:v>0.53000000000000025</c:v>
                      </c:pt>
                      <c:pt idx="3688">
                        <c:v>0.54000000000000026</c:v>
                      </c:pt>
                      <c:pt idx="3689">
                        <c:v>0.55000000000000027</c:v>
                      </c:pt>
                      <c:pt idx="3690">
                        <c:v>0.56000000000000028</c:v>
                      </c:pt>
                      <c:pt idx="3691">
                        <c:v>0.57000000000000028</c:v>
                      </c:pt>
                      <c:pt idx="3692">
                        <c:v>0.58000000000000029</c:v>
                      </c:pt>
                      <c:pt idx="3693">
                        <c:v>0.5900000000000003</c:v>
                      </c:pt>
                      <c:pt idx="3694">
                        <c:v>0.60000000000000031</c:v>
                      </c:pt>
                      <c:pt idx="3695">
                        <c:v>0.61000000000000032</c:v>
                      </c:pt>
                      <c:pt idx="3696">
                        <c:v>0.62000000000000033</c:v>
                      </c:pt>
                      <c:pt idx="3697">
                        <c:v>0.63000000000000034</c:v>
                      </c:pt>
                      <c:pt idx="3698">
                        <c:v>0.64000000000000035</c:v>
                      </c:pt>
                      <c:pt idx="3699">
                        <c:v>0.65000000000000036</c:v>
                      </c:pt>
                      <c:pt idx="3700">
                        <c:v>0.66000000000000036</c:v>
                      </c:pt>
                      <c:pt idx="3701">
                        <c:v>0.67000000000000037</c:v>
                      </c:pt>
                      <c:pt idx="3702">
                        <c:v>0.68000000000000038</c:v>
                      </c:pt>
                      <c:pt idx="3703">
                        <c:v>0.69000000000000039</c:v>
                      </c:pt>
                      <c:pt idx="3704">
                        <c:v>0.7000000000000004</c:v>
                      </c:pt>
                      <c:pt idx="3705">
                        <c:v>0.71000000000000041</c:v>
                      </c:pt>
                      <c:pt idx="3706">
                        <c:v>0.72000000000000042</c:v>
                      </c:pt>
                      <c:pt idx="3707">
                        <c:v>0.73000000000000043</c:v>
                      </c:pt>
                      <c:pt idx="3708">
                        <c:v>0.74000000000000044</c:v>
                      </c:pt>
                      <c:pt idx="3709">
                        <c:v>0.75000000000000044</c:v>
                      </c:pt>
                      <c:pt idx="3710">
                        <c:v>0.76000000000000045</c:v>
                      </c:pt>
                      <c:pt idx="3711">
                        <c:v>0.77000000000000046</c:v>
                      </c:pt>
                      <c:pt idx="3713">
                        <c:v>0.23500000000000007</c:v>
                      </c:pt>
                      <c:pt idx="3714">
                        <c:v>0.24500000000000008</c:v>
                      </c:pt>
                      <c:pt idx="3715">
                        <c:v>0.25500000000000006</c:v>
                      </c:pt>
                      <c:pt idx="3716">
                        <c:v>0.26500000000000007</c:v>
                      </c:pt>
                      <c:pt idx="3717">
                        <c:v>0.27500000000000008</c:v>
                      </c:pt>
                      <c:pt idx="3718">
                        <c:v>0.28500000000000009</c:v>
                      </c:pt>
                      <c:pt idx="3719">
                        <c:v>0.2950000000000001</c:v>
                      </c:pt>
                      <c:pt idx="3720">
                        <c:v>0.3050000000000001</c:v>
                      </c:pt>
                      <c:pt idx="3721">
                        <c:v>0.31500000000000011</c:v>
                      </c:pt>
                      <c:pt idx="3722">
                        <c:v>0.32500000000000012</c:v>
                      </c:pt>
                      <c:pt idx="3723">
                        <c:v>0.33500000000000013</c:v>
                      </c:pt>
                      <c:pt idx="3724">
                        <c:v>0.34500000000000014</c:v>
                      </c:pt>
                      <c:pt idx="3725">
                        <c:v>0.35500000000000015</c:v>
                      </c:pt>
                      <c:pt idx="3726">
                        <c:v>0.36500000000000016</c:v>
                      </c:pt>
                      <c:pt idx="3727">
                        <c:v>0.37500000000000017</c:v>
                      </c:pt>
                      <c:pt idx="3728">
                        <c:v>0.38500000000000018</c:v>
                      </c:pt>
                      <c:pt idx="3729">
                        <c:v>0.39500000000000018</c:v>
                      </c:pt>
                      <c:pt idx="3730">
                        <c:v>0.40500000000000019</c:v>
                      </c:pt>
                      <c:pt idx="3731">
                        <c:v>0.4150000000000002</c:v>
                      </c:pt>
                      <c:pt idx="3732">
                        <c:v>0.42500000000000021</c:v>
                      </c:pt>
                      <c:pt idx="3733">
                        <c:v>0.43500000000000022</c:v>
                      </c:pt>
                      <c:pt idx="3734">
                        <c:v>0.44500000000000023</c:v>
                      </c:pt>
                      <c:pt idx="3735">
                        <c:v>0.45500000000000024</c:v>
                      </c:pt>
                      <c:pt idx="3736">
                        <c:v>0.46500000000000025</c:v>
                      </c:pt>
                      <c:pt idx="3737">
                        <c:v>0.47500000000000026</c:v>
                      </c:pt>
                      <c:pt idx="3738">
                        <c:v>0.48500000000000026</c:v>
                      </c:pt>
                      <c:pt idx="3739">
                        <c:v>0.49500000000000027</c:v>
                      </c:pt>
                      <c:pt idx="3740">
                        <c:v>0.50500000000000023</c:v>
                      </c:pt>
                      <c:pt idx="3741">
                        <c:v>0.51500000000000024</c:v>
                      </c:pt>
                      <c:pt idx="3742">
                        <c:v>0.52500000000000024</c:v>
                      </c:pt>
                      <c:pt idx="3743">
                        <c:v>0.53500000000000025</c:v>
                      </c:pt>
                      <c:pt idx="3744">
                        <c:v>0.54500000000000026</c:v>
                      </c:pt>
                      <c:pt idx="3745">
                        <c:v>0.55500000000000027</c:v>
                      </c:pt>
                      <c:pt idx="3746">
                        <c:v>0.56500000000000028</c:v>
                      </c:pt>
                      <c:pt idx="3747">
                        <c:v>0.57500000000000029</c:v>
                      </c:pt>
                      <c:pt idx="3748">
                        <c:v>0.5850000000000003</c:v>
                      </c:pt>
                      <c:pt idx="3749">
                        <c:v>0.59500000000000031</c:v>
                      </c:pt>
                      <c:pt idx="3750">
                        <c:v>0.60500000000000032</c:v>
                      </c:pt>
                      <c:pt idx="3751">
                        <c:v>0.61500000000000032</c:v>
                      </c:pt>
                      <c:pt idx="3752">
                        <c:v>0.62500000000000033</c:v>
                      </c:pt>
                      <c:pt idx="3753">
                        <c:v>0.63500000000000034</c:v>
                      </c:pt>
                      <c:pt idx="3754">
                        <c:v>0.64500000000000035</c:v>
                      </c:pt>
                      <c:pt idx="3755">
                        <c:v>0.65500000000000036</c:v>
                      </c:pt>
                      <c:pt idx="3756">
                        <c:v>0.66500000000000037</c:v>
                      </c:pt>
                      <c:pt idx="3757">
                        <c:v>0.67500000000000038</c:v>
                      </c:pt>
                      <c:pt idx="3758">
                        <c:v>0.68500000000000039</c:v>
                      </c:pt>
                      <c:pt idx="3759">
                        <c:v>0.6950000000000004</c:v>
                      </c:pt>
                      <c:pt idx="3760">
                        <c:v>0.7050000000000004</c:v>
                      </c:pt>
                      <c:pt idx="3761">
                        <c:v>0.71500000000000041</c:v>
                      </c:pt>
                      <c:pt idx="3762">
                        <c:v>0.72500000000000042</c:v>
                      </c:pt>
                      <c:pt idx="3763">
                        <c:v>0.73500000000000043</c:v>
                      </c:pt>
                      <c:pt idx="3764">
                        <c:v>0.74500000000000044</c:v>
                      </c:pt>
                      <c:pt idx="3765">
                        <c:v>0.75500000000000045</c:v>
                      </c:pt>
                      <c:pt idx="3766">
                        <c:v>0.76500000000000046</c:v>
                      </c:pt>
                      <c:pt idx="3768">
                        <c:v>0.24000000000000007</c:v>
                      </c:pt>
                      <c:pt idx="3769">
                        <c:v>0.25000000000000006</c:v>
                      </c:pt>
                      <c:pt idx="3770">
                        <c:v>0.26000000000000006</c:v>
                      </c:pt>
                      <c:pt idx="3771">
                        <c:v>0.27000000000000007</c:v>
                      </c:pt>
                      <c:pt idx="3772">
                        <c:v>0.28000000000000008</c:v>
                      </c:pt>
                      <c:pt idx="3773">
                        <c:v>0.29000000000000009</c:v>
                      </c:pt>
                      <c:pt idx="3774">
                        <c:v>0.3000000000000001</c:v>
                      </c:pt>
                      <c:pt idx="3775">
                        <c:v>0.31000000000000011</c:v>
                      </c:pt>
                      <c:pt idx="3776">
                        <c:v>0.32000000000000012</c:v>
                      </c:pt>
                      <c:pt idx="3777">
                        <c:v>0.33000000000000013</c:v>
                      </c:pt>
                      <c:pt idx="3778">
                        <c:v>0.34000000000000014</c:v>
                      </c:pt>
                      <c:pt idx="3779">
                        <c:v>0.35000000000000014</c:v>
                      </c:pt>
                      <c:pt idx="3780">
                        <c:v>0.36000000000000015</c:v>
                      </c:pt>
                      <c:pt idx="3781">
                        <c:v>0.37000000000000016</c:v>
                      </c:pt>
                      <c:pt idx="3782">
                        <c:v>0.38000000000000017</c:v>
                      </c:pt>
                      <c:pt idx="3783">
                        <c:v>0.39000000000000018</c:v>
                      </c:pt>
                      <c:pt idx="3784">
                        <c:v>0.40000000000000019</c:v>
                      </c:pt>
                      <c:pt idx="3785">
                        <c:v>0.4100000000000002</c:v>
                      </c:pt>
                      <c:pt idx="3786">
                        <c:v>0.42000000000000021</c:v>
                      </c:pt>
                      <c:pt idx="3787">
                        <c:v>0.43000000000000022</c:v>
                      </c:pt>
                      <c:pt idx="3788">
                        <c:v>0.44000000000000022</c:v>
                      </c:pt>
                      <c:pt idx="3789">
                        <c:v>0.45000000000000023</c:v>
                      </c:pt>
                      <c:pt idx="3790">
                        <c:v>0.46000000000000024</c:v>
                      </c:pt>
                      <c:pt idx="3791">
                        <c:v>0.47000000000000025</c:v>
                      </c:pt>
                      <c:pt idx="3792">
                        <c:v>0.48000000000000026</c:v>
                      </c:pt>
                      <c:pt idx="3793">
                        <c:v>0.49000000000000027</c:v>
                      </c:pt>
                      <c:pt idx="3794">
                        <c:v>0.50000000000000022</c:v>
                      </c:pt>
                      <c:pt idx="3795">
                        <c:v>0.51000000000000023</c:v>
                      </c:pt>
                      <c:pt idx="3796">
                        <c:v>0.52000000000000024</c:v>
                      </c:pt>
                      <c:pt idx="3797">
                        <c:v>0.53000000000000025</c:v>
                      </c:pt>
                      <c:pt idx="3798">
                        <c:v>0.54000000000000026</c:v>
                      </c:pt>
                      <c:pt idx="3799">
                        <c:v>0.55000000000000027</c:v>
                      </c:pt>
                      <c:pt idx="3800">
                        <c:v>0.56000000000000028</c:v>
                      </c:pt>
                      <c:pt idx="3801">
                        <c:v>0.57000000000000028</c:v>
                      </c:pt>
                      <c:pt idx="3802">
                        <c:v>0.58000000000000029</c:v>
                      </c:pt>
                      <c:pt idx="3803">
                        <c:v>0.5900000000000003</c:v>
                      </c:pt>
                      <c:pt idx="3804">
                        <c:v>0.60000000000000031</c:v>
                      </c:pt>
                      <c:pt idx="3805">
                        <c:v>0.61000000000000032</c:v>
                      </c:pt>
                      <c:pt idx="3806">
                        <c:v>0.62000000000000033</c:v>
                      </c:pt>
                      <c:pt idx="3807">
                        <c:v>0.63000000000000034</c:v>
                      </c:pt>
                      <c:pt idx="3808">
                        <c:v>0.64000000000000035</c:v>
                      </c:pt>
                      <c:pt idx="3809">
                        <c:v>0.65000000000000036</c:v>
                      </c:pt>
                      <c:pt idx="3810">
                        <c:v>0.66000000000000036</c:v>
                      </c:pt>
                      <c:pt idx="3811">
                        <c:v>0.67000000000000037</c:v>
                      </c:pt>
                      <c:pt idx="3812">
                        <c:v>0.68000000000000038</c:v>
                      </c:pt>
                      <c:pt idx="3813">
                        <c:v>0.69000000000000039</c:v>
                      </c:pt>
                      <c:pt idx="3814">
                        <c:v>0.7000000000000004</c:v>
                      </c:pt>
                      <c:pt idx="3815">
                        <c:v>0.71000000000000041</c:v>
                      </c:pt>
                      <c:pt idx="3816">
                        <c:v>0.72000000000000042</c:v>
                      </c:pt>
                      <c:pt idx="3817">
                        <c:v>0.73000000000000043</c:v>
                      </c:pt>
                      <c:pt idx="3818">
                        <c:v>0.74000000000000044</c:v>
                      </c:pt>
                      <c:pt idx="3819">
                        <c:v>0.75000000000000044</c:v>
                      </c:pt>
                      <c:pt idx="3820">
                        <c:v>0.76000000000000045</c:v>
                      </c:pt>
                      <c:pt idx="3822">
                        <c:v>0.24500000000000008</c:v>
                      </c:pt>
                      <c:pt idx="3823">
                        <c:v>0.25500000000000006</c:v>
                      </c:pt>
                      <c:pt idx="3824">
                        <c:v>0.26500000000000007</c:v>
                      </c:pt>
                      <c:pt idx="3825">
                        <c:v>0.27500000000000008</c:v>
                      </c:pt>
                      <c:pt idx="3826">
                        <c:v>0.28500000000000009</c:v>
                      </c:pt>
                      <c:pt idx="3827">
                        <c:v>0.2950000000000001</c:v>
                      </c:pt>
                      <c:pt idx="3828">
                        <c:v>0.3050000000000001</c:v>
                      </c:pt>
                      <c:pt idx="3829">
                        <c:v>0.31500000000000011</c:v>
                      </c:pt>
                      <c:pt idx="3830">
                        <c:v>0.32500000000000012</c:v>
                      </c:pt>
                      <c:pt idx="3831">
                        <c:v>0.33500000000000013</c:v>
                      </c:pt>
                      <c:pt idx="3832">
                        <c:v>0.34500000000000014</c:v>
                      </c:pt>
                      <c:pt idx="3833">
                        <c:v>0.35500000000000015</c:v>
                      </c:pt>
                      <c:pt idx="3834">
                        <c:v>0.36500000000000016</c:v>
                      </c:pt>
                      <c:pt idx="3835">
                        <c:v>0.37500000000000017</c:v>
                      </c:pt>
                      <c:pt idx="3836">
                        <c:v>0.38500000000000018</c:v>
                      </c:pt>
                      <c:pt idx="3837">
                        <c:v>0.39500000000000018</c:v>
                      </c:pt>
                      <c:pt idx="3838">
                        <c:v>0.40500000000000019</c:v>
                      </c:pt>
                      <c:pt idx="3839">
                        <c:v>0.4150000000000002</c:v>
                      </c:pt>
                      <c:pt idx="3840">
                        <c:v>0.42500000000000021</c:v>
                      </c:pt>
                      <c:pt idx="3841">
                        <c:v>0.43500000000000022</c:v>
                      </c:pt>
                      <c:pt idx="3842">
                        <c:v>0.44500000000000023</c:v>
                      </c:pt>
                      <c:pt idx="3843">
                        <c:v>0.45500000000000024</c:v>
                      </c:pt>
                      <c:pt idx="3844">
                        <c:v>0.46500000000000025</c:v>
                      </c:pt>
                      <c:pt idx="3845">
                        <c:v>0.47500000000000026</c:v>
                      </c:pt>
                      <c:pt idx="3846">
                        <c:v>0.48500000000000026</c:v>
                      </c:pt>
                      <c:pt idx="3847">
                        <c:v>0.49500000000000027</c:v>
                      </c:pt>
                      <c:pt idx="3848">
                        <c:v>0.50500000000000023</c:v>
                      </c:pt>
                      <c:pt idx="3849">
                        <c:v>0.51500000000000024</c:v>
                      </c:pt>
                      <c:pt idx="3850">
                        <c:v>0.52500000000000024</c:v>
                      </c:pt>
                      <c:pt idx="3851">
                        <c:v>0.53500000000000025</c:v>
                      </c:pt>
                      <c:pt idx="3852">
                        <c:v>0.54500000000000026</c:v>
                      </c:pt>
                      <c:pt idx="3853">
                        <c:v>0.55500000000000027</c:v>
                      </c:pt>
                      <c:pt idx="3854">
                        <c:v>0.56500000000000028</c:v>
                      </c:pt>
                      <c:pt idx="3855">
                        <c:v>0.57500000000000029</c:v>
                      </c:pt>
                      <c:pt idx="3856">
                        <c:v>0.5850000000000003</c:v>
                      </c:pt>
                      <c:pt idx="3857">
                        <c:v>0.59500000000000031</c:v>
                      </c:pt>
                      <c:pt idx="3858">
                        <c:v>0.60500000000000032</c:v>
                      </c:pt>
                      <c:pt idx="3859">
                        <c:v>0.61500000000000032</c:v>
                      </c:pt>
                      <c:pt idx="3860">
                        <c:v>0.62500000000000033</c:v>
                      </c:pt>
                      <c:pt idx="3861">
                        <c:v>0.63500000000000034</c:v>
                      </c:pt>
                      <c:pt idx="3862">
                        <c:v>0.64500000000000035</c:v>
                      </c:pt>
                      <c:pt idx="3863">
                        <c:v>0.65500000000000036</c:v>
                      </c:pt>
                      <c:pt idx="3864">
                        <c:v>0.66500000000000037</c:v>
                      </c:pt>
                      <c:pt idx="3865">
                        <c:v>0.67500000000000038</c:v>
                      </c:pt>
                      <c:pt idx="3866">
                        <c:v>0.68500000000000039</c:v>
                      </c:pt>
                      <c:pt idx="3867">
                        <c:v>0.6950000000000004</c:v>
                      </c:pt>
                      <c:pt idx="3868">
                        <c:v>0.7050000000000004</c:v>
                      </c:pt>
                      <c:pt idx="3869">
                        <c:v>0.71500000000000041</c:v>
                      </c:pt>
                      <c:pt idx="3870">
                        <c:v>0.72500000000000042</c:v>
                      </c:pt>
                      <c:pt idx="3871">
                        <c:v>0.73500000000000043</c:v>
                      </c:pt>
                      <c:pt idx="3872">
                        <c:v>0.74500000000000044</c:v>
                      </c:pt>
                      <c:pt idx="3873">
                        <c:v>0.75500000000000045</c:v>
                      </c:pt>
                      <c:pt idx="3875">
                        <c:v>0.25000000000000006</c:v>
                      </c:pt>
                      <c:pt idx="3876">
                        <c:v>0.26000000000000006</c:v>
                      </c:pt>
                      <c:pt idx="3877">
                        <c:v>0.27000000000000007</c:v>
                      </c:pt>
                      <c:pt idx="3878">
                        <c:v>0.28000000000000008</c:v>
                      </c:pt>
                      <c:pt idx="3879">
                        <c:v>0.29000000000000009</c:v>
                      </c:pt>
                      <c:pt idx="3880">
                        <c:v>0.3000000000000001</c:v>
                      </c:pt>
                      <c:pt idx="3881">
                        <c:v>0.31000000000000011</c:v>
                      </c:pt>
                      <c:pt idx="3882">
                        <c:v>0.32000000000000012</c:v>
                      </c:pt>
                      <c:pt idx="3883">
                        <c:v>0.33000000000000013</c:v>
                      </c:pt>
                      <c:pt idx="3884">
                        <c:v>0.34000000000000014</c:v>
                      </c:pt>
                      <c:pt idx="3885">
                        <c:v>0.35000000000000014</c:v>
                      </c:pt>
                      <c:pt idx="3886">
                        <c:v>0.36000000000000015</c:v>
                      </c:pt>
                      <c:pt idx="3887">
                        <c:v>0.37000000000000016</c:v>
                      </c:pt>
                      <c:pt idx="3888">
                        <c:v>0.38000000000000017</c:v>
                      </c:pt>
                      <c:pt idx="3889">
                        <c:v>0.39000000000000018</c:v>
                      </c:pt>
                      <c:pt idx="3890">
                        <c:v>0.40000000000000019</c:v>
                      </c:pt>
                      <c:pt idx="3891">
                        <c:v>0.4100000000000002</c:v>
                      </c:pt>
                      <c:pt idx="3892">
                        <c:v>0.42000000000000021</c:v>
                      </c:pt>
                      <c:pt idx="3893">
                        <c:v>0.43000000000000022</c:v>
                      </c:pt>
                      <c:pt idx="3894">
                        <c:v>0.44000000000000022</c:v>
                      </c:pt>
                      <c:pt idx="3895">
                        <c:v>0.45000000000000023</c:v>
                      </c:pt>
                      <c:pt idx="3896">
                        <c:v>0.46000000000000024</c:v>
                      </c:pt>
                      <c:pt idx="3897">
                        <c:v>0.47000000000000025</c:v>
                      </c:pt>
                      <c:pt idx="3898">
                        <c:v>0.48000000000000026</c:v>
                      </c:pt>
                      <c:pt idx="3899">
                        <c:v>0.49000000000000027</c:v>
                      </c:pt>
                      <c:pt idx="3900">
                        <c:v>0.50000000000000022</c:v>
                      </c:pt>
                      <c:pt idx="3901">
                        <c:v>0.51000000000000023</c:v>
                      </c:pt>
                      <c:pt idx="3902">
                        <c:v>0.52000000000000024</c:v>
                      </c:pt>
                      <c:pt idx="3903">
                        <c:v>0.53000000000000025</c:v>
                      </c:pt>
                      <c:pt idx="3904">
                        <c:v>0.54000000000000026</c:v>
                      </c:pt>
                      <c:pt idx="3905">
                        <c:v>0.55000000000000027</c:v>
                      </c:pt>
                      <c:pt idx="3906">
                        <c:v>0.56000000000000028</c:v>
                      </c:pt>
                      <c:pt idx="3907">
                        <c:v>0.57000000000000028</c:v>
                      </c:pt>
                      <c:pt idx="3908">
                        <c:v>0.58000000000000029</c:v>
                      </c:pt>
                      <c:pt idx="3909">
                        <c:v>0.5900000000000003</c:v>
                      </c:pt>
                      <c:pt idx="3910">
                        <c:v>0.60000000000000031</c:v>
                      </c:pt>
                      <c:pt idx="3911">
                        <c:v>0.61000000000000032</c:v>
                      </c:pt>
                      <c:pt idx="3912">
                        <c:v>0.62000000000000033</c:v>
                      </c:pt>
                      <c:pt idx="3913">
                        <c:v>0.63000000000000034</c:v>
                      </c:pt>
                      <c:pt idx="3914">
                        <c:v>0.64000000000000035</c:v>
                      </c:pt>
                      <c:pt idx="3915">
                        <c:v>0.65000000000000036</c:v>
                      </c:pt>
                      <c:pt idx="3916">
                        <c:v>0.66000000000000036</c:v>
                      </c:pt>
                      <c:pt idx="3917">
                        <c:v>0.67000000000000037</c:v>
                      </c:pt>
                      <c:pt idx="3918">
                        <c:v>0.68000000000000038</c:v>
                      </c:pt>
                      <c:pt idx="3919">
                        <c:v>0.69000000000000039</c:v>
                      </c:pt>
                      <c:pt idx="3920">
                        <c:v>0.7000000000000004</c:v>
                      </c:pt>
                      <c:pt idx="3921">
                        <c:v>0.71000000000000041</c:v>
                      </c:pt>
                      <c:pt idx="3922">
                        <c:v>0.72000000000000042</c:v>
                      </c:pt>
                      <c:pt idx="3923">
                        <c:v>0.73000000000000043</c:v>
                      </c:pt>
                      <c:pt idx="3924">
                        <c:v>0.74000000000000044</c:v>
                      </c:pt>
                      <c:pt idx="3925">
                        <c:v>0.75000000000000044</c:v>
                      </c:pt>
                      <c:pt idx="3927">
                        <c:v>0.25500000000000006</c:v>
                      </c:pt>
                      <c:pt idx="3928">
                        <c:v>0.26500000000000007</c:v>
                      </c:pt>
                      <c:pt idx="3929">
                        <c:v>0.27500000000000008</c:v>
                      </c:pt>
                      <c:pt idx="3930">
                        <c:v>0.28500000000000009</c:v>
                      </c:pt>
                      <c:pt idx="3931">
                        <c:v>0.2950000000000001</c:v>
                      </c:pt>
                      <c:pt idx="3932">
                        <c:v>0.3050000000000001</c:v>
                      </c:pt>
                      <c:pt idx="3933">
                        <c:v>0.31500000000000011</c:v>
                      </c:pt>
                      <c:pt idx="3934">
                        <c:v>0.32500000000000012</c:v>
                      </c:pt>
                      <c:pt idx="3935">
                        <c:v>0.33500000000000013</c:v>
                      </c:pt>
                      <c:pt idx="3936">
                        <c:v>0.34500000000000014</c:v>
                      </c:pt>
                      <c:pt idx="3937">
                        <c:v>0.35500000000000015</c:v>
                      </c:pt>
                      <c:pt idx="3938">
                        <c:v>0.36500000000000016</c:v>
                      </c:pt>
                      <c:pt idx="3939">
                        <c:v>0.37500000000000017</c:v>
                      </c:pt>
                      <c:pt idx="3940">
                        <c:v>0.38500000000000018</c:v>
                      </c:pt>
                      <c:pt idx="3941">
                        <c:v>0.39500000000000018</c:v>
                      </c:pt>
                      <c:pt idx="3942">
                        <c:v>0.40500000000000019</c:v>
                      </c:pt>
                      <c:pt idx="3943">
                        <c:v>0.4150000000000002</c:v>
                      </c:pt>
                      <c:pt idx="3944">
                        <c:v>0.42500000000000021</c:v>
                      </c:pt>
                      <c:pt idx="3945">
                        <c:v>0.43500000000000022</c:v>
                      </c:pt>
                      <c:pt idx="3946">
                        <c:v>0.44500000000000023</c:v>
                      </c:pt>
                      <c:pt idx="3947">
                        <c:v>0.45500000000000024</c:v>
                      </c:pt>
                      <c:pt idx="3948">
                        <c:v>0.46500000000000025</c:v>
                      </c:pt>
                      <c:pt idx="3949">
                        <c:v>0.47500000000000026</c:v>
                      </c:pt>
                      <c:pt idx="3950">
                        <c:v>0.48500000000000026</c:v>
                      </c:pt>
                      <c:pt idx="3951">
                        <c:v>0.49500000000000027</c:v>
                      </c:pt>
                      <c:pt idx="3952">
                        <c:v>0.50500000000000023</c:v>
                      </c:pt>
                      <c:pt idx="3953">
                        <c:v>0.51500000000000024</c:v>
                      </c:pt>
                      <c:pt idx="3954">
                        <c:v>0.52500000000000024</c:v>
                      </c:pt>
                      <c:pt idx="3955">
                        <c:v>0.53500000000000025</c:v>
                      </c:pt>
                      <c:pt idx="3956">
                        <c:v>0.54500000000000026</c:v>
                      </c:pt>
                      <c:pt idx="3957">
                        <c:v>0.55500000000000027</c:v>
                      </c:pt>
                      <c:pt idx="3958">
                        <c:v>0.56500000000000028</c:v>
                      </c:pt>
                      <c:pt idx="3959">
                        <c:v>0.57500000000000029</c:v>
                      </c:pt>
                      <c:pt idx="3960">
                        <c:v>0.5850000000000003</c:v>
                      </c:pt>
                      <c:pt idx="3961">
                        <c:v>0.59500000000000031</c:v>
                      </c:pt>
                      <c:pt idx="3962">
                        <c:v>0.60500000000000032</c:v>
                      </c:pt>
                      <c:pt idx="3963">
                        <c:v>0.61500000000000032</c:v>
                      </c:pt>
                      <c:pt idx="3964">
                        <c:v>0.62500000000000033</c:v>
                      </c:pt>
                      <c:pt idx="3965">
                        <c:v>0.63500000000000034</c:v>
                      </c:pt>
                      <c:pt idx="3966">
                        <c:v>0.64500000000000035</c:v>
                      </c:pt>
                      <c:pt idx="3967">
                        <c:v>0.65500000000000036</c:v>
                      </c:pt>
                      <c:pt idx="3968">
                        <c:v>0.66500000000000037</c:v>
                      </c:pt>
                      <c:pt idx="3969">
                        <c:v>0.67500000000000038</c:v>
                      </c:pt>
                      <c:pt idx="3970">
                        <c:v>0.68500000000000039</c:v>
                      </c:pt>
                      <c:pt idx="3971">
                        <c:v>0.6950000000000004</c:v>
                      </c:pt>
                      <c:pt idx="3972">
                        <c:v>0.7050000000000004</c:v>
                      </c:pt>
                      <c:pt idx="3973">
                        <c:v>0.71500000000000041</c:v>
                      </c:pt>
                      <c:pt idx="3974">
                        <c:v>0.72500000000000042</c:v>
                      </c:pt>
                      <c:pt idx="3975">
                        <c:v>0.73500000000000043</c:v>
                      </c:pt>
                      <c:pt idx="3976">
                        <c:v>0.74500000000000044</c:v>
                      </c:pt>
                      <c:pt idx="3978">
                        <c:v>0.26000000000000006</c:v>
                      </c:pt>
                      <c:pt idx="3979">
                        <c:v>0.27000000000000007</c:v>
                      </c:pt>
                      <c:pt idx="3980">
                        <c:v>0.28000000000000008</c:v>
                      </c:pt>
                      <c:pt idx="3981">
                        <c:v>0.29000000000000009</c:v>
                      </c:pt>
                      <c:pt idx="3982">
                        <c:v>0.3000000000000001</c:v>
                      </c:pt>
                      <c:pt idx="3983">
                        <c:v>0.31000000000000011</c:v>
                      </c:pt>
                      <c:pt idx="3984">
                        <c:v>0.32000000000000012</c:v>
                      </c:pt>
                      <c:pt idx="3985">
                        <c:v>0.33000000000000013</c:v>
                      </c:pt>
                      <c:pt idx="3986">
                        <c:v>0.34000000000000014</c:v>
                      </c:pt>
                      <c:pt idx="3987">
                        <c:v>0.35000000000000014</c:v>
                      </c:pt>
                      <c:pt idx="3988">
                        <c:v>0.36000000000000015</c:v>
                      </c:pt>
                      <c:pt idx="3989">
                        <c:v>0.37000000000000016</c:v>
                      </c:pt>
                      <c:pt idx="3990">
                        <c:v>0.38000000000000017</c:v>
                      </c:pt>
                      <c:pt idx="3991">
                        <c:v>0.39000000000000018</c:v>
                      </c:pt>
                      <c:pt idx="3992">
                        <c:v>0.40000000000000019</c:v>
                      </c:pt>
                      <c:pt idx="3993">
                        <c:v>0.4100000000000002</c:v>
                      </c:pt>
                      <c:pt idx="3994">
                        <c:v>0.42000000000000021</c:v>
                      </c:pt>
                      <c:pt idx="3995">
                        <c:v>0.43000000000000022</c:v>
                      </c:pt>
                      <c:pt idx="3996">
                        <c:v>0.44000000000000022</c:v>
                      </c:pt>
                      <c:pt idx="3997">
                        <c:v>0.45000000000000023</c:v>
                      </c:pt>
                      <c:pt idx="3998">
                        <c:v>0.46000000000000024</c:v>
                      </c:pt>
                      <c:pt idx="3999">
                        <c:v>0.47000000000000025</c:v>
                      </c:pt>
                      <c:pt idx="4000">
                        <c:v>0.48000000000000026</c:v>
                      </c:pt>
                      <c:pt idx="4001">
                        <c:v>0.49000000000000027</c:v>
                      </c:pt>
                      <c:pt idx="4002">
                        <c:v>0.50000000000000022</c:v>
                      </c:pt>
                      <c:pt idx="4003">
                        <c:v>0.51000000000000023</c:v>
                      </c:pt>
                      <c:pt idx="4004">
                        <c:v>0.52000000000000024</c:v>
                      </c:pt>
                      <c:pt idx="4005">
                        <c:v>0.53000000000000025</c:v>
                      </c:pt>
                      <c:pt idx="4006">
                        <c:v>0.54000000000000026</c:v>
                      </c:pt>
                      <c:pt idx="4007">
                        <c:v>0.55000000000000027</c:v>
                      </c:pt>
                      <c:pt idx="4008">
                        <c:v>0.56000000000000028</c:v>
                      </c:pt>
                      <c:pt idx="4009">
                        <c:v>0.57000000000000028</c:v>
                      </c:pt>
                      <c:pt idx="4010">
                        <c:v>0.58000000000000029</c:v>
                      </c:pt>
                      <c:pt idx="4011">
                        <c:v>0.5900000000000003</c:v>
                      </c:pt>
                      <c:pt idx="4012">
                        <c:v>0.60000000000000031</c:v>
                      </c:pt>
                      <c:pt idx="4013">
                        <c:v>0.61000000000000032</c:v>
                      </c:pt>
                      <c:pt idx="4014">
                        <c:v>0.62000000000000033</c:v>
                      </c:pt>
                      <c:pt idx="4015">
                        <c:v>0.63000000000000034</c:v>
                      </c:pt>
                      <c:pt idx="4016">
                        <c:v>0.64000000000000035</c:v>
                      </c:pt>
                      <c:pt idx="4017">
                        <c:v>0.65000000000000036</c:v>
                      </c:pt>
                      <c:pt idx="4018">
                        <c:v>0.66000000000000036</c:v>
                      </c:pt>
                      <c:pt idx="4019">
                        <c:v>0.67000000000000037</c:v>
                      </c:pt>
                      <c:pt idx="4020">
                        <c:v>0.68000000000000038</c:v>
                      </c:pt>
                      <c:pt idx="4021">
                        <c:v>0.69000000000000039</c:v>
                      </c:pt>
                      <c:pt idx="4022">
                        <c:v>0.7000000000000004</c:v>
                      </c:pt>
                      <c:pt idx="4023">
                        <c:v>0.71000000000000041</c:v>
                      </c:pt>
                      <c:pt idx="4024">
                        <c:v>0.72000000000000042</c:v>
                      </c:pt>
                      <c:pt idx="4025">
                        <c:v>0.73000000000000043</c:v>
                      </c:pt>
                      <c:pt idx="4026">
                        <c:v>0.74000000000000044</c:v>
                      </c:pt>
                      <c:pt idx="4028">
                        <c:v>0.26500000000000007</c:v>
                      </c:pt>
                      <c:pt idx="4029">
                        <c:v>0.27500000000000008</c:v>
                      </c:pt>
                      <c:pt idx="4030">
                        <c:v>0.28500000000000009</c:v>
                      </c:pt>
                      <c:pt idx="4031">
                        <c:v>0.2950000000000001</c:v>
                      </c:pt>
                      <c:pt idx="4032">
                        <c:v>0.3050000000000001</c:v>
                      </c:pt>
                      <c:pt idx="4033">
                        <c:v>0.31500000000000011</c:v>
                      </c:pt>
                      <c:pt idx="4034">
                        <c:v>0.32500000000000012</c:v>
                      </c:pt>
                      <c:pt idx="4035">
                        <c:v>0.33500000000000013</c:v>
                      </c:pt>
                      <c:pt idx="4036">
                        <c:v>0.34500000000000014</c:v>
                      </c:pt>
                      <c:pt idx="4037">
                        <c:v>0.35500000000000015</c:v>
                      </c:pt>
                      <c:pt idx="4038">
                        <c:v>0.36500000000000016</c:v>
                      </c:pt>
                      <c:pt idx="4039">
                        <c:v>0.37500000000000017</c:v>
                      </c:pt>
                      <c:pt idx="4040">
                        <c:v>0.38500000000000018</c:v>
                      </c:pt>
                      <c:pt idx="4041">
                        <c:v>0.39500000000000018</c:v>
                      </c:pt>
                      <c:pt idx="4042">
                        <c:v>0.40500000000000019</c:v>
                      </c:pt>
                      <c:pt idx="4043">
                        <c:v>0.4150000000000002</c:v>
                      </c:pt>
                      <c:pt idx="4044">
                        <c:v>0.42500000000000021</c:v>
                      </c:pt>
                      <c:pt idx="4045">
                        <c:v>0.43500000000000022</c:v>
                      </c:pt>
                      <c:pt idx="4046">
                        <c:v>0.44500000000000023</c:v>
                      </c:pt>
                      <c:pt idx="4047">
                        <c:v>0.45500000000000024</c:v>
                      </c:pt>
                      <c:pt idx="4048">
                        <c:v>0.46500000000000025</c:v>
                      </c:pt>
                      <c:pt idx="4049">
                        <c:v>0.47500000000000026</c:v>
                      </c:pt>
                      <c:pt idx="4050">
                        <c:v>0.48500000000000026</c:v>
                      </c:pt>
                      <c:pt idx="4051">
                        <c:v>0.49500000000000027</c:v>
                      </c:pt>
                      <c:pt idx="4052">
                        <c:v>0.50500000000000023</c:v>
                      </c:pt>
                      <c:pt idx="4053">
                        <c:v>0.51500000000000024</c:v>
                      </c:pt>
                      <c:pt idx="4054">
                        <c:v>0.52500000000000024</c:v>
                      </c:pt>
                      <c:pt idx="4055">
                        <c:v>0.53500000000000025</c:v>
                      </c:pt>
                      <c:pt idx="4056">
                        <c:v>0.54500000000000026</c:v>
                      </c:pt>
                      <c:pt idx="4057">
                        <c:v>0.55500000000000027</c:v>
                      </c:pt>
                      <c:pt idx="4058">
                        <c:v>0.56500000000000028</c:v>
                      </c:pt>
                      <c:pt idx="4059">
                        <c:v>0.57500000000000029</c:v>
                      </c:pt>
                      <c:pt idx="4060">
                        <c:v>0.5850000000000003</c:v>
                      </c:pt>
                      <c:pt idx="4061">
                        <c:v>0.59500000000000031</c:v>
                      </c:pt>
                      <c:pt idx="4062">
                        <c:v>0.60500000000000032</c:v>
                      </c:pt>
                      <c:pt idx="4063">
                        <c:v>0.61500000000000032</c:v>
                      </c:pt>
                      <c:pt idx="4064">
                        <c:v>0.62500000000000033</c:v>
                      </c:pt>
                      <c:pt idx="4065">
                        <c:v>0.63500000000000034</c:v>
                      </c:pt>
                      <c:pt idx="4066">
                        <c:v>0.64500000000000035</c:v>
                      </c:pt>
                      <c:pt idx="4067">
                        <c:v>0.65500000000000036</c:v>
                      </c:pt>
                      <c:pt idx="4068">
                        <c:v>0.66500000000000037</c:v>
                      </c:pt>
                      <c:pt idx="4069">
                        <c:v>0.67500000000000038</c:v>
                      </c:pt>
                      <c:pt idx="4070">
                        <c:v>0.68500000000000039</c:v>
                      </c:pt>
                      <c:pt idx="4071">
                        <c:v>0.6950000000000004</c:v>
                      </c:pt>
                      <c:pt idx="4072">
                        <c:v>0.7050000000000004</c:v>
                      </c:pt>
                      <c:pt idx="4073">
                        <c:v>0.71500000000000041</c:v>
                      </c:pt>
                      <c:pt idx="4074">
                        <c:v>0.72500000000000042</c:v>
                      </c:pt>
                      <c:pt idx="4075">
                        <c:v>0.73500000000000043</c:v>
                      </c:pt>
                      <c:pt idx="4077">
                        <c:v>0.27000000000000007</c:v>
                      </c:pt>
                      <c:pt idx="4078">
                        <c:v>0.28000000000000008</c:v>
                      </c:pt>
                      <c:pt idx="4079">
                        <c:v>0.29000000000000009</c:v>
                      </c:pt>
                      <c:pt idx="4080">
                        <c:v>0.3000000000000001</c:v>
                      </c:pt>
                      <c:pt idx="4081">
                        <c:v>0.31000000000000011</c:v>
                      </c:pt>
                      <c:pt idx="4082">
                        <c:v>0.32000000000000012</c:v>
                      </c:pt>
                      <c:pt idx="4083">
                        <c:v>0.33000000000000013</c:v>
                      </c:pt>
                      <c:pt idx="4084">
                        <c:v>0.34000000000000014</c:v>
                      </c:pt>
                      <c:pt idx="4085">
                        <c:v>0.35000000000000014</c:v>
                      </c:pt>
                      <c:pt idx="4086">
                        <c:v>0.36000000000000015</c:v>
                      </c:pt>
                      <c:pt idx="4087">
                        <c:v>0.37000000000000016</c:v>
                      </c:pt>
                      <c:pt idx="4088">
                        <c:v>0.38000000000000017</c:v>
                      </c:pt>
                      <c:pt idx="4089">
                        <c:v>0.39000000000000018</c:v>
                      </c:pt>
                      <c:pt idx="4090">
                        <c:v>0.40000000000000019</c:v>
                      </c:pt>
                      <c:pt idx="4091">
                        <c:v>0.4100000000000002</c:v>
                      </c:pt>
                      <c:pt idx="4092">
                        <c:v>0.42000000000000021</c:v>
                      </c:pt>
                      <c:pt idx="4093">
                        <c:v>0.43000000000000022</c:v>
                      </c:pt>
                      <c:pt idx="4094">
                        <c:v>0.44000000000000022</c:v>
                      </c:pt>
                      <c:pt idx="4095">
                        <c:v>0.45000000000000023</c:v>
                      </c:pt>
                      <c:pt idx="4096">
                        <c:v>0.46000000000000024</c:v>
                      </c:pt>
                      <c:pt idx="4097">
                        <c:v>0.47000000000000025</c:v>
                      </c:pt>
                      <c:pt idx="4098">
                        <c:v>0.48000000000000026</c:v>
                      </c:pt>
                      <c:pt idx="4099">
                        <c:v>0.49000000000000027</c:v>
                      </c:pt>
                      <c:pt idx="4100">
                        <c:v>0.50000000000000022</c:v>
                      </c:pt>
                      <c:pt idx="4101">
                        <c:v>0.51000000000000023</c:v>
                      </c:pt>
                      <c:pt idx="4102">
                        <c:v>0.52000000000000024</c:v>
                      </c:pt>
                      <c:pt idx="4103">
                        <c:v>0.53000000000000025</c:v>
                      </c:pt>
                      <c:pt idx="4104">
                        <c:v>0.54000000000000026</c:v>
                      </c:pt>
                      <c:pt idx="4105">
                        <c:v>0.55000000000000027</c:v>
                      </c:pt>
                      <c:pt idx="4106">
                        <c:v>0.56000000000000028</c:v>
                      </c:pt>
                      <c:pt idx="4107">
                        <c:v>0.57000000000000028</c:v>
                      </c:pt>
                      <c:pt idx="4108">
                        <c:v>0.58000000000000029</c:v>
                      </c:pt>
                      <c:pt idx="4109">
                        <c:v>0.5900000000000003</c:v>
                      </c:pt>
                      <c:pt idx="4110">
                        <c:v>0.60000000000000031</c:v>
                      </c:pt>
                      <c:pt idx="4111">
                        <c:v>0.61000000000000032</c:v>
                      </c:pt>
                      <c:pt idx="4112">
                        <c:v>0.62000000000000033</c:v>
                      </c:pt>
                      <c:pt idx="4113">
                        <c:v>0.63000000000000034</c:v>
                      </c:pt>
                      <c:pt idx="4114">
                        <c:v>0.64000000000000035</c:v>
                      </c:pt>
                      <c:pt idx="4115">
                        <c:v>0.65000000000000036</c:v>
                      </c:pt>
                      <c:pt idx="4116">
                        <c:v>0.66000000000000036</c:v>
                      </c:pt>
                      <c:pt idx="4117">
                        <c:v>0.67000000000000037</c:v>
                      </c:pt>
                      <c:pt idx="4118">
                        <c:v>0.68000000000000038</c:v>
                      </c:pt>
                      <c:pt idx="4119">
                        <c:v>0.69000000000000039</c:v>
                      </c:pt>
                      <c:pt idx="4120">
                        <c:v>0.7000000000000004</c:v>
                      </c:pt>
                      <c:pt idx="4121">
                        <c:v>0.71000000000000041</c:v>
                      </c:pt>
                      <c:pt idx="4122">
                        <c:v>0.72000000000000042</c:v>
                      </c:pt>
                      <c:pt idx="4123">
                        <c:v>0.73000000000000043</c:v>
                      </c:pt>
                      <c:pt idx="4125">
                        <c:v>0.27500000000000008</c:v>
                      </c:pt>
                      <c:pt idx="4126">
                        <c:v>0.28500000000000009</c:v>
                      </c:pt>
                      <c:pt idx="4127">
                        <c:v>0.2950000000000001</c:v>
                      </c:pt>
                      <c:pt idx="4128">
                        <c:v>0.3050000000000001</c:v>
                      </c:pt>
                      <c:pt idx="4129">
                        <c:v>0.31500000000000011</c:v>
                      </c:pt>
                      <c:pt idx="4130">
                        <c:v>0.32500000000000012</c:v>
                      </c:pt>
                      <c:pt idx="4131">
                        <c:v>0.33500000000000013</c:v>
                      </c:pt>
                      <c:pt idx="4132">
                        <c:v>0.34500000000000014</c:v>
                      </c:pt>
                      <c:pt idx="4133">
                        <c:v>0.35500000000000015</c:v>
                      </c:pt>
                      <c:pt idx="4134">
                        <c:v>0.36500000000000016</c:v>
                      </c:pt>
                      <c:pt idx="4135">
                        <c:v>0.37500000000000017</c:v>
                      </c:pt>
                      <c:pt idx="4136">
                        <c:v>0.38500000000000018</c:v>
                      </c:pt>
                      <c:pt idx="4137">
                        <c:v>0.39500000000000018</c:v>
                      </c:pt>
                      <c:pt idx="4138">
                        <c:v>0.40500000000000019</c:v>
                      </c:pt>
                      <c:pt idx="4139">
                        <c:v>0.4150000000000002</c:v>
                      </c:pt>
                      <c:pt idx="4140">
                        <c:v>0.42500000000000021</c:v>
                      </c:pt>
                      <c:pt idx="4141">
                        <c:v>0.43500000000000022</c:v>
                      </c:pt>
                      <c:pt idx="4142">
                        <c:v>0.44500000000000023</c:v>
                      </c:pt>
                      <c:pt idx="4143">
                        <c:v>0.45500000000000024</c:v>
                      </c:pt>
                      <c:pt idx="4144">
                        <c:v>0.46500000000000025</c:v>
                      </c:pt>
                      <c:pt idx="4145">
                        <c:v>0.47500000000000026</c:v>
                      </c:pt>
                      <c:pt idx="4146">
                        <c:v>0.48500000000000026</c:v>
                      </c:pt>
                      <c:pt idx="4147">
                        <c:v>0.49500000000000027</c:v>
                      </c:pt>
                      <c:pt idx="4148">
                        <c:v>0.50500000000000023</c:v>
                      </c:pt>
                      <c:pt idx="4149">
                        <c:v>0.51500000000000024</c:v>
                      </c:pt>
                      <c:pt idx="4150">
                        <c:v>0.52500000000000024</c:v>
                      </c:pt>
                      <c:pt idx="4151">
                        <c:v>0.53500000000000025</c:v>
                      </c:pt>
                      <c:pt idx="4152">
                        <c:v>0.54500000000000026</c:v>
                      </c:pt>
                      <c:pt idx="4153">
                        <c:v>0.55500000000000027</c:v>
                      </c:pt>
                      <c:pt idx="4154">
                        <c:v>0.56500000000000028</c:v>
                      </c:pt>
                      <c:pt idx="4155">
                        <c:v>0.57500000000000029</c:v>
                      </c:pt>
                      <c:pt idx="4156">
                        <c:v>0.5850000000000003</c:v>
                      </c:pt>
                      <c:pt idx="4157">
                        <c:v>0.59500000000000031</c:v>
                      </c:pt>
                      <c:pt idx="4158">
                        <c:v>0.60500000000000032</c:v>
                      </c:pt>
                      <c:pt idx="4159">
                        <c:v>0.61500000000000032</c:v>
                      </c:pt>
                      <c:pt idx="4160">
                        <c:v>0.62500000000000033</c:v>
                      </c:pt>
                      <c:pt idx="4161">
                        <c:v>0.63500000000000034</c:v>
                      </c:pt>
                      <c:pt idx="4162">
                        <c:v>0.64500000000000035</c:v>
                      </c:pt>
                      <c:pt idx="4163">
                        <c:v>0.65500000000000036</c:v>
                      </c:pt>
                      <c:pt idx="4164">
                        <c:v>0.66500000000000037</c:v>
                      </c:pt>
                      <c:pt idx="4165">
                        <c:v>0.67500000000000038</c:v>
                      </c:pt>
                      <c:pt idx="4166">
                        <c:v>0.68500000000000039</c:v>
                      </c:pt>
                      <c:pt idx="4167">
                        <c:v>0.6950000000000004</c:v>
                      </c:pt>
                      <c:pt idx="4168">
                        <c:v>0.7050000000000004</c:v>
                      </c:pt>
                      <c:pt idx="4169">
                        <c:v>0.71500000000000041</c:v>
                      </c:pt>
                      <c:pt idx="4170">
                        <c:v>0.72500000000000042</c:v>
                      </c:pt>
                      <c:pt idx="4172">
                        <c:v>0.28000000000000008</c:v>
                      </c:pt>
                      <c:pt idx="4173">
                        <c:v>0.29000000000000009</c:v>
                      </c:pt>
                      <c:pt idx="4174">
                        <c:v>0.3000000000000001</c:v>
                      </c:pt>
                      <c:pt idx="4175">
                        <c:v>0.31000000000000011</c:v>
                      </c:pt>
                      <c:pt idx="4176">
                        <c:v>0.32000000000000012</c:v>
                      </c:pt>
                      <c:pt idx="4177">
                        <c:v>0.33000000000000013</c:v>
                      </c:pt>
                      <c:pt idx="4178">
                        <c:v>0.34000000000000014</c:v>
                      </c:pt>
                      <c:pt idx="4179">
                        <c:v>0.35000000000000014</c:v>
                      </c:pt>
                      <c:pt idx="4180">
                        <c:v>0.36000000000000015</c:v>
                      </c:pt>
                      <c:pt idx="4181">
                        <c:v>0.37000000000000016</c:v>
                      </c:pt>
                      <c:pt idx="4182">
                        <c:v>0.38000000000000017</c:v>
                      </c:pt>
                      <c:pt idx="4183">
                        <c:v>0.39000000000000018</c:v>
                      </c:pt>
                      <c:pt idx="4184">
                        <c:v>0.40000000000000019</c:v>
                      </c:pt>
                      <c:pt idx="4185">
                        <c:v>0.4100000000000002</c:v>
                      </c:pt>
                      <c:pt idx="4186">
                        <c:v>0.42000000000000021</c:v>
                      </c:pt>
                      <c:pt idx="4187">
                        <c:v>0.43000000000000022</c:v>
                      </c:pt>
                      <c:pt idx="4188">
                        <c:v>0.44000000000000022</c:v>
                      </c:pt>
                      <c:pt idx="4189">
                        <c:v>0.45000000000000023</c:v>
                      </c:pt>
                      <c:pt idx="4190">
                        <c:v>0.46000000000000024</c:v>
                      </c:pt>
                      <c:pt idx="4191">
                        <c:v>0.47000000000000025</c:v>
                      </c:pt>
                      <c:pt idx="4192">
                        <c:v>0.48000000000000026</c:v>
                      </c:pt>
                      <c:pt idx="4193">
                        <c:v>0.49000000000000027</c:v>
                      </c:pt>
                      <c:pt idx="4194">
                        <c:v>0.50000000000000022</c:v>
                      </c:pt>
                      <c:pt idx="4195">
                        <c:v>0.51000000000000023</c:v>
                      </c:pt>
                      <c:pt idx="4196">
                        <c:v>0.52000000000000024</c:v>
                      </c:pt>
                      <c:pt idx="4197">
                        <c:v>0.53000000000000025</c:v>
                      </c:pt>
                      <c:pt idx="4198">
                        <c:v>0.54000000000000026</c:v>
                      </c:pt>
                      <c:pt idx="4199">
                        <c:v>0.55000000000000027</c:v>
                      </c:pt>
                      <c:pt idx="4200">
                        <c:v>0.56000000000000028</c:v>
                      </c:pt>
                      <c:pt idx="4201">
                        <c:v>0.57000000000000028</c:v>
                      </c:pt>
                      <c:pt idx="4202">
                        <c:v>0.58000000000000029</c:v>
                      </c:pt>
                      <c:pt idx="4203">
                        <c:v>0.5900000000000003</c:v>
                      </c:pt>
                      <c:pt idx="4204">
                        <c:v>0.60000000000000031</c:v>
                      </c:pt>
                      <c:pt idx="4205">
                        <c:v>0.61000000000000032</c:v>
                      </c:pt>
                      <c:pt idx="4206">
                        <c:v>0.62000000000000033</c:v>
                      </c:pt>
                      <c:pt idx="4207">
                        <c:v>0.63000000000000034</c:v>
                      </c:pt>
                      <c:pt idx="4208">
                        <c:v>0.64000000000000035</c:v>
                      </c:pt>
                      <c:pt idx="4209">
                        <c:v>0.65000000000000036</c:v>
                      </c:pt>
                      <c:pt idx="4210">
                        <c:v>0.66000000000000036</c:v>
                      </c:pt>
                      <c:pt idx="4211">
                        <c:v>0.67000000000000037</c:v>
                      </c:pt>
                      <c:pt idx="4212">
                        <c:v>0.68000000000000038</c:v>
                      </c:pt>
                      <c:pt idx="4213">
                        <c:v>0.69000000000000039</c:v>
                      </c:pt>
                      <c:pt idx="4214">
                        <c:v>0.7000000000000004</c:v>
                      </c:pt>
                      <c:pt idx="4215">
                        <c:v>0.71000000000000041</c:v>
                      </c:pt>
                      <c:pt idx="4216">
                        <c:v>0.72000000000000042</c:v>
                      </c:pt>
                      <c:pt idx="4218">
                        <c:v>0.28500000000000009</c:v>
                      </c:pt>
                      <c:pt idx="4219">
                        <c:v>0.2950000000000001</c:v>
                      </c:pt>
                      <c:pt idx="4220">
                        <c:v>0.3050000000000001</c:v>
                      </c:pt>
                      <c:pt idx="4221">
                        <c:v>0.31500000000000011</c:v>
                      </c:pt>
                      <c:pt idx="4222">
                        <c:v>0.32500000000000012</c:v>
                      </c:pt>
                      <c:pt idx="4223">
                        <c:v>0.33500000000000013</c:v>
                      </c:pt>
                      <c:pt idx="4224">
                        <c:v>0.34500000000000014</c:v>
                      </c:pt>
                      <c:pt idx="4225">
                        <c:v>0.35500000000000015</c:v>
                      </c:pt>
                      <c:pt idx="4226">
                        <c:v>0.36500000000000016</c:v>
                      </c:pt>
                      <c:pt idx="4227">
                        <c:v>0.37500000000000017</c:v>
                      </c:pt>
                      <c:pt idx="4228">
                        <c:v>0.38500000000000018</c:v>
                      </c:pt>
                      <c:pt idx="4229">
                        <c:v>0.39500000000000018</c:v>
                      </c:pt>
                      <c:pt idx="4230">
                        <c:v>0.40500000000000019</c:v>
                      </c:pt>
                      <c:pt idx="4231">
                        <c:v>0.4150000000000002</c:v>
                      </c:pt>
                      <c:pt idx="4232">
                        <c:v>0.42500000000000021</c:v>
                      </c:pt>
                      <c:pt idx="4233">
                        <c:v>0.43500000000000022</c:v>
                      </c:pt>
                      <c:pt idx="4234">
                        <c:v>0.44500000000000023</c:v>
                      </c:pt>
                      <c:pt idx="4235">
                        <c:v>0.45500000000000024</c:v>
                      </c:pt>
                      <c:pt idx="4236">
                        <c:v>0.46500000000000025</c:v>
                      </c:pt>
                      <c:pt idx="4237">
                        <c:v>0.47500000000000026</c:v>
                      </c:pt>
                      <c:pt idx="4238">
                        <c:v>0.48500000000000026</c:v>
                      </c:pt>
                      <c:pt idx="4239">
                        <c:v>0.49500000000000027</c:v>
                      </c:pt>
                      <c:pt idx="4240">
                        <c:v>0.50500000000000023</c:v>
                      </c:pt>
                      <c:pt idx="4241">
                        <c:v>0.51500000000000024</c:v>
                      </c:pt>
                      <c:pt idx="4242">
                        <c:v>0.52500000000000024</c:v>
                      </c:pt>
                      <c:pt idx="4243">
                        <c:v>0.53500000000000025</c:v>
                      </c:pt>
                      <c:pt idx="4244">
                        <c:v>0.54500000000000026</c:v>
                      </c:pt>
                      <c:pt idx="4245">
                        <c:v>0.55500000000000027</c:v>
                      </c:pt>
                      <c:pt idx="4246">
                        <c:v>0.56500000000000028</c:v>
                      </c:pt>
                      <c:pt idx="4247">
                        <c:v>0.57500000000000029</c:v>
                      </c:pt>
                      <c:pt idx="4248">
                        <c:v>0.5850000000000003</c:v>
                      </c:pt>
                      <c:pt idx="4249">
                        <c:v>0.59500000000000031</c:v>
                      </c:pt>
                      <c:pt idx="4250">
                        <c:v>0.60500000000000032</c:v>
                      </c:pt>
                      <c:pt idx="4251">
                        <c:v>0.61500000000000032</c:v>
                      </c:pt>
                      <c:pt idx="4252">
                        <c:v>0.62500000000000033</c:v>
                      </c:pt>
                      <c:pt idx="4253">
                        <c:v>0.63500000000000034</c:v>
                      </c:pt>
                      <c:pt idx="4254">
                        <c:v>0.64500000000000035</c:v>
                      </c:pt>
                      <c:pt idx="4255">
                        <c:v>0.65500000000000036</c:v>
                      </c:pt>
                      <c:pt idx="4256">
                        <c:v>0.66500000000000037</c:v>
                      </c:pt>
                      <c:pt idx="4257">
                        <c:v>0.67500000000000038</c:v>
                      </c:pt>
                      <c:pt idx="4258">
                        <c:v>0.68500000000000039</c:v>
                      </c:pt>
                      <c:pt idx="4259">
                        <c:v>0.6950000000000004</c:v>
                      </c:pt>
                      <c:pt idx="4260">
                        <c:v>0.7050000000000004</c:v>
                      </c:pt>
                      <c:pt idx="4261">
                        <c:v>0.71500000000000041</c:v>
                      </c:pt>
                      <c:pt idx="4263">
                        <c:v>0.29000000000000009</c:v>
                      </c:pt>
                      <c:pt idx="4264">
                        <c:v>0.3000000000000001</c:v>
                      </c:pt>
                      <c:pt idx="4265">
                        <c:v>0.31000000000000011</c:v>
                      </c:pt>
                      <c:pt idx="4266">
                        <c:v>0.32000000000000012</c:v>
                      </c:pt>
                      <c:pt idx="4267">
                        <c:v>0.33000000000000013</c:v>
                      </c:pt>
                      <c:pt idx="4268">
                        <c:v>0.34000000000000014</c:v>
                      </c:pt>
                      <c:pt idx="4269">
                        <c:v>0.35000000000000014</c:v>
                      </c:pt>
                      <c:pt idx="4270">
                        <c:v>0.36000000000000015</c:v>
                      </c:pt>
                      <c:pt idx="4271">
                        <c:v>0.37000000000000016</c:v>
                      </c:pt>
                      <c:pt idx="4272">
                        <c:v>0.38000000000000017</c:v>
                      </c:pt>
                      <c:pt idx="4273">
                        <c:v>0.39000000000000018</c:v>
                      </c:pt>
                      <c:pt idx="4274">
                        <c:v>0.40000000000000019</c:v>
                      </c:pt>
                      <c:pt idx="4275">
                        <c:v>0.4100000000000002</c:v>
                      </c:pt>
                      <c:pt idx="4276">
                        <c:v>0.42000000000000021</c:v>
                      </c:pt>
                      <c:pt idx="4277">
                        <c:v>0.43000000000000022</c:v>
                      </c:pt>
                      <c:pt idx="4278">
                        <c:v>0.44000000000000022</c:v>
                      </c:pt>
                      <c:pt idx="4279">
                        <c:v>0.45000000000000023</c:v>
                      </c:pt>
                      <c:pt idx="4280">
                        <c:v>0.46000000000000024</c:v>
                      </c:pt>
                      <c:pt idx="4281">
                        <c:v>0.47000000000000025</c:v>
                      </c:pt>
                      <c:pt idx="4282">
                        <c:v>0.48000000000000026</c:v>
                      </c:pt>
                      <c:pt idx="4283">
                        <c:v>0.49000000000000027</c:v>
                      </c:pt>
                      <c:pt idx="4284">
                        <c:v>0.50000000000000022</c:v>
                      </c:pt>
                      <c:pt idx="4285">
                        <c:v>0.51000000000000023</c:v>
                      </c:pt>
                      <c:pt idx="4286">
                        <c:v>0.52000000000000024</c:v>
                      </c:pt>
                      <c:pt idx="4287">
                        <c:v>0.53000000000000025</c:v>
                      </c:pt>
                      <c:pt idx="4288">
                        <c:v>0.54000000000000026</c:v>
                      </c:pt>
                      <c:pt idx="4289">
                        <c:v>0.55000000000000027</c:v>
                      </c:pt>
                      <c:pt idx="4290">
                        <c:v>0.56000000000000028</c:v>
                      </c:pt>
                      <c:pt idx="4291">
                        <c:v>0.57000000000000028</c:v>
                      </c:pt>
                      <c:pt idx="4292">
                        <c:v>0.58000000000000029</c:v>
                      </c:pt>
                      <c:pt idx="4293">
                        <c:v>0.5900000000000003</c:v>
                      </c:pt>
                      <c:pt idx="4294">
                        <c:v>0.60000000000000031</c:v>
                      </c:pt>
                      <c:pt idx="4295">
                        <c:v>0.61000000000000032</c:v>
                      </c:pt>
                      <c:pt idx="4296">
                        <c:v>0.62000000000000033</c:v>
                      </c:pt>
                      <c:pt idx="4297">
                        <c:v>0.63000000000000034</c:v>
                      </c:pt>
                      <c:pt idx="4298">
                        <c:v>0.64000000000000035</c:v>
                      </c:pt>
                      <c:pt idx="4299">
                        <c:v>0.65000000000000036</c:v>
                      </c:pt>
                      <c:pt idx="4300">
                        <c:v>0.66000000000000036</c:v>
                      </c:pt>
                      <c:pt idx="4301">
                        <c:v>0.67000000000000037</c:v>
                      </c:pt>
                      <c:pt idx="4302">
                        <c:v>0.68000000000000038</c:v>
                      </c:pt>
                      <c:pt idx="4303">
                        <c:v>0.69000000000000039</c:v>
                      </c:pt>
                      <c:pt idx="4304">
                        <c:v>0.7000000000000004</c:v>
                      </c:pt>
                      <c:pt idx="4305">
                        <c:v>0.71000000000000041</c:v>
                      </c:pt>
                      <c:pt idx="4307">
                        <c:v>0.2950000000000001</c:v>
                      </c:pt>
                      <c:pt idx="4308">
                        <c:v>0.3050000000000001</c:v>
                      </c:pt>
                      <c:pt idx="4309">
                        <c:v>0.31500000000000011</c:v>
                      </c:pt>
                      <c:pt idx="4310">
                        <c:v>0.32500000000000012</c:v>
                      </c:pt>
                      <c:pt idx="4311">
                        <c:v>0.33500000000000013</c:v>
                      </c:pt>
                      <c:pt idx="4312">
                        <c:v>0.34500000000000014</c:v>
                      </c:pt>
                      <c:pt idx="4313">
                        <c:v>0.35500000000000015</c:v>
                      </c:pt>
                      <c:pt idx="4314">
                        <c:v>0.36500000000000016</c:v>
                      </c:pt>
                      <c:pt idx="4315">
                        <c:v>0.37500000000000017</c:v>
                      </c:pt>
                      <c:pt idx="4316">
                        <c:v>0.38500000000000018</c:v>
                      </c:pt>
                      <c:pt idx="4317">
                        <c:v>0.39500000000000018</c:v>
                      </c:pt>
                      <c:pt idx="4318">
                        <c:v>0.40500000000000019</c:v>
                      </c:pt>
                      <c:pt idx="4319">
                        <c:v>0.4150000000000002</c:v>
                      </c:pt>
                      <c:pt idx="4320">
                        <c:v>0.42500000000000021</c:v>
                      </c:pt>
                      <c:pt idx="4321">
                        <c:v>0.43500000000000022</c:v>
                      </c:pt>
                      <c:pt idx="4322">
                        <c:v>0.44500000000000023</c:v>
                      </c:pt>
                      <c:pt idx="4323">
                        <c:v>0.45500000000000024</c:v>
                      </c:pt>
                      <c:pt idx="4324">
                        <c:v>0.46500000000000025</c:v>
                      </c:pt>
                      <c:pt idx="4325">
                        <c:v>0.47500000000000026</c:v>
                      </c:pt>
                      <c:pt idx="4326">
                        <c:v>0.48500000000000026</c:v>
                      </c:pt>
                      <c:pt idx="4327">
                        <c:v>0.49500000000000027</c:v>
                      </c:pt>
                      <c:pt idx="4328">
                        <c:v>0.50500000000000023</c:v>
                      </c:pt>
                      <c:pt idx="4329">
                        <c:v>0.51500000000000024</c:v>
                      </c:pt>
                      <c:pt idx="4330">
                        <c:v>0.52500000000000024</c:v>
                      </c:pt>
                      <c:pt idx="4331">
                        <c:v>0.53500000000000025</c:v>
                      </c:pt>
                      <c:pt idx="4332">
                        <c:v>0.54500000000000026</c:v>
                      </c:pt>
                      <c:pt idx="4333">
                        <c:v>0.55500000000000027</c:v>
                      </c:pt>
                      <c:pt idx="4334">
                        <c:v>0.56500000000000028</c:v>
                      </c:pt>
                      <c:pt idx="4335">
                        <c:v>0.57500000000000029</c:v>
                      </c:pt>
                      <c:pt idx="4336">
                        <c:v>0.5850000000000003</c:v>
                      </c:pt>
                      <c:pt idx="4337">
                        <c:v>0.59500000000000031</c:v>
                      </c:pt>
                      <c:pt idx="4338">
                        <c:v>0.60500000000000032</c:v>
                      </c:pt>
                      <c:pt idx="4339">
                        <c:v>0.61500000000000032</c:v>
                      </c:pt>
                      <c:pt idx="4340">
                        <c:v>0.62500000000000033</c:v>
                      </c:pt>
                      <c:pt idx="4341">
                        <c:v>0.63500000000000034</c:v>
                      </c:pt>
                      <c:pt idx="4342">
                        <c:v>0.64500000000000035</c:v>
                      </c:pt>
                      <c:pt idx="4343">
                        <c:v>0.65500000000000036</c:v>
                      </c:pt>
                      <c:pt idx="4344">
                        <c:v>0.66500000000000037</c:v>
                      </c:pt>
                      <c:pt idx="4345">
                        <c:v>0.67500000000000038</c:v>
                      </c:pt>
                      <c:pt idx="4346">
                        <c:v>0.68500000000000039</c:v>
                      </c:pt>
                      <c:pt idx="4347">
                        <c:v>0.6950000000000004</c:v>
                      </c:pt>
                      <c:pt idx="4348">
                        <c:v>0.7050000000000004</c:v>
                      </c:pt>
                      <c:pt idx="4350">
                        <c:v>0.3000000000000001</c:v>
                      </c:pt>
                      <c:pt idx="4351">
                        <c:v>0.31000000000000011</c:v>
                      </c:pt>
                      <c:pt idx="4352">
                        <c:v>0.32000000000000012</c:v>
                      </c:pt>
                      <c:pt idx="4353">
                        <c:v>0.33000000000000013</c:v>
                      </c:pt>
                      <c:pt idx="4354">
                        <c:v>0.34000000000000014</c:v>
                      </c:pt>
                      <c:pt idx="4355">
                        <c:v>0.35000000000000014</c:v>
                      </c:pt>
                      <c:pt idx="4356">
                        <c:v>0.36000000000000015</c:v>
                      </c:pt>
                      <c:pt idx="4357">
                        <c:v>0.37000000000000016</c:v>
                      </c:pt>
                      <c:pt idx="4358">
                        <c:v>0.38000000000000017</c:v>
                      </c:pt>
                      <c:pt idx="4359">
                        <c:v>0.39000000000000018</c:v>
                      </c:pt>
                      <c:pt idx="4360">
                        <c:v>0.40000000000000019</c:v>
                      </c:pt>
                      <c:pt idx="4361">
                        <c:v>0.4100000000000002</c:v>
                      </c:pt>
                      <c:pt idx="4362">
                        <c:v>0.42000000000000021</c:v>
                      </c:pt>
                      <c:pt idx="4363">
                        <c:v>0.43000000000000022</c:v>
                      </c:pt>
                      <c:pt idx="4364">
                        <c:v>0.44000000000000022</c:v>
                      </c:pt>
                      <c:pt idx="4365">
                        <c:v>0.45000000000000023</c:v>
                      </c:pt>
                      <c:pt idx="4366">
                        <c:v>0.46000000000000024</c:v>
                      </c:pt>
                      <c:pt idx="4367">
                        <c:v>0.47000000000000025</c:v>
                      </c:pt>
                      <c:pt idx="4368">
                        <c:v>0.48000000000000026</c:v>
                      </c:pt>
                      <c:pt idx="4369">
                        <c:v>0.49000000000000027</c:v>
                      </c:pt>
                      <c:pt idx="4370">
                        <c:v>0.50000000000000022</c:v>
                      </c:pt>
                      <c:pt idx="4371">
                        <c:v>0.51000000000000023</c:v>
                      </c:pt>
                      <c:pt idx="4372">
                        <c:v>0.52000000000000024</c:v>
                      </c:pt>
                      <c:pt idx="4373">
                        <c:v>0.53000000000000025</c:v>
                      </c:pt>
                      <c:pt idx="4374">
                        <c:v>0.54000000000000026</c:v>
                      </c:pt>
                      <c:pt idx="4375">
                        <c:v>0.55000000000000027</c:v>
                      </c:pt>
                      <c:pt idx="4376">
                        <c:v>0.56000000000000028</c:v>
                      </c:pt>
                      <c:pt idx="4377">
                        <c:v>0.57000000000000028</c:v>
                      </c:pt>
                      <c:pt idx="4378">
                        <c:v>0.58000000000000029</c:v>
                      </c:pt>
                      <c:pt idx="4379">
                        <c:v>0.5900000000000003</c:v>
                      </c:pt>
                      <c:pt idx="4380">
                        <c:v>0.60000000000000031</c:v>
                      </c:pt>
                      <c:pt idx="4381">
                        <c:v>0.61000000000000032</c:v>
                      </c:pt>
                      <c:pt idx="4382">
                        <c:v>0.62000000000000033</c:v>
                      </c:pt>
                      <c:pt idx="4383">
                        <c:v>0.63000000000000034</c:v>
                      </c:pt>
                      <c:pt idx="4384">
                        <c:v>0.64000000000000035</c:v>
                      </c:pt>
                      <c:pt idx="4385">
                        <c:v>0.65000000000000036</c:v>
                      </c:pt>
                      <c:pt idx="4386">
                        <c:v>0.66000000000000036</c:v>
                      </c:pt>
                      <c:pt idx="4387">
                        <c:v>0.67000000000000037</c:v>
                      </c:pt>
                      <c:pt idx="4388">
                        <c:v>0.68000000000000038</c:v>
                      </c:pt>
                      <c:pt idx="4389">
                        <c:v>0.69000000000000039</c:v>
                      </c:pt>
                      <c:pt idx="4390">
                        <c:v>0.7000000000000004</c:v>
                      </c:pt>
                      <c:pt idx="4392">
                        <c:v>0.3050000000000001</c:v>
                      </c:pt>
                      <c:pt idx="4393">
                        <c:v>0.31500000000000011</c:v>
                      </c:pt>
                      <c:pt idx="4394">
                        <c:v>0.32500000000000012</c:v>
                      </c:pt>
                      <c:pt idx="4395">
                        <c:v>0.33500000000000013</c:v>
                      </c:pt>
                      <c:pt idx="4396">
                        <c:v>0.34500000000000014</c:v>
                      </c:pt>
                      <c:pt idx="4397">
                        <c:v>0.35500000000000015</c:v>
                      </c:pt>
                      <c:pt idx="4398">
                        <c:v>0.36500000000000016</c:v>
                      </c:pt>
                      <c:pt idx="4399">
                        <c:v>0.37500000000000017</c:v>
                      </c:pt>
                      <c:pt idx="4400">
                        <c:v>0.38500000000000018</c:v>
                      </c:pt>
                      <c:pt idx="4401">
                        <c:v>0.39500000000000018</c:v>
                      </c:pt>
                      <c:pt idx="4402">
                        <c:v>0.40500000000000019</c:v>
                      </c:pt>
                      <c:pt idx="4403">
                        <c:v>0.4150000000000002</c:v>
                      </c:pt>
                      <c:pt idx="4404">
                        <c:v>0.42500000000000021</c:v>
                      </c:pt>
                      <c:pt idx="4405">
                        <c:v>0.43500000000000022</c:v>
                      </c:pt>
                      <c:pt idx="4406">
                        <c:v>0.44500000000000023</c:v>
                      </c:pt>
                      <c:pt idx="4407">
                        <c:v>0.45500000000000024</c:v>
                      </c:pt>
                      <c:pt idx="4408">
                        <c:v>0.46500000000000025</c:v>
                      </c:pt>
                      <c:pt idx="4409">
                        <c:v>0.47500000000000026</c:v>
                      </c:pt>
                      <c:pt idx="4410">
                        <c:v>0.48500000000000026</c:v>
                      </c:pt>
                      <c:pt idx="4411">
                        <c:v>0.49500000000000027</c:v>
                      </c:pt>
                      <c:pt idx="4412">
                        <c:v>0.50500000000000023</c:v>
                      </c:pt>
                      <c:pt idx="4413">
                        <c:v>0.51500000000000024</c:v>
                      </c:pt>
                      <c:pt idx="4414">
                        <c:v>0.52500000000000024</c:v>
                      </c:pt>
                      <c:pt idx="4415">
                        <c:v>0.53500000000000025</c:v>
                      </c:pt>
                      <c:pt idx="4416">
                        <c:v>0.54500000000000026</c:v>
                      </c:pt>
                      <c:pt idx="4417">
                        <c:v>0.55500000000000027</c:v>
                      </c:pt>
                      <c:pt idx="4418">
                        <c:v>0.56500000000000028</c:v>
                      </c:pt>
                      <c:pt idx="4419">
                        <c:v>0.57500000000000029</c:v>
                      </c:pt>
                      <c:pt idx="4420">
                        <c:v>0.5850000000000003</c:v>
                      </c:pt>
                      <c:pt idx="4421">
                        <c:v>0.59500000000000031</c:v>
                      </c:pt>
                      <c:pt idx="4422">
                        <c:v>0.60500000000000032</c:v>
                      </c:pt>
                      <c:pt idx="4423">
                        <c:v>0.61500000000000032</c:v>
                      </c:pt>
                      <c:pt idx="4424">
                        <c:v>0.62500000000000033</c:v>
                      </c:pt>
                      <c:pt idx="4425">
                        <c:v>0.63500000000000034</c:v>
                      </c:pt>
                      <c:pt idx="4426">
                        <c:v>0.64500000000000035</c:v>
                      </c:pt>
                      <c:pt idx="4427">
                        <c:v>0.65500000000000036</c:v>
                      </c:pt>
                      <c:pt idx="4428">
                        <c:v>0.66500000000000037</c:v>
                      </c:pt>
                      <c:pt idx="4429">
                        <c:v>0.67500000000000038</c:v>
                      </c:pt>
                      <c:pt idx="4430">
                        <c:v>0.68500000000000039</c:v>
                      </c:pt>
                      <c:pt idx="4431">
                        <c:v>0.6950000000000004</c:v>
                      </c:pt>
                      <c:pt idx="4433">
                        <c:v>0.31000000000000011</c:v>
                      </c:pt>
                      <c:pt idx="4434">
                        <c:v>0.32000000000000012</c:v>
                      </c:pt>
                      <c:pt idx="4435">
                        <c:v>0.33000000000000013</c:v>
                      </c:pt>
                      <c:pt idx="4436">
                        <c:v>0.34000000000000014</c:v>
                      </c:pt>
                      <c:pt idx="4437">
                        <c:v>0.35000000000000014</c:v>
                      </c:pt>
                      <c:pt idx="4438">
                        <c:v>0.36000000000000015</c:v>
                      </c:pt>
                      <c:pt idx="4439">
                        <c:v>0.37000000000000016</c:v>
                      </c:pt>
                      <c:pt idx="4440">
                        <c:v>0.38000000000000017</c:v>
                      </c:pt>
                      <c:pt idx="4441">
                        <c:v>0.39000000000000018</c:v>
                      </c:pt>
                      <c:pt idx="4442">
                        <c:v>0.40000000000000019</c:v>
                      </c:pt>
                      <c:pt idx="4443">
                        <c:v>0.4100000000000002</c:v>
                      </c:pt>
                      <c:pt idx="4444">
                        <c:v>0.42000000000000021</c:v>
                      </c:pt>
                      <c:pt idx="4445">
                        <c:v>0.43000000000000022</c:v>
                      </c:pt>
                      <c:pt idx="4446">
                        <c:v>0.44000000000000022</c:v>
                      </c:pt>
                      <c:pt idx="4447">
                        <c:v>0.45000000000000023</c:v>
                      </c:pt>
                      <c:pt idx="4448">
                        <c:v>0.46000000000000024</c:v>
                      </c:pt>
                      <c:pt idx="4449">
                        <c:v>0.47000000000000025</c:v>
                      </c:pt>
                      <c:pt idx="4450">
                        <c:v>0.48000000000000026</c:v>
                      </c:pt>
                      <c:pt idx="4451">
                        <c:v>0.49000000000000027</c:v>
                      </c:pt>
                      <c:pt idx="4452">
                        <c:v>0.50000000000000022</c:v>
                      </c:pt>
                      <c:pt idx="4453">
                        <c:v>0.51000000000000023</c:v>
                      </c:pt>
                      <c:pt idx="4454">
                        <c:v>0.52000000000000024</c:v>
                      </c:pt>
                      <c:pt idx="4455">
                        <c:v>0.53000000000000025</c:v>
                      </c:pt>
                      <c:pt idx="4456">
                        <c:v>0.54000000000000026</c:v>
                      </c:pt>
                      <c:pt idx="4457">
                        <c:v>0.55000000000000027</c:v>
                      </c:pt>
                      <c:pt idx="4458">
                        <c:v>0.56000000000000028</c:v>
                      </c:pt>
                      <c:pt idx="4459">
                        <c:v>0.57000000000000028</c:v>
                      </c:pt>
                      <c:pt idx="4460">
                        <c:v>0.58000000000000029</c:v>
                      </c:pt>
                      <c:pt idx="4461">
                        <c:v>0.5900000000000003</c:v>
                      </c:pt>
                      <c:pt idx="4462">
                        <c:v>0.60000000000000031</c:v>
                      </c:pt>
                      <c:pt idx="4463">
                        <c:v>0.61000000000000032</c:v>
                      </c:pt>
                      <c:pt idx="4464">
                        <c:v>0.62000000000000033</c:v>
                      </c:pt>
                      <c:pt idx="4465">
                        <c:v>0.63000000000000034</c:v>
                      </c:pt>
                      <c:pt idx="4466">
                        <c:v>0.64000000000000035</c:v>
                      </c:pt>
                      <c:pt idx="4467">
                        <c:v>0.65000000000000036</c:v>
                      </c:pt>
                      <c:pt idx="4468">
                        <c:v>0.66000000000000036</c:v>
                      </c:pt>
                      <c:pt idx="4469">
                        <c:v>0.67000000000000037</c:v>
                      </c:pt>
                      <c:pt idx="4470">
                        <c:v>0.68000000000000038</c:v>
                      </c:pt>
                      <c:pt idx="4471">
                        <c:v>0.69000000000000039</c:v>
                      </c:pt>
                      <c:pt idx="4473">
                        <c:v>0.31500000000000011</c:v>
                      </c:pt>
                      <c:pt idx="4474">
                        <c:v>0.32500000000000012</c:v>
                      </c:pt>
                      <c:pt idx="4475">
                        <c:v>0.33500000000000013</c:v>
                      </c:pt>
                      <c:pt idx="4476">
                        <c:v>0.34500000000000014</c:v>
                      </c:pt>
                      <c:pt idx="4477">
                        <c:v>0.35500000000000015</c:v>
                      </c:pt>
                      <c:pt idx="4478">
                        <c:v>0.36500000000000016</c:v>
                      </c:pt>
                      <c:pt idx="4479">
                        <c:v>0.37500000000000017</c:v>
                      </c:pt>
                      <c:pt idx="4480">
                        <c:v>0.38500000000000018</c:v>
                      </c:pt>
                      <c:pt idx="4481">
                        <c:v>0.39500000000000018</c:v>
                      </c:pt>
                      <c:pt idx="4482">
                        <c:v>0.40500000000000019</c:v>
                      </c:pt>
                      <c:pt idx="4483">
                        <c:v>0.4150000000000002</c:v>
                      </c:pt>
                      <c:pt idx="4484">
                        <c:v>0.42500000000000021</c:v>
                      </c:pt>
                      <c:pt idx="4485">
                        <c:v>0.43500000000000022</c:v>
                      </c:pt>
                      <c:pt idx="4486">
                        <c:v>0.44500000000000023</c:v>
                      </c:pt>
                      <c:pt idx="4487">
                        <c:v>0.45500000000000024</c:v>
                      </c:pt>
                      <c:pt idx="4488">
                        <c:v>0.46500000000000025</c:v>
                      </c:pt>
                      <c:pt idx="4489">
                        <c:v>0.47500000000000026</c:v>
                      </c:pt>
                      <c:pt idx="4490">
                        <c:v>0.48500000000000026</c:v>
                      </c:pt>
                      <c:pt idx="4491">
                        <c:v>0.49500000000000027</c:v>
                      </c:pt>
                      <c:pt idx="4492">
                        <c:v>0.50500000000000023</c:v>
                      </c:pt>
                      <c:pt idx="4493">
                        <c:v>0.51500000000000024</c:v>
                      </c:pt>
                      <c:pt idx="4494">
                        <c:v>0.52500000000000024</c:v>
                      </c:pt>
                      <c:pt idx="4495">
                        <c:v>0.53500000000000025</c:v>
                      </c:pt>
                      <c:pt idx="4496">
                        <c:v>0.54500000000000026</c:v>
                      </c:pt>
                      <c:pt idx="4497">
                        <c:v>0.55500000000000027</c:v>
                      </c:pt>
                      <c:pt idx="4498">
                        <c:v>0.56500000000000028</c:v>
                      </c:pt>
                      <c:pt idx="4499">
                        <c:v>0.57500000000000029</c:v>
                      </c:pt>
                      <c:pt idx="4500">
                        <c:v>0.5850000000000003</c:v>
                      </c:pt>
                      <c:pt idx="4501">
                        <c:v>0.59500000000000031</c:v>
                      </c:pt>
                      <c:pt idx="4502">
                        <c:v>0.60500000000000032</c:v>
                      </c:pt>
                      <c:pt idx="4503">
                        <c:v>0.61500000000000032</c:v>
                      </c:pt>
                      <c:pt idx="4504">
                        <c:v>0.62500000000000033</c:v>
                      </c:pt>
                      <c:pt idx="4505">
                        <c:v>0.63500000000000034</c:v>
                      </c:pt>
                      <c:pt idx="4506">
                        <c:v>0.64500000000000035</c:v>
                      </c:pt>
                      <c:pt idx="4507">
                        <c:v>0.65500000000000036</c:v>
                      </c:pt>
                      <c:pt idx="4508">
                        <c:v>0.66500000000000037</c:v>
                      </c:pt>
                      <c:pt idx="4509">
                        <c:v>0.67500000000000038</c:v>
                      </c:pt>
                      <c:pt idx="4510">
                        <c:v>0.68500000000000039</c:v>
                      </c:pt>
                      <c:pt idx="4512">
                        <c:v>0.32000000000000012</c:v>
                      </c:pt>
                      <c:pt idx="4513">
                        <c:v>0.33000000000000013</c:v>
                      </c:pt>
                      <c:pt idx="4514">
                        <c:v>0.34000000000000014</c:v>
                      </c:pt>
                      <c:pt idx="4515">
                        <c:v>0.35000000000000014</c:v>
                      </c:pt>
                      <c:pt idx="4516">
                        <c:v>0.36000000000000015</c:v>
                      </c:pt>
                      <c:pt idx="4517">
                        <c:v>0.37000000000000016</c:v>
                      </c:pt>
                      <c:pt idx="4518">
                        <c:v>0.38000000000000017</c:v>
                      </c:pt>
                      <c:pt idx="4519">
                        <c:v>0.39000000000000018</c:v>
                      </c:pt>
                      <c:pt idx="4520">
                        <c:v>0.40000000000000019</c:v>
                      </c:pt>
                      <c:pt idx="4521">
                        <c:v>0.4100000000000002</c:v>
                      </c:pt>
                      <c:pt idx="4522">
                        <c:v>0.42000000000000021</c:v>
                      </c:pt>
                      <c:pt idx="4523">
                        <c:v>0.43000000000000022</c:v>
                      </c:pt>
                      <c:pt idx="4524">
                        <c:v>0.44000000000000022</c:v>
                      </c:pt>
                      <c:pt idx="4525">
                        <c:v>0.45000000000000023</c:v>
                      </c:pt>
                      <c:pt idx="4526">
                        <c:v>0.46000000000000024</c:v>
                      </c:pt>
                      <c:pt idx="4527">
                        <c:v>0.47000000000000025</c:v>
                      </c:pt>
                      <c:pt idx="4528">
                        <c:v>0.48000000000000026</c:v>
                      </c:pt>
                      <c:pt idx="4529">
                        <c:v>0.49000000000000027</c:v>
                      </c:pt>
                      <c:pt idx="4530">
                        <c:v>0.50000000000000022</c:v>
                      </c:pt>
                      <c:pt idx="4531">
                        <c:v>0.51000000000000023</c:v>
                      </c:pt>
                      <c:pt idx="4532">
                        <c:v>0.52000000000000024</c:v>
                      </c:pt>
                      <c:pt idx="4533">
                        <c:v>0.53000000000000025</c:v>
                      </c:pt>
                      <c:pt idx="4534">
                        <c:v>0.54000000000000026</c:v>
                      </c:pt>
                      <c:pt idx="4535">
                        <c:v>0.55000000000000027</c:v>
                      </c:pt>
                      <c:pt idx="4536">
                        <c:v>0.56000000000000028</c:v>
                      </c:pt>
                      <c:pt idx="4537">
                        <c:v>0.57000000000000028</c:v>
                      </c:pt>
                      <c:pt idx="4538">
                        <c:v>0.58000000000000029</c:v>
                      </c:pt>
                      <c:pt idx="4539">
                        <c:v>0.5900000000000003</c:v>
                      </c:pt>
                      <c:pt idx="4540">
                        <c:v>0.60000000000000031</c:v>
                      </c:pt>
                      <c:pt idx="4541">
                        <c:v>0.61000000000000032</c:v>
                      </c:pt>
                      <c:pt idx="4542">
                        <c:v>0.62000000000000033</c:v>
                      </c:pt>
                      <c:pt idx="4543">
                        <c:v>0.63000000000000034</c:v>
                      </c:pt>
                      <c:pt idx="4544">
                        <c:v>0.64000000000000035</c:v>
                      </c:pt>
                      <c:pt idx="4545">
                        <c:v>0.65000000000000036</c:v>
                      </c:pt>
                      <c:pt idx="4546">
                        <c:v>0.66000000000000036</c:v>
                      </c:pt>
                      <c:pt idx="4547">
                        <c:v>0.67000000000000037</c:v>
                      </c:pt>
                      <c:pt idx="4548">
                        <c:v>0.68000000000000038</c:v>
                      </c:pt>
                      <c:pt idx="4550">
                        <c:v>0.32500000000000012</c:v>
                      </c:pt>
                      <c:pt idx="4551">
                        <c:v>0.33500000000000013</c:v>
                      </c:pt>
                      <c:pt idx="4552">
                        <c:v>0.34500000000000014</c:v>
                      </c:pt>
                      <c:pt idx="4553">
                        <c:v>0.35500000000000015</c:v>
                      </c:pt>
                      <c:pt idx="4554">
                        <c:v>0.36500000000000016</c:v>
                      </c:pt>
                      <c:pt idx="4555">
                        <c:v>0.37500000000000017</c:v>
                      </c:pt>
                      <c:pt idx="4556">
                        <c:v>0.38500000000000018</c:v>
                      </c:pt>
                      <c:pt idx="4557">
                        <c:v>0.39500000000000018</c:v>
                      </c:pt>
                      <c:pt idx="4558">
                        <c:v>0.40500000000000019</c:v>
                      </c:pt>
                      <c:pt idx="4559">
                        <c:v>0.4150000000000002</c:v>
                      </c:pt>
                      <c:pt idx="4560">
                        <c:v>0.42500000000000021</c:v>
                      </c:pt>
                      <c:pt idx="4561">
                        <c:v>0.43500000000000022</c:v>
                      </c:pt>
                      <c:pt idx="4562">
                        <c:v>0.44500000000000023</c:v>
                      </c:pt>
                      <c:pt idx="4563">
                        <c:v>0.45500000000000024</c:v>
                      </c:pt>
                      <c:pt idx="4564">
                        <c:v>0.46500000000000025</c:v>
                      </c:pt>
                      <c:pt idx="4565">
                        <c:v>0.47500000000000026</c:v>
                      </c:pt>
                      <c:pt idx="4566">
                        <c:v>0.48500000000000026</c:v>
                      </c:pt>
                      <c:pt idx="4567">
                        <c:v>0.49500000000000027</c:v>
                      </c:pt>
                      <c:pt idx="4568">
                        <c:v>0.50500000000000023</c:v>
                      </c:pt>
                      <c:pt idx="4569">
                        <c:v>0.51500000000000024</c:v>
                      </c:pt>
                      <c:pt idx="4570">
                        <c:v>0.52500000000000024</c:v>
                      </c:pt>
                      <c:pt idx="4571">
                        <c:v>0.53500000000000025</c:v>
                      </c:pt>
                      <c:pt idx="4572">
                        <c:v>0.54500000000000026</c:v>
                      </c:pt>
                      <c:pt idx="4573">
                        <c:v>0.55500000000000027</c:v>
                      </c:pt>
                      <c:pt idx="4574">
                        <c:v>0.56500000000000028</c:v>
                      </c:pt>
                      <c:pt idx="4575">
                        <c:v>0.57500000000000029</c:v>
                      </c:pt>
                      <c:pt idx="4576">
                        <c:v>0.5850000000000003</c:v>
                      </c:pt>
                      <c:pt idx="4577">
                        <c:v>0.59500000000000031</c:v>
                      </c:pt>
                      <c:pt idx="4578">
                        <c:v>0.60500000000000032</c:v>
                      </c:pt>
                      <c:pt idx="4579">
                        <c:v>0.61500000000000032</c:v>
                      </c:pt>
                      <c:pt idx="4580">
                        <c:v>0.62500000000000033</c:v>
                      </c:pt>
                      <c:pt idx="4581">
                        <c:v>0.63500000000000034</c:v>
                      </c:pt>
                      <c:pt idx="4582">
                        <c:v>0.64500000000000035</c:v>
                      </c:pt>
                      <c:pt idx="4583">
                        <c:v>0.65500000000000036</c:v>
                      </c:pt>
                      <c:pt idx="4584">
                        <c:v>0.66500000000000037</c:v>
                      </c:pt>
                      <c:pt idx="4585">
                        <c:v>0.67500000000000038</c:v>
                      </c:pt>
                      <c:pt idx="4587">
                        <c:v>0.33000000000000013</c:v>
                      </c:pt>
                      <c:pt idx="4588">
                        <c:v>0.34000000000000014</c:v>
                      </c:pt>
                      <c:pt idx="4589">
                        <c:v>0.35000000000000014</c:v>
                      </c:pt>
                      <c:pt idx="4590">
                        <c:v>0.36000000000000015</c:v>
                      </c:pt>
                      <c:pt idx="4591">
                        <c:v>0.37000000000000016</c:v>
                      </c:pt>
                      <c:pt idx="4592">
                        <c:v>0.38000000000000017</c:v>
                      </c:pt>
                      <c:pt idx="4593">
                        <c:v>0.39000000000000018</c:v>
                      </c:pt>
                      <c:pt idx="4594">
                        <c:v>0.40000000000000019</c:v>
                      </c:pt>
                      <c:pt idx="4595">
                        <c:v>0.4100000000000002</c:v>
                      </c:pt>
                      <c:pt idx="4596">
                        <c:v>0.42000000000000021</c:v>
                      </c:pt>
                      <c:pt idx="4597">
                        <c:v>0.43000000000000022</c:v>
                      </c:pt>
                      <c:pt idx="4598">
                        <c:v>0.44000000000000022</c:v>
                      </c:pt>
                      <c:pt idx="4599">
                        <c:v>0.45000000000000023</c:v>
                      </c:pt>
                      <c:pt idx="4600">
                        <c:v>0.46000000000000024</c:v>
                      </c:pt>
                      <c:pt idx="4601">
                        <c:v>0.47000000000000025</c:v>
                      </c:pt>
                      <c:pt idx="4602">
                        <c:v>0.48000000000000026</c:v>
                      </c:pt>
                      <c:pt idx="4603">
                        <c:v>0.49000000000000027</c:v>
                      </c:pt>
                      <c:pt idx="4604">
                        <c:v>0.50000000000000022</c:v>
                      </c:pt>
                      <c:pt idx="4605">
                        <c:v>0.51000000000000023</c:v>
                      </c:pt>
                      <c:pt idx="4606">
                        <c:v>0.52000000000000024</c:v>
                      </c:pt>
                      <c:pt idx="4607">
                        <c:v>0.53000000000000025</c:v>
                      </c:pt>
                      <c:pt idx="4608">
                        <c:v>0.54000000000000026</c:v>
                      </c:pt>
                      <c:pt idx="4609">
                        <c:v>0.55000000000000027</c:v>
                      </c:pt>
                      <c:pt idx="4610">
                        <c:v>0.56000000000000028</c:v>
                      </c:pt>
                      <c:pt idx="4611">
                        <c:v>0.57000000000000028</c:v>
                      </c:pt>
                      <c:pt idx="4612">
                        <c:v>0.58000000000000029</c:v>
                      </c:pt>
                      <c:pt idx="4613">
                        <c:v>0.5900000000000003</c:v>
                      </c:pt>
                      <c:pt idx="4614">
                        <c:v>0.60000000000000031</c:v>
                      </c:pt>
                      <c:pt idx="4615">
                        <c:v>0.61000000000000032</c:v>
                      </c:pt>
                      <c:pt idx="4616">
                        <c:v>0.62000000000000033</c:v>
                      </c:pt>
                      <c:pt idx="4617">
                        <c:v>0.63000000000000034</c:v>
                      </c:pt>
                      <c:pt idx="4618">
                        <c:v>0.64000000000000035</c:v>
                      </c:pt>
                      <c:pt idx="4619">
                        <c:v>0.65000000000000036</c:v>
                      </c:pt>
                      <c:pt idx="4620">
                        <c:v>0.66000000000000036</c:v>
                      </c:pt>
                      <c:pt idx="4621">
                        <c:v>0.67000000000000037</c:v>
                      </c:pt>
                      <c:pt idx="4623">
                        <c:v>0.33500000000000013</c:v>
                      </c:pt>
                      <c:pt idx="4624">
                        <c:v>0.34500000000000014</c:v>
                      </c:pt>
                      <c:pt idx="4625">
                        <c:v>0.35500000000000015</c:v>
                      </c:pt>
                      <c:pt idx="4626">
                        <c:v>0.36500000000000016</c:v>
                      </c:pt>
                      <c:pt idx="4627">
                        <c:v>0.37500000000000017</c:v>
                      </c:pt>
                      <c:pt idx="4628">
                        <c:v>0.38500000000000018</c:v>
                      </c:pt>
                      <c:pt idx="4629">
                        <c:v>0.39500000000000018</c:v>
                      </c:pt>
                      <c:pt idx="4630">
                        <c:v>0.40500000000000019</c:v>
                      </c:pt>
                      <c:pt idx="4631">
                        <c:v>0.4150000000000002</c:v>
                      </c:pt>
                      <c:pt idx="4632">
                        <c:v>0.42500000000000021</c:v>
                      </c:pt>
                      <c:pt idx="4633">
                        <c:v>0.43500000000000022</c:v>
                      </c:pt>
                      <c:pt idx="4634">
                        <c:v>0.44500000000000023</c:v>
                      </c:pt>
                      <c:pt idx="4635">
                        <c:v>0.45500000000000024</c:v>
                      </c:pt>
                      <c:pt idx="4636">
                        <c:v>0.46500000000000025</c:v>
                      </c:pt>
                      <c:pt idx="4637">
                        <c:v>0.47500000000000026</c:v>
                      </c:pt>
                      <c:pt idx="4638">
                        <c:v>0.48500000000000026</c:v>
                      </c:pt>
                      <c:pt idx="4639">
                        <c:v>0.49500000000000027</c:v>
                      </c:pt>
                      <c:pt idx="4640">
                        <c:v>0.50500000000000023</c:v>
                      </c:pt>
                      <c:pt idx="4641">
                        <c:v>0.51500000000000024</c:v>
                      </c:pt>
                      <c:pt idx="4642">
                        <c:v>0.52500000000000024</c:v>
                      </c:pt>
                      <c:pt idx="4643">
                        <c:v>0.53500000000000025</c:v>
                      </c:pt>
                      <c:pt idx="4644">
                        <c:v>0.54500000000000026</c:v>
                      </c:pt>
                      <c:pt idx="4645">
                        <c:v>0.55500000000000027</c:v>
                      </c:pt>
                      <c:pt idx="4646">
                        <c:v>0.56500000000000028</c:v>
                      </c:pt>
                      <c:pt idx="4647">
                        <c:v>0.57500000000000029</c:v>
                      </c:pt>
                      <c:pt idx="4648">
                        <c:v>0.5850000000000003</c:v>
                      </c:pt>
                      <c:pt idx="4649">
                        <c:v>0.59500000000000031</c:v>
                      </c:pt>
                      <c:pt idx="4650">
                        <c:v>0.60500000000000032</c:v>
                      </c:pt>
                      <c:pt idx="4651">
                        <c:v>0.61500000000000032</c:v>
                      </c:pt>
                      <c:pt idx="4652">
                        <c:v>0.62500000000000033</c:v>
                      </c:pt>
                      <c:pt idx="4653">
                        <c:v>0.63500000000000034</c:v>
                      </c:pt>
                      <c:pt idx="4654">
                        <c:v>0.64500000000000035</c:v>
                      </c:pt>
                      <c:pt idx="4655">
                        <c:v>0.65500000000000036</c:v>
                      </c:pt>
                      <c:pt idx="4656">
                        <c:v>0.66500000000000037</c:v>
                      </c:pt>
                      <c:pt idx="4658">
                        <c:v>0.34000000000000014</c:v>
                      </c:pt>
                      <c:pt idx="4659">
                        <c:v>0.35000000000000014</c:v>
                      </c:pt>
                      <c:pt idx="4660">
                        <c:v>0.36000000000000015</c:v>
                      </c:pt>
                      <c:pt idx="4661">
                        <c:v>0.37000000000000016</c:v>
                      </c:pt>
                      <c:pt idx="4662">
                        <c:v>0.38000000000000017</c:v>
                      </c:pt>
                      <c:pt idx="4663">
                        <c:v>0.39000000000000018</c:v>
                      </c:pt>
                      <c:pt idx="4664">
                        <c:v>0.40000000000000019</c:v>
                      </c:pt>
                      <c:pt idx="4665">
                        <c:v>0.4100000000000002</c:v>
                      </c:pt>
                      <c:pt idx="4666">
                        <c:v>0.42000000000000021</c:v>
                      </c:pt>
                      <c:pt idx="4667">
                        <c:v>0.43000000000000022</c:v>
                      </c:pt>
                      <c:pt idx="4668">
                        <c:v>0.44000000000000022</c:v>
                      </c:pt>
                      <c:pt idx="4669">
                        <c:v>0.45000000000000023</c:v>
                      </c:pt>
                      <c:pt idx="4670">
                        <c:v>0.46000000000000024</c:v>
                      </c:pt>
                      <c:pt idx="4671">
                        <c:v>0.47000000000000025</c:v>
                      </c:pt>
                      <c:pt idx="4672">
                        <c:v>0.48000000000000026</c:v>
                      </c:pt>
                      <c:pt idx="4673">
                        <c:v>0.49000000000000027</c:v>
                      </c:pt>
                      <c:pt idx="4674">
                        <c:v>0.50000000000000022</c:v>
                      </c:pt>
                      <c:pt idx="4675">
                        <c:v>0.51000000000000023</c:v>
                      </c:pt>
                      <c:pt idx="4676">
                        <c:v>0.52000000000000024</c:v>
                      </c:pt>
                      <c:pt idx="4677">
                        <c:v>0.53000000000000025</c:v>
                      </c:pt>
                      <c:pt idx="4678">
                        <c:v>0.54000000000000026</c:v>
                      </c:pt>
                      <c:pt idx="4679">
                        <c:v>0.55000000000000027</c:v>
                      </c:pt>
                      <c:pt idx="4680">
                        <c:v>0.56000000000000028</c:v>
                      </c:pt>
                      <c:pt idx="4681">
                        <c:v>0.57000000000000028</c:v>
                      </c:pt>
                      <c:pt idx="4682">
                        <c:v>0.58000000000000029</c:v>
                      </c:pt>
                      <c:pt idx="4683">
                        <c:v>0.5900000000000003</c:v>
                      </c:pt>
                      <c:pt idx="4684">
                        <c:v>0.60000000000000031</c:v>
                      </c:pt>
                      <c:pt idx="4685">
                        <c:v>0.61000000000000032</c:v>
                      </c:pt>
                      <c:pt idx="4686">
                        <c:v>0.62000000000000033</c:v>
                      </c:pt>
                      <c:pt idx="4687">
                        <c:v>0.63000000000000034</c:v>
                      </c:pt>
                      <c:pt idx="4688">
                        <c:v>0.64000000000000035</c:v>
                      </c:pt>
                      <c:pt idx="4689">
                        <c:v>0.65000000000000036</c:v>
                      </c:pt>
                      <c:pt idx="4690">
                        <c:v>0.66000000000000036</c:v>
                      </c:pt>
                      <c:pt idx="4692">
                        <c:v>0.34500000000000014</c:v>
                      </c:pt>
                      <c:pt idx="4693">
                        <c:v>0.35500000000000015</c:v>
                      </c:pt>
                      <c:pt idx="4694">
                        <c:v>0.36500000000000016</c:v>
                      </c:pt>
                      <c:pt idx="4695">
                        <c:v>0.37500000000000017</c:v>
                      </c:pt>
                      <c:pt idx="4696">
                        <c:v>0.38500000000000018</c:v>
                      </c:pt>
                      <c:pt idx="4697">
                        <c:v>0.39500000000000018</c:v>
                      </c:pt>
                      <c:pt idx="4698">
                        <c:v>0.40500000000000019</c:v>
                      </c:pt>
                      <c:pt idx="4699">
                        <c:v>0.4150000000000002</c:v>
                      </c:pt>
                      <c:pt idx="4700">
                        <c:v>0.42500000000000021</c:v>
                      </c:pt>
                      <c:pt idx="4701">
                        <c:v>0.43500000000000022</c:v>
                      </c:pt>
                      <c:pt idx="4702">
                        <c:v>0.44500000000000023</c:v>
                      </c:pt>
                      <c:pt idx="4703">
                        <c:v>0.45500000000000024</c:v>
                      </c:pt>
                      <c:pt idx="4704">
                        <c:v>0.46500000000000025</c:v>
                      </c:pt>
                      <c:pt idx="4705">
                        <c:v>0.47500000000000026</c:v>
                      </c:pt>
                      <c:pt idx="4706">
                        <c:v>0.48500000000000026</c:v>
                      </c:pt>
                      <c:pt idx="4707">
                        <c:v>0.49500000000000027</c:v>
                      </c:pt>
                      <c:pt idx="4708">
                        <c:v>0.50500000000000023</c:v>
                      </c:pt>
                      <c:pt idx="4709">
                        <c:v>0.51500000000000024</c:v>
                      </c:pt>
                      <c:pt idx="4710">
                        <c:v>0.52500000000000024</c:v>
                      </c:pt>
                      <c:pt idx="4711">
                        <c:v>0.53500000000000025</c:v>
                      </c:pt>
                      <c:pt idx="4712">
                        <c:v>0.54500000000000026</c:v>
                      </c:pt>
                      <c:pt idx="4713">
                        <c:v>0.55500000000000027</c:v>
                      </c:pt>
                      <c:pt idx="4714">
                        <c:v>0.56500000000000028</c:v>
                      </c:pt>
                      <c:pt idx="4715">
                        <c:v>0.57500000000000029</c:v>
                      </c:pt>
                      <c:pt idx="4716">
                        <c:v>0.5850000000000003</c:v>
                      </c:pt>
                      <c:pt idx="4717">
                        <c:v>0.59500000000000031</c:v>
                      </c:pt>
                      <c:pt idx="4718">
                        <c:v>0.60500000000000032</c:v>
                      </c:pt>
                      <c:pt idx="4719">
                        <c:v>0.61500000000000032</c:v>
                      </c:pt>
                      <c:pt idx="4720">
                        <c:v>0.62500000000000033</c:v>
                      </c:pt>
                      <c:pt idx="4721">
                        <c:v>0.63500000000000034</c:v>
                      </c:pt>
                      <c:pt idx="4722">
                        <c:v>0.64500000000000035</c:v>
                      </c:pt>
                      <c:pt idx="4723">
                        <c:v>0.65500000000000036</c:v>
                      </c:pt>
                      <c:pt idx="4725">
                        <c:v>0.35000000000000014</c:v>
                      </c:pt>
                      <c:pt idx="4726">
                        <c:v>0.36000000000000015</c:v>
                      </c:pt>
                      <c:pt idx="4727">
                        <c:v>0.37000000000000016</c:v>
                      </c:pt>
                      <c:pt idx="4728">
                        <c:v>0.38000000000000017</c:v>
                      </c:pt>
                      <c:pt idx="4729">
                        <c:v>0.39000000000000018</c:v>
                      </c:pt>
                      <c:pt idx="4730">
                        <c:v>0.40000000000000019</c:v>
                      </c:pt>
                      <c:pt idx="4731">
                        <c:v>0.4100000000000002</c:v>
                      </c:pt>
                      <c:pt idx="4732">
                        <c:v>0.42000000000000021</c:v>
                      </c:pt>
                      <c:pt idx="4733">
                        <c:v>0.43000000000000022</c:v>
                      </c:pt>
                      <c:pt idx="4734">
                        <c:v>0.44000000000000022</c:v>
                      </c:pt>
                      <c:pt idx="4735">
                        <c:v>0.45000000000000023</c:v>
                      </c:pt>
                      <c:pt idx="4736">
                        <c:v>0.46000000000000024</c:v>
                      </c:pt>
                      <c:pt idx="4737">
                        <c:v>0.47000000000000025</c:v>
                      </c:pt>
                      <c:pt idx="4738">
                        <c:v>0.48000000000000026</c:v>
                      </c:pt>
                      <c:pt idx="4739">
                        <c:v>0.49000000000000027</c:v>
                      </c:pt>
                      <c:pt idx="4740">
                        <c:v>0.50000000000000022</c:v>
                      </c:pt>
                      <c:pt idx="4741">
                        <c:v>0.51000000000000023</c:v>
                      </c:pt>
                      <c:pt idx="4742">
                        <c:v>0.52000000000000024</c:v>
                      </c:pt>
                      <c:pt idx="4743">
                        <c:v>0.53000000000000025</c:v>
                      </c:pt>
                      <c:pt idx="4744">
                        <c:v>0.54000000000000026</c:v>
                      </c:pt>
                      <c:pt idx="4745">
                        <c:v>0.55000000000000027</c:v>
                      </c:pt>
                      <c:pt idx="4746">
                        <c:v>0.56000000000000028</c:v>
                      </c:pt>
                      <c:pt idx="4747">
                        <c:v>0.57000000000000028</c:v>
                      </c:pt>
                      <c:pt idx="4748">
                        <c:v>0.58000000000000029</c:v>
                      </c:pt>
                      <c:pt idx="4749">
                        <c:v>0.5900000000000003</c:v>
                      </c:pt>
                      <c:pt idx="4750">
                        <c:v>0.60000000000000031</c:v>
                      </c:pt>
                      <c:pt idx="4751">
                        <c:v>0.61000000000000032</c:v>
                      </c:pt>
                      <c:pt idx="4752">
                        <c:v>0.62000000000000033</c:v>
                      </c:pt>
                      <c:pt idx="4753">
                        <c:v>0.63000000000000034</c:v>
                      </c:pt>
                      <c:pt idx="4754">
                        <c:v>0.64000000000000035</c:v>
                      </c:pt>
                      <c:pt idx="4755">
                        <c:v>0.65000000000000036</c:v>
                      </c:pt>
                      <c:pt idx="4757">
                        <c:v>0.35500000000000015</c:v>
                      </c:pt>
                      <c:pt idx="4758">
                        <c:v>0.36500000000000016</c:v>
                      </c:pt>
                      <c:pt idx="4759">
                        <c:v>0.37500000000000017</c:v>
                      </c:pt>
                      <c:pt idx="4760">
                        <c:v>0.38500000000000018</c:v>
                      </c:pt>
                      <c:pt idx="4761">
                        <c:v>0.39500000000000018</c:v>
                      </c:pt>
                      <c:pt idx="4762">
                        <c:v>0.40500000000000019</c:v>
                      </c:pt>
                      <c:pt idx="4763">
                        <c:v>0.4150000000000002</c:v>
                      </c:pt>
                      <c:pt idx="4764">
                        <c:v>0.42500000000000021</c:v>
                      </c:pt>
                      <c:pt idx="4765">
                        <c:v>0.43500000000000022</c:v>
                      </c:pt>
                      <c:pt idx="4766">
                        <c:v>0.44500000000000023</c:v>
                      </c:pt>
                      <c:pt idx="4767">
                        <c:v>0.45500000000000024</c:v>
                      </c:pt>
                      <c:pt idx="4768">
                        <c:v>0.46500000000000025</c:v>
                      </c:pt>
                      <c:pt idx="4769">
                        <c:v>0.47500000000000026</c:v>
                      </c:pt>
                      <c:pt idx="4770">
                        <c:v>0.48500000000000026</c:v>
                      </c:pt>
                      <c:pt idx="4771">
                        <c:v>0.49500000000000027</c:v>
                      </c:pt>
                      <c:pt idx="4772">
                        <c:v>0.50500000000000023</c:v>
                      </c:pt>
                      <c:pt idx="4773">
                        <c:v>0.51500000000000024</c:v>
                      </c:pt>
                      <c:pt idx="4774">
                        <c:v>0.52500000000000024</c:v>
                      </c:pt>
                      <c:pt idx="4775">
                        <c:v>0.53500000000000025</c:v>
                      </c:pt>
                      <c:pt idx="4776">
                        <c:v>0.54500000000000026</c:v>
                      </c:pt>
                      <c:pt idx="4777">
                        <c:v>0.55500000000000027</c:v>
                      </c:pt>
                      <c:pt idx="4778">
                        <c:v>0.56500000000000028</c:v>
                      </c:pt>
                      <c:pt idx="4779">
                        <c:v>0.57500000000000029</c:v>
                      </c:pt>
                      <c:pt idx="4780">
                        <c:v>0.5850000000000003</c:v>
                      </c:pt>
                      <c:pt idx="4781">
                        <c:v>0.59500000000000031</c:v>
                      </c:pt>
                      <c:pt idx="4782">
                        <c:v>0.60500000000000032</c:v>
                      </c:pt>
                      <c:pt idx="4783">
                        <c:v>0.61500000000000032</c:v>
                      </c:pt>
                      <c:pt idx="4784">
                        <c:v>0.62500000000000033</c:v>
                      </c:pt>
                      <c:pt idx="4785">
                        <c:v>0.63500000000000034</c:v>
                      </c:pt>
                      <c:pt idx="4786">
                        <c:v>0.64500000000000035</c:v>
                      </c:pt>
                      <c:pt idx="4788">
                        <c:v>0.36000000000000015</c:v>
                      </c:pt>
                      <c:pt idx="4789">
                        <c:v>0.37000000000000016</c:v>
                      </c:pt>
                      <c:pt idx="4790">
                        <c:v>0.38000000000000017</c:v>
                      </c:pt>
                      <c:pt idx="4791">
                        <c:v>0.39000000000000018</c:v>
                      </c:pt>
                      <c:pt idx="4792">
                        <c:v>0.40000000000000019</c:v>
                      </c:pt>
                      <c:pt idx="4793">
                        <c:v>0.4100000000000002</c:v>
                      </c:pt>
                      <c:pt idx="4794">
                        <c:v>0.42000000000000021</c:v>
                      </c:pt>
                      <c:pt idx="4795">
                        <c:v>0.43000000000000022</c:v>
                      </c:pt>
                      <c:pt idx="4796">
                        <c:v>0.44000000000000022</c:v>
                      </c:pt>
                      <c:pt idx="4797">
                        <c:v>0.45000000000000023</c:v>
                      </c:pt>
                      <c:pt idx="4798">
                        <c:v>0.46000000000000024</c:v>
                      </c:pt>
                      <c:pt idx="4799">
                        <c:v>0.47000000000000025</c:v>
                      </c:pt>
                      <c:pt idx="4800">
                        <c:v>0.48000000000000026</c:v>
                      </c:pt>
                      <c:pt idx="4801">
                        <c:v>0.49000000000000027</c:v>
                      </c:pt>
                      <c:pt idx="4802">
                        <c:v>0.50000000000000022</c:v>
                      </c:pt>
                      <c:pt idx="4803">
                        <c:v>0.51000000000000023</c:v>
                      </c:pt>
                      <c:pt idx="4804">
                        <c:v>0.52000000000000024</c:v>
                      </c:pt>
                      <c:pt idx="4805">
                        <c:v>0.53000000000000025</c:v>
                      </c:pt>
                      <c:pt idx="4806">
                        <c:v>0.54000000000000026</c:v>
                      </c:pt>
                      <c:pt idx="4807">
                        <c:v>0.55000000000000027</c:v>
                      </c:pt>
                      <c:pt idx="4808">
                        <c:v>0.56000000000000028</c:v>
                      </c:pt>
                      <c:pt idx="4809">
                        <c:v>0.57000000000000028</c:v>
                      </c:pt>
                      <c:pt idx="4810">
                        <c:v>0.58000000000000029</c:v>
                      </c:pt>
                      <c:pt idx="4811">
                        <c:v>0.5900000000000003</c:v>
                      </c:pt>
                      <c:pt idx="4812">
                        <c:v>0.60000000000000031</c:v>
                      </c:pt>
                      <c:pt idx="4813">
                        <c:v>0.61000000000000032</c:v>
                      </c:pt>
                      <c:pt idx="4814">
                        <c:v>0.62000000000000033</c:v>
                      </c:pt>
                      <c:pt idx="4815">
                        <c:v>0.63000000000000034</c:v>
                      </c:pt>
                      <c:pt idx="4816">
                        <c:v>0.64000000000000035</c:v>
                      </c:pt>
                      <c:pt idx="4818">
                        <c:v>0.36500000000000016</c:v>
                      </c:pt>
                      <c:pt idx="4819">
                        <c:v>0.37500000000000017</c:v>
                      </c:pt>
                      <c:pt idx="4820">
                        <c:v>0.38500000000000018</c:v>
                      </c:pt>
                      <c:pt idx="4821">
                        <c:v>0.39500000000000018</c:v>
                      </c:pt>
                      <c:pt idx="4822">
                        <c:v>0.40500000000000019</c:v>
                      </c:pt>
                      <c:pt idx="4823">
                        <c:v>0.4150000000000002</c:v>
                      </c:pt>
                      <c:pt idx="4824">
                        <c:v>0.42500000000000021</c:v>
                      </c:pt>
                      <c:pt idx="4825">
                        <c:v>0.43500000000000022</c:v>
                      </c:pt>
                      <c:pt idx="4826">
                        <c:v>0.44500000000000023</c:v>
                      </c:pt>
                      <c:pt idx="4827">
                        <c:v>0.45500000000000024</c:v>
                      </c:pt>
                      <c:pt idx="4828">
                        <c:v>0.46500000000000025</c:v>
                      </c:pt>
                      <c:pt idx="4829">
                        <c:v>0.47500000000000026</c:v>
                      </c:pt>
                      <c:pt idx="4830">
                        <c:v>0.48500000000000026</c:v>
                      </c:pt>
                      <c:pt idx="4831">
                        <c:v>0.49500000000000027</c:v>
                      </c:pt>
                      <c:pt idx="4832">
                        <c:v>0.50500000000000023</c:v>
                      </c:pt>
                      <c:pt idx="4833">
                        <c:v>0.51500000000000024</c:v>
                      </c:pt>
                      <c:pt idx="4834">
                        <c:v>0.52500000000000024</c:v>
                      </c:pt>
                      <c:pt idx="4835">
                        <c:v>0.53500000000000025</c:v>
                      </c:pt>
                      <c:pt idx="4836">
                        <c:v>0.54500000000000026</c:v>
                      </c:pt>
                      <c:pt idx="4837">
                        <c:v>0.55500000000000027</c:v>
                      </c:pt>
                      <c:pt idx="4838">
                        <c:v>0.56500000000000028</c:v>
                      </c:pt>
                      <c:pt idx="4839">
                        <c:v>0.57500000000000029</c:v>
                      </c:pt>
                      <c:pt idx="4840">
                        <c:v>0.5850000000000003</c:v>
                      </c:pt>
                      <c:pt idx="4841">
                        <c:v>0.59500000000000031</c:v>
                      </c:pt>
                      <c:pt idx="4842">
                        <c:v>0.60500000000000032</c:v>
                      </c:pt>
                      <c:pt idx="4843">
                        <c:v>0.61500000000000032</c:v>
                      </c:pt>
                      <c:pt idx="4844">
                        <c:v>0.62500000000000033</c:v>
                      </c:pt>
                      <c:pt idx="4845">
                        <c:v>0.63500000000000034</c:v>
                      </c:pt>
                      <c:pt idx="4847">
                        <c:v>0.37000000000000016</c:v>
                      </c:pt>
                      <c:pt idx="4848">
                        <c:v>0.38000000000000017</c:v>
                      </c:pt>
                      <c:pt idx="4849">
                        <c:v>0.39000000000000018</c:v>
                      </c:pt>
                      <c:pt idx="4850">
                        <c:v>0.40000000000000019</c:v>
                      </c:pt>
                      <c:pt idx="4851">
                        <c:v>0.4100000000000002</c:v>
                      </c:pt>
                      <c:pt idx="4852">
                        <c:v>0.42000000000000021</c:v>
                      </c:pt>
                      <c:pt idx="4853">
                        <c:v>0.43000000000000022</c:v>
                      </c:pt>
                      <c:pt idx="4854">
                        <c:v>0.44000000000000022</c:v>
                      </c:pt>
                      <c:pt idx="4855">
                        <c:v>0.45000000000000023</c:v>
                      </c:pt>
                      <c:pt idx="4856">
                        <c:v>0.46000000000000024</c:v>
                      </c:pt>
                      <c:pt idx="4857">
                        <c:v>0.47000000000000025</c:v>
                      </c:pt>
                      <c:pt idx="4858">
                        <c:v>0.48000000000000026</c:v>
                      </c:pt>
                      <c:pt idx="4859">
                        <c:v>0.49000000000000027</c:v>
                      </c:pt>
                      <c:pt idx="4860">
                        <c:v>0.50000000000000022</c:v>
                      </c:pt>
                      <c:pt idx="4861">
                        <c:v>0.51000000000000023</c:v>
                      </c:pt>
                      <c:pt idx="4862">
                        <c:v>0.52000000000000024</c:v>
                      </c:pt>
                      <c:pt idx="4863">
                        <c:v>0.53000000000000025</c:v>
                      </c:pt>
                      <c:pt idx="4864">
                        <c:v>0.54000000000000026</c:v>
                      </c:pt>
                      <c:pt idx="4865">
                        <c:v>0.55000000000000027</c:v>
                      </c:pt>
                      <c:pt idx="4866">
                        <c:v>0.56000000000000028</c:v>
                      </c:pt>
                      <c:pt idx="4867">
                        <c:v>0.57000000000000028</c:v>
                      </c:pt>
                      <c:pt idx="4868">
                        <c:v>0.58000000000000029</c:v>
                      </c:pt>
                      <c:pt idx="4869">
                        <c:v>0.5900000000000003</c:v>
                      </c:pt>
                      <c:pt idx="4870">
                        <c:v>0.60000000000000031</c:v>
                      </c:pt>
                      <c:pt idx="4871">
                        <c:v>0.61000000000000032</c:v>
                      </c:pt>
                      <c:pt idx="4872">
                        <c:v>0.62000000000000033</c:v>
                      </c:pt>
                      <c:pt idx="4873">
                        <c:v>0.63000000000000034</c:v>
                      </c:pt>
                      <c:pt idx="4875">
                        <c:v>0.37500000000000017</c:v>
                      </c:pt>
                      <c:pt idx="4876">
                        <c:v>0.38500000000000018</c:v>
                      </c:pt>
                      <c:pt idx="4877">
                        <c:v>0.39500000000000018</c:v>
                      </c:pt>
                      <c:pt idx="4878">
                        <c:v>0.40500000000000019</c:v>
                      </c:pt>
                      <c:pt idx="4879">
                        <c:v>0.4150000000000002</c:v>
                      </c:pt>
                      <c:pt idx="4880">
                        <c:v>0.42500000000000021</c:v>
                      </c:pt>
                      <c:pt idx="4881">
                        <c:v>0.43500000000000022</c:v>
                      </c:pt>
                      <c:pt idx="4882">
                        <c:v>0.44500000000000023</c:v>
                      </c:pt>
                      <c:pt idx="4883">
                        <c:v>0.45500000000000024</c:v>
                      </c:pt>
                      <c:pt idx="4884">
                        <c:v>0.46500000000000025</c:v>
                      </c:pt>
                      <c:pt idx="4885">
                        <c:v>0.47500000000000026</c:v>
                      </c:pt>
                      <c:pt idx="4886">
                        <c:v>0.48500000000000026</c:v>
                      </c:pt>
                      <c:pt idx="4887">
                        <c:v>0.49500000000000027</c:v>
                      </c:pt>
                      <c:pt idx="4888">
                        <c:v>0.50500000000000023</c:v>
                      </c:pt>
                      <c:pt idx="4889">
                        <c:v>0.51500000000000024</c:v>
                      </c:pt>
                      <c:pt idx="4890">
                        <c:v>0.52500000000000024</c:v>
                      </c:pt>
                      <c:pt idx="4891">
                        <c:v>0.53500000000000025</c:v>
                      </c:pt>
                      <c:pt idx="4892">
                        <c:v>0.54500000000000026</c:v>
                      </c:pt>
                      <c:pt idx="4893">
                        <c:v>0.55500000000000027</c:v>
                      </c:pt>
                      <c:pt idx="4894">
                        <c:v>0.56500000000000028</c:v>
                      </c:pt>
                      <c:pt idx="4895">
                        <c:v>0.57500000000000029</c:v>
                      </c:pt>
                      <c:pt idx="4896">
                        <c:v>0.5850000000000003</c:v>
                      </c:pt>
                      <c:pt idx="4897">
                        <c:v>0.59500000000000031</c:v>
                      </c:pt>
                      <c:pt idx="4898">
                        <c:v>0.60500000000000032</c:v>
                      </c:pt>
                      <c:pt idx="4899">
                        <c:v>0.61500000000000032</c:v>
                      </c:pt>
                      <c:pt idx="4900">
                        <c:v>0.62500000000000033</c:v>
                      </c:pt>
                      <c:pt idx="4902">
                        <c:v>0.38000000000000017</c:v>
                      </c:pt>
                      <c:pt idx="4903">
                        <c:v>0.39000000000000018</c:v>
                      </c:pt>
                      <c:pt idx="4904">
                        <c:v>0.40000000000000019</c:v>
                      </c:pt>
                      <c:pt idx="4905">
                        <c:v>0.4100000000000002</c:v>
                      </c:pt>
                      <c:pt idx="4906">
                        <c:v>0.42000000000000021</c:v>
                      </c:pt>
                      <c:pt idx="4907">
                        <c:v>0.43000000000000022</c:v>
                      </c:pt>
                      <c:pt idx="4908">
                        <c:v>0.44000000000000022</c:v>
                      </c:pt>
                      <c:pt idx="4909">
                        <c:v>0.45000000000000023</c:v>
                      </c:pt>
                      <c:pt idx="4910">
                        <c:v>0.46000000000000024</c:v>
                      </c:pt>
                      <c:pt idx="4911">
                        <c:v>0.47000000000000025</c:v>
                      </c:pt>
                      <c:pt idx="4912">
                        <c:v>0.48000000000000026</c:v>
                      </c:pt>
                      <c:pt idx="4913">
                        <c:v>0.49000000000000027</c:v>
                      </c:pt>
                      <c:pt idx="4914">
                        <c:v>0.50000000000000022</c:v>
                      </c:pt>
                      <c:pt idx="4915">
                        <c:v>0.51000000000000023</c:v>
                      </c:pt>
                      <c:pt idx="4916">
                        <c:v>0.52000000000000024</c:v>
                      </c:pt>
                      <c:pt idx="4917">
                        <c:v>0.53000000000000025</c:v>
                      </c:pt>
                      <c:pt idx="4918">
                        <c:v>0.54000000000000026</c:v>
                      </c:pt>
                      <c:pt idx="4919">
                        <c:v>0.55000000000000027</c:v>
                      </c:pt>
                      <c:pt idx="4920">
                        <c:v>0.56000000000000028</c:v>
                      </c:pt>
                      <c:pt idx="4921">
                        <c:v>0.57000000000000028</c:v>
                      </c:pt>
                      <c:pt idx="4922">
                        <c:v>0.58000000000000029</c:v>
                      </c:pt>
                      <c:pt idx="4923">
                        <c:v>0.5900000000000003</c:v>
                      </c:pt>
                      <c:pt idx="4924">
                        <c:v>0.60000000000000031</c:v>
                      </c:pt>
                      <c:pt idx="4925">
                        <c:v>0.61000000000000032</c:v>
                      </c:pt>
                      <c:pt idx="4926">
                        <c:v>0.62000000000000033</c:v>
                      </c:pt>
                      <c:pt idx="4928">
                        <c:v>0.38500000000000018</c:v>
                      </c:pt>
                      <c:pt idx="4929">
                        <c:v>0.39500000000000018</c:v>
                      </c:pt>
                      <c:pt idx="4930">
                        <c:v>0.40500000000000019</c:v>
                      </c:pt>
                      <c:pt idx="4931">
                        <c:v>0.4150000000000002</c:v>
                      </c:pt>
                      <c:pt idx="4932">
                        <c:v>0.42500000000000021</c:v>
                      </c:pt>
                      <c:pt idx="4933">
                        <c:v>0.43500000000000022</c:v>
                      </c:pt>
                      <c:pt idx="4934">
                        <c:v>0.44500000000000023</c:v>
                      </c:pt>
                      <c:pt idx="4935">
                        <c:v>0.45500000000000024</c:v>
                      </c:pt>
                      <c:pt idx="4936">
                        <c:v>0.46500000000000025</c:v>
                      </c:pt>
                      <c:pt idx="4937">
                        <c:v>0.47500000000000026</c:v>
                      </c:pt>
                      <c:pt idx="4938">
                        <c:v>0.48500000000000026</c:v>
                      </c:pt>
                      <c:pt idx="4939">
                        <c:v>0.49500000000000027</c:v>
                      </c:pt>
                      <c:pt idx="4940">
                        <c:v>0.50500000000000023</c:v>
                      </c:pt>
                      <c:pt idx="4941">
                        <c:v>0.51500000000000024</c:v>
                      </c:pt>
                      <c:pt idx="4942">
                        <c:v>0.52500000000000024</c:v>
                      </c:pt>
                      <c:pt idx="4943">
                        <c:v>0.53500000000000025</c:v>
                      </c:pt>
                      <c:pt idx="4944">
                        <c:v>0.54500000000000026</c:v>
                      </c:pt>
                      <c:pt idx="4945">
                        <c:v>0.55500000000000027</c:v>
                      </c:pt>
                      <c:pt idx="4946">
                        <c:v>0.56500000000000028</c:v>
                      </c:pt>
                      <c:pt idx="4947">
                        <c:v>0.57500000000000029</c:v>
                      </c:pt>
                      <c:pt idx="4948">
                        <c:v>0.5850000000000003</c:v>
                      </c:pt>
                      <c:pt idx="4949">
                        <c:v>0.59500000000000031</c:v>
                      </c:pt>
                      <c:pt idx="4950">
                        <c:v>0.60500000000000032</c:v>
                      </c:pt>
                      <c:pt idx="4951">
                        <c:v>0.61500000000000032</c:v>
                      </c:pt>
                      <c:pt idx="4953">
                        <c:v>0.39000000000000018</c:v>
                      </c:pt>
                      <c:pt idx="4954">
                        <c:v>0.40000000000000019</c:v>
                      </c:pt>
                      <c:pt idx="4955">
                        <c:v>0.4100000000000002</c:v>
                      </c:pt>
                      <c:pt idx="4956">
                        <c:v>0.42000000000000021</c:v>
                      </c:pt>
                      <c:pt idx="4957">
                        <c:v>0.43000000000000022</c:v>
                      </c:pt>
                      <c:pt idx="4958">
                        <c:v>0.44000000000000022</c:v>
                      </c:pt>
                      <c:pt idx="4959">
                        <c:v>0.45000000000000023</c:v>
                      </c:pt>
                      <c:pt idx="4960">
                        <c:v>0.46000000000000024</c:v>
                      </c:pt>
                      <c:pt idx="4961">
                        <c:v>0.47000000000000025</c:v>
                      </c:pt>
                      <c:pt idx="4962">
                        <c:v>0.48000000000000026</c:v>
                      </c:pt>
                      <c:pt idx="4963">
                        <c:v>0.49000000000000027</c:v>
                      </c:pt>
                      <c:pt idx="4964">
                        <c:v>0.50000000000000022</c:v>
                      </c:pt>
                      <c:pt idx="4965">
                        <c:v>0.51000000000000023</c:v>
                      </c:pt>
                      <c:pt idx="4966">
                        <c:v>0.52000000000000024</c:v>
                      </c:pt>
                      <c:pt idx="4967">
                        <c:v>0.53000000000000025</c:v>
                      </c:pt>
                      <c:pt idx="4968">
                        <c:v>0.54000000000000026</c:v>
                      </c:pt>
                      <c:pt idx="4969">
                        <c:v>0.55000000000000027</c:v>
                      </c:pt>
                      <c:pt idx="4970">
                        <c:v>0.56000000000000028</c:v>
                      </c:pt>
                      <c:pt idx="4971">
                        <c:v>0.57000000000000028</c:v>
                      </c:pt>
                      <c:pt idx="4972">
                        <c:v>0.58000000000000029</c:v>
                      </c:pt>
                      <c:pt idx="4973">
                        <c:v>0.5900000000000003</c:v>
                      </c:pt>
                      <c:pt idx="4974">
                        <c:v>0.60000000000000031</c:v>
                      </c:pt>
                      <c:pt idx="4975">
                        <c:v>0.61000000000000032</c:v>
                      </c:pt>
                      <c:pt idx="4977">
                        <c:v>0.39500000000000018</c:v>
                      </c:pt>
                      <c:pt idx="4978">
                        <c:v>0.40500000000000019</c:v>
                      </c:pt>
                      <c:pt idx="4979">
                        <c:v>0.4150000000000002</c:v>
                      </c:pt>
                      <c:pt idx="4980">
                        <c:v>0.42500000000000021</c:v>
                      </c:pt>
                      <c:pt idx="4981">
                        <c:v>0.43500000000000022</c:v>
                      </c:pt>
                      <c:pt idx="4982">
                        <c:v>0.44500000000000023</c:v>
                      </c:pt>
                      <c:pt idx="4983">
                        <c:v>0.45500000000000024</c:v>
                      </c:pt>
                      <c:pt idx="4984">
                        <c:v>0.46500000000000025</c:v>
                      </c:pt>
                      <c:pt idx="4985">
                        <c:v>0.47500000000000026</c:v>
                      </c:pt>
                      <c:pt idx="4986">
                        <c:v>0.48500000000000026</c:v>
                      </c:pt>
                      <c:pt idx="4987">
                        <c:v>0.49500000000000027</c:v>
                      </c:pt>
                      <c:pt idx="4988">
                        <c:v>0.50500000000000023</c:v>
                      </c:pt>
                      <c:pt idx="4989">
                        <c:v>0.51500000000000024</c:v>
                      </c:pt>
                      <c:pt idx="4990">
                        <c:v>0.52500000000000024</c:v>
                      </c:pt>
                      <c:pt idx="4991">
                        <c:v>0.53500000000000025</c:v>
                      </c:pt>
                      <c:pt idx="4992">
                        <c:v>0.54500000000000026</c:v>
                      </c:pt>
                      <c:pt idx="4993">
                        <c:v>0.55500000000000027</c:v>
                      </c:pt>
                      <c:pt idx="4994">
                        <c:v>0.56500000000000028</c:v>
                      </c:pt>
                      <c:pt idx="4995">
                        <c:v>0.57500000000000029</c:v>
                      </c:pt>
                      <c:pt idx="4996">
                        <c:v>0.5850000000000003</c:v>
                      </c:pt>
                      <c:pt idx="4997">
                        <c:v>0.59500000000000031</c:v>
                      </c:pt>
                      <c:pt idx="4998">
                        <c:v>0.60500000000000032</c:v>
                      </c:pt>
                      <c:pt idx="5000">
                        <c:v>0.40000000000000019</c:v>
                      </c:pt>
                      <c:pt idx="5001">
                        <c:v>0.4100000000000002</c:v>
                      </c:pt>
                      <c:pt idx="5002">
                        <c:v>0.42000000000000021</c:v>
                      </c:pt>
                      <c:pt idx="5003">
                        <c:v>0.43000000000000022</c:v>
                      </c:pt>
                      <c:pt idx="5004">
                        <c:v>0.44000000000000022</c:v>
                      </c:pt>
                      <c:pt idx="5005">
                        <c:v>0.45000000000000023</c:v>
                      </c:pt>
                      <c:pt idx="5006">
                        <c:v>0.46000000000000024</c:v>
                      </c:pt>
                      <c:pt idx="5007">
                        <c:v>0.47000000000000025</c:v>
                      </c:pt>
                      <c:pt idx="5008">
                        <c:v>0.48000000000000026</c:v>
                      </c:pt>
                      <c:pt idx="5009">
                        <c:v>0.49000000000000027</c:v>
                      </c:pt>
                      <c:pt idx="5010">
                        <c:v>0.50000000000000022</c:v>
                      </c:pt>
                      <c:pt idx="5011">
                        <c:v>0.51000000000000023</c:v>
                      </c:pt>
                      <c:pt idx="5012">
                        <c:v>0.52000000000000024</c:v>
                      </c:pt>
                      <c:pt idx="5013">
                        <c:v>0.53000000000000025</c:v>
                      </c:pt>
                      <c:pt idx="5014">
                        <c:v>0.54000000000000026</c:v>
                      </c:pt>
                      <c:pt idx="5015">
                        <c:v>0.55000000000000027</c:v>
                      </c:pt>
                      <c:pt idx="5016">
                        <c:v>0.56000000000000028</c:v>
                      </c:pt>
                      <c:pt idx="5017">
                        <c:v>0.57000000000000028</c:v>
                      </c:pt>
                      <c:pt idx="5018">
                        <c:v>0.58000000000000029</c:v>
                      </c:pt>
                      <c:pt idx="5019">
                        <c:v>0.5900000000000003</c:v>
                      </c:pt>
                      <c:pt idx="5020">
                        <c:v>0.60000000000000031</c:v>
                      </c:pt>
                      <c:pt idx="5022">
                        <c:v>0.40500000000000019</c:v>
                      </c:pt>
                      <c:pt idx="5023">
                        <c:v>0.4150000000000002</c:v>
                      </c:pt>
                      <c:pt idx="5024">
                        <c:v>0.42500000000000021</c:v>
                      </c:pt>
                      <c:pt idx="5025">
                        <c:v>0.43500000000000022</c:v>
                      </c:pt>
                      <c:pt idx="5026">
                        <c:v>0.44500000000000023</c:v>
                      </c:pt>
                      <c:pt idx="5027">
                        <c:v>0.45500000000000024</c:v>
                      </c:pt>
                      <c:pt idx="5028">
                        <c:v>0.46500000000000025</c:v>
                      </c:pt>
                      <c:pt idx="5029">
                        <c:v>0.47500000000000026</c:v>
                      </c:pt>
                      <c:pt idx="5030">
                        <c:v>0.48500000000000026</c:v>
                      </c:pt>
                      <c:pt idx="5031">
                        <c:v>0.49500000000000027</c:v>
                      </c:pt>
                      <c:pt idx="5032">
                        <c:v>0.50500000000000023</c:v>
                      </c:pt>
                      <c:pt idx="5033">
                        <c:v>0.51500000000000024</c:v>
                      </c:pt>
                      <c:pt idx="5034">
                        <c:v>0.52500000000000024</c:v>
                      </c:pt>
                      <c:pt idx="5035">
                        <c:v>0.53500000000000025</c:v>
                      </c:pt>
                      <c:pt idx="5036">
                        <c:v>0.54500000000000026</c:v>
                      </c:pt>
                      <c:pt idx="5037">
                        <c:v>0.55500000000000027</c:v>
                      </c:pt>
                      <c:pt idx="5038">
                        <c:v>0.56500000000000028</c:v>
                      </c:pt>
                      <c:pt idx="5039">
                        <c:v>0.57500000000000029</c:v>
                      </c:pt>
                      <c:pt idx="5040">
                        <c:v>0.5850000000000003</c:v>
                      </c:pt>
                      <c:pt idx="5041">
                        <c:v>0.59500000000000031</c:v>
                      </c:pt>
                      <c:pt idx="5043">
                        <c:v>0.4100000000000002</c:v>
                      </c:pt>
                      <c:pt idx="5044">
                        <c:v>0.42000000000000021</c:v>
                      </c:pt>
                      <c:pt idx="5045">
                        <c:v>0.43000000000000022</c:v>
                      </c:pt>
                      <c:pt idx="5046">
                        <c:v>0.44000000000000022</c:v>
                      </c:pt>
                      <c:pt idx="5047">
                        <c:v>0.45000000000000023</c:v>
                      </c:pt>
                      <c:pt idx="5048">
                        <c:v>0.46000000000000024</c:v>
                      </c:pt>
                      <c:pt idx="5049">
                        <c:v>0.47000000000000025</c:v>
                      </c:pt>
                      <c:pt idx="5050">
                        <c:v>0.48000000000000026</c:v>
                      </c:pt>
                      <c:pt idx="5051">
                        <c:v>0.49000000000000027</c:v>
                      </c:pt>
                      <c:pt idx="5052">
                        <c:v>0.50000000000000022</c:v>
                      </c:pt>
                      <c:pt idx="5053">
                        <c:v>0.51000000000000023</c:v>
                      </c:pt>
                      <c:pt idx="5054">
                        <c:v>0.52000000000000024</c:v>
                      </c:pt>
                      <c:pt idx="5055">
                        <c:v>0.53000000000000025</c:v>
                      </c:pt>
                      <c:pt idx="5056">
                        <c:v>0.54000000000000026</c:v>
                      </c:pt>
                      <c:pt idx="5057">
                        <c:v>0.55000000000000027</c:v>
                      </c:pt>
                      <c:pt idx="5058">
                        <c:v>0.56000000000000028</c:v>
                      </c:pt>
                      <c:pt idx="5059">
                        <c:v>0.57000000000000028</c:v>
                      </c:pt>
                      <c:pt idx="5060">
                        <c:v>0.58000000000000029</c:v>
                      </c:pt>
                      <c:pt idx="5061">
                        <c:v>0.5900000000000003</c:v>
                      </c:pt>
                      <c:pt idx="5063">
                        <c:v>0.4150000000000002</c:v>
                      </c:pt>
                      <c:pt idx="5064">
                        <c:v>0.42500000000000021</c:v>
                      </c:pt>
                      <c:pt idx="5065">
                        <c:v>0.43500000000000022</c:v>
                      </c:pt>
                      <c:pt idx="5066">
                        <c:v>0.44500000000000023</c:v>
                      </c:pt>
                      <c:pt idx="5067">
                        <c:v>0.45500000000000024</c:v>
                      </c:pt>
                      <c:pt idx="5068">
                        <c:v>0.46500000000000025</c:v>
                      </c:pt>
                      <c:pt idx="5069">
                        <c:v>0.47500000000000026</c:v>
                      </c:pt>
                      <c:pt idx="5070">
                        <c:v>0.48500000000000026</c:v>
                      </c:pt>
                      <c:pt idx="5071">
                        <c:v>0.49500000000000027</c:v>
                      </c:pt>
                      <c:pt idx="5072">
                        <c:v>0.50500000000000023</c:v>
                      </c:pt>
                      <c:pt idx="5073">
                        <c:v>0.51500000000000024</c:v>
                      </c:pt>
                      <c:pt idx="5074">
                        <c:v>0.52500000000000024</c:v>
                      </c:pt>
                      <c:pt idx="5075">
                        <c:v>0.53500000000000025</c:v>
                      </c:pt>
                      <c:pt idx="5076">
                        <c:v>0.54500000000000026</c:v>
                      </c:pt>
                      <c:pt idx="5077">
                        <c:v>0.55500000000000027</c:v>
                      </c:pt>
                      <c:pt idx="5078">
                        <c:v>0.56500000000000028</c:v>
                      </c:pt>
                      <c:pt idx="5079">
                        <c:v>0.57500000000000029</c:v>
                      </c:pt>
                      <c:pt idx="5080">
                        <c:v>0.5850000000000003</c:v>
                      </c:pt>
                      <c:pt idx="5082">
                        <c:v>0.42000000000000021</c:v>
                      </c:pt>
                      <c:pt idx="5083">
                        <c:v>0.43000000000000022</c:v>
                      </c:pt>
                      <c:pt idx="5084">
                        <c:v>0.44000000000000022</c:v>
                      </c:pt>
                      <c:pt idx="5085">
                        <c:v>0.45000000000000023</c:v>
                      </c:pt>
                      <c:pt idx="5086">
                        <c:v>0.46000000000000024</c:v>
                      </c:pt>
                      <c:pt idx="5087">
                        <c:v>0.47000000000000025</c:v>
                      </c:pt>
                      <c:pt idx="5088">
                        <c:v>0.48000000000000026</c:v>
                      </c:pt>
                      <c:pt idx="5089">
                        <c:v>0.49000000000000027</c:v>
                      </c:pt>
                      <c:pt idx="5090">
                        <c:v>0.50000000000000022</c:v>
                      </c:pt>
                      <c:pt idx="5091">
                        <c:v>0.51000000000000023</c:v>
                      </c:pt>
                      <c:pt idx="5092">
                        <c:v>0.52000000000000024</c:v>
                      </c:pt>
                      <c:pt idx="5093">
                        <c:v>0.53000000000000025</c:v>
                      </c:pt>
                      <c:pt idx="5094">
                        <c:v>0.54000000000000026</c:v>
                      </c:pt>
                      <c:pt idx="5095">
                        <c:v>0.55000000000000027</c:v>
                      </c:pt>
                      <c:pt idx="5096">
                        <c:v>0.56000000000000028</c:v>
                      </c:pt>
                      <c:pt idx="5097">
                        <c:v>0.57000000000000028</c:v>
                      </c:pt>
                      <c:pt idx="5098">
                        <c:v>0.58000000000000029</c:v>
                      </c:pt>
                      <c:pt idx="5100">
                        <c:v>0.42500000000000021</c:v>
                      </c:pt>
                      <c:pt idx="5101">
                        <c:v>0.43500000000000022</c:v>
                      </c:pt>
                      <c:pt idx="5102">
                        <c:v>0.44500000000000023</c:v>
                      </c:pt>
                      <c:pt idx="5103">
                        <c:v>0.45500000000000024</c:v>
                      </c:pt>
                      <c:pt idx="5104">
                        <c:v>0.46500000000000025</c:v>
                      </c:pt>
                      <c:pt idx="5105">
                        <c:v>0.47500000000000026</c:v>
                      </c:pt>
                      <c:pt idx="5106">
                        <c:v>0.48500000000000026</c:v>
                      </c:pt>
                      <c:pt idx="5107">
                        <c:v>0.49500000000000027</c:v>
                      </c:pt>
                      <c:pt idx="5108">
                        <c:v>0.50500000000000023</c:v>
                      </c:pt>
                      <c:pt idx="5109">
                        <c:v>0.51500000000000024</c:v>
                      </c:pt>
                      <c:pt idx="5110">
                        <c:v>0.52500000000000024</c:v>
                      </c:pt>
                      <c:pt idx="5111">
                        <c:v>0.53500000000000025</c:v>
                      </c:pt>
                      <c:pt idx="5112">
                        <c:v>0.54500000000000026</c:v>
                      </c:pt>
                      <c:pt idx="5113">
                        <c:v>0.55500000000000027</c:v>
                      </c:pt>
                      <c:pt idx="5114">
                        <c:v>0.56500000000000028</c:v>
                      </c:pt>
                      <c:pt idx="5115">
                        <c:v>0.57500000000000029</c:v>
                      </c:pt>
                      <c:pt idx="5117">
                        <c:v>0.43000000000000022</c:v>
                      </c:pt>
                      <c:pt idx="5118">
                        <c:v>0.44000000000000022</c:v>
                      </c:pt>
                      <c:pt idx="5119">
                        <c:v>0.45000000000000023</c:v>
                      </c:pt>
                      <c:pt idx="5120">
                        <c:v>0.46000000000000024</c:v>
                      </c:pt>
                      <c:pt idx="5121">
                        <c:v>0.47000000000000025</c:v>
                      </c:pt>
                      <c:pt idx="5122">
                        <c:v>0.48000000000000026</c:v>
                      </c:pt>
                      <c:pt idx="5123">
                        <c:v>0.49000000000000027</c:v>
                      </c:pt>
                      <c:pt idx="5124">
                        <c:v>0.50000000000000022</c:v>
                      </c:pt>
                      <c:pt idx="5125">
                        <c:v>0.51000000000000023</c:v>
                      </c:pt>
                      <c:pt idx="5126">
                        <c:v>0.52000000000000024</c:v>
                      </c:pt>
                      <c:pt idx="5127">
                        <c:v>0.53000000000000025</c:v>
                      </c:pt>
                      <c:pt idx="5128">
                        <c:v>0.54000000000000026</c:v>
                      </c:pt>
                      <c:pt idx="5129">
                        <c:v>0.55000000000000027</c:v>
                      </c:pt>
                      <c:pt idx="5130">
                        <c:v>0.56000000000000028</c:v>
                      </c:pt>
                      <c:pt idx="5131">
                        <c:v>0.57000000000000028</c:v>
                      </c:pt>
                      <c:pt idx="5133">
                        <c:v>0.43500000000000022</c:v>
                      </c:pt>
                      <c:pt idx="5134">
                        <c:v>0.44500000000000023</c:v>
                      </c:pt>
                      <c:pt idx="5135">
                        <c:v>0.45500000000000024</c:v>
                      </c:pt>
                      <c:pt idx="5136">
                        <c:v>0.46500000000000025</c:v>
                      </c:pt>
                      <c:pt idx="5137">
                        <c:v>0.47500000000000026</c:v>
                      </c:pt>
                      <c:pt idx="5138">
                        <c:v>0.48500000000000026</c:v>
                      </c:pt>
                      <c:pt idx="5139">
                        <c:v>0.49500000000000027</c:v>
                      </c:pt>
                      <c:pt idx="5140">
                        <c:v>0.50500000000000023</c:v>
                      </c:pt>
                      <c:pt idx="5141">
                        <c:v>0.51500000000000024</c:v>
                      </c:pt>
                      <c:pt idx="5142">
                        <c:v>0.52500000000000024</c:v>
                      </c:pt>
                      <c:pt idx="5143">
                        <c:v>0.53500000000000025</c:v>
                      </c:pt>
                      <c:pt idx="5144">
                        <c:v>0.54500000000000026</c:v>
                      </c:pt>
                      <c:pt idx="5145">
                        <c:v>0.55500000000000027</c:v>
                      </c:pt>
                      <c:pt idx="5146">
                        <c:v>0.56500000000000028</c:v>
                      </c:pt>
                      <c:pt idx="5148">
                        <c:v>0.44000000000000022</c:v>
                      </c:pt>
                      <c:pt idx="5149">
                        <c:v>0.45000000000000023</c:v>
                      </c:pt>
                      <c:pt idx="5150">
                        <c:v>0.46000000000000024</c:v>
                      </c:pt>
                      <c:pt idx="5151">
                        <c:v>0.47000000000000025</c:v>
                      </c:pt>
                      <c:pt idx="5152">
                        <c:v>0.48000000000000026</c:v>
                      </c:pt>
                      <c:pt idx="5153">
                        <c:v>0.49000000000000027</c:v>
                      </c:pt>
                      <c:pt idx="5154">
                        <c:v>0.50000000000000022</c:v>
                      </c:pt>
                      <c:pt idx="5155">
                        <c:v>0.51000000000000023</c:v>
                      </c:pt>
                      <c:pt idx="5156">
                        <c:v>0.52000000000000024</c:v>
                      </c:pt>
                      <c:pt idx="5157">
                        <c:v>0.53000000000000025</c:v>
                      </c:pt>
                      <c:pt idx="5158">
                        <c:v>0.54000000000000026</c:v>
                      </c:pt>
                      <c:pt idx="5159">
                        <c:v>0.55000000000000027</c:v>
                      </c:pt>
                      <c:pt idx="5160">
                        <c:v>0.56000000000000028</c:v>
                      </c:pt>
                      <c:pt idx="5162">
                        <c:v>0.44500000000000023</c:v>
                      </c:pt>
                      <c:pt idx="5163">
                        <c:v>0.45500000000000024</c:v>
                      </c:pt>
                      <c:pt idx="5164">
                        <c:v>0.46500000000000025</c:v>
                      </c:pt>
                      <c:pt idx="5165">
                        <c:v>0.47500000000000026</c:v>
                      </c:pt>
                      <c:pt idx="5166">
                        <c:v>0.48500000000000026</c:v>
                      </c:pt>
                      <c:pt idx="5167">
                        <c:v>0.49500000000000027</c:v>
                      </c:pt>
                      <c:pt idx="5168">
                        <c:v>0.50500000000000023</c:v>
                      </c:pt>
                      <c:pt idx="5169">
                        <c:v>0.51500000000000024</c:v>
                      </c:pt>
                      <c:pt idx="5170">
                        <c:v>0.52500000000000024</c:v>
                      </c:pt>
                      <c:pt idx="5171">
                        <c:v>0.53500000000000025</c:v>
                      </c:pt>
                      <c:pt idx="5172">
                        <c:v>0.54500000000000026</c:v>
                      </c:pt>
                      <c:pt idx="5173">
                        <c:v>0.55500000000000027</c:v>
                      </c:pt>
                      <c:pt idx="5175">
                        <c:v>0.45000000000000023</c:v>
                      </c:pt>
                      <c:pt idx="5176">
                        <c:v>0.46000000000000024</c:v>
                      </c:pt>
                      <c:pt idx="5177">
                        <c:v>0.47000000000000025</c:v>
                      </c:pt>
                      <c:pt idx="5178">
                        <c:v>0.48000000000000026</c:v>
                      </c:pt>
                      <c:pt idx="5179">
                        <c:v>0.49000000000000027</c:v>
                      </c:pt>
                      <c:pt idx="5180">
                        <c:v>0.50000000000000022</c:v>
                      </c:pt>
                      <c:pt idx="5181">
                        <c:v>0.51000000000000023</c:v>
                      </c:pt>
                      <c:pt idx="5182">
                        <c:v>0.52000000000000024</c:v>
                      </c:pt>
                      <c:pt idx="5183">
                        <c:v>0.53000000000000025</c:v>
                      </c:pt>
                      <c:pt idx="5184">
                        <c:v>0.54000000000000026</c:v>
                      </c:pt>
                      <c:pt idx="5185">
                        <c:v>0.55000000000000027</c:v>
                      </c:pt>
                      <c:pt idx="5187">
                        <c:v>0.45500000000000024</c:v>
                      </c:pt>
                      <c:pt idx="5188">
                        <c:v>0.46500000000000025</c:v>
                      </c:pt>
                      <c:pt idx="5189">
                        <c:v>0.47500000000000026</c:v>
                      </c:pt>
                      <c:pt idx="5190">
                        <c:v>0.48500000000000026</c:v>
                      </c:pt>
                      <c:pt idx="5191">
                        <c:v>0.49500000000000027</c:v>
                      </c:pt>
                      <c:pt idx="5192">
                        <c:v>0.50500000000000023</c:v>
                      </c:pt>
                      <c:pt idx="5193">
                        <c:v>0.51500000000000024</c:v>
                      </c:pt>
                      <c:pt idx="5194">
                        <c:v>0.52500000000000024</c:v>
                      </c:pt>
                      <c:pt idx="5195">
                        <c:v>0.53500000000000025</c:v>
                      </c:pt>
                      <c:pt idx="5196">
                        <c:v>0.54500000000000026</c:v>
                      </c:pt>
                      <c:pt idx="5198">
                        <c:v>0.46000000000000024</c:v>
                      </c:pt>
                      <c:pt idx="5199">
                        <c:v>0.47000000000000025</c:v>
                      </c:pt>
                      <c:pt idx="5200">
                        <c:v>0.48000000000000026</c:v>
                      </c:pt>
                      <c:pt idx="5201">
                        <c:v>0.49000000000000027</c:v>
                      </c:pt>
                      <c:pt idx="5202">
                        <c:v>0.50000000000000022</c:v>
                      </c:pt>
                      <c:pt idx="5203">
                        <c:v>0.51000000000000023</c:v>
                      </c:pt>
                      <c:pt idx="5204">
                        <c:v>0.52000000000000024</c:v>
                      </c:pt>
                      <c:pt idx="5205">
                        <c:v>0.53000000000000025</c:v>
                      </c:pt>
                      <c:pt idx="5206">
                        <c:v>0.54000000000000026</c:v>
                      </c:pt>
                      <c:pt idx="5208">
                        <c:v>0.46500000000000025</c:v>
                      </c:pt>
                      <c:pt idx="5209">
                        <c:v>0.47500000000000026</c:v>
                      </c:pt>
                      <c:pt idx="5210">
                        <c:v>0.48500000000000026</c:v>
                      </c:pt>
                      <c:pt idx="5211">
                        <c:v>0.49500000000000027</c:v>
                      </c:pt>
                      <c:pt idx="5212">
                        <c:v>0.50500000000000023</c:v>
                      </c:pt>
                      <c:pt idx="5213">
                        <c:v>0.51500000000000024</c:v>
                      </c:pt>
                      <c:pt idx="5214">
                        <c:v>0.52500000000000024</c:v>
                      </c:pt>
                      <c:pt idx="5215">
                        <c:v>0.53500000000000025</c:v>
                      </c:pt>
                      <c:pt idx="5217">
                        <c:v>0.47000000000000025</c:v>
                      </c:pt>
                      <c:pt idx="5218">
                        <c:v>0.48000000000000026</c:v>
                      </c:pt>
                      <c:pt idx="5219">
                        <c:v>0.49000000000000027</c:v>
                      </c:pt>
                      <c:pt idx="5220">
                        <c:v>0.50000000000000022</c:v>
                      </c:pt>
                      <c:pt idx="5221">
                        <c:v>0.51000000000000023</c:v>
                      </c:pt>
                      <c:pt idx="5222">
                        <c:v>0.52000000000000024</c:v>
                      </c:pt>
                      <c:pt idx="5223">
                        <c:v>0.53000000000000025</c:v>
                      </c:pt>
                      <c:pt idx="5225">
                        <c:v>0.47500000000000026</c:v>
                      </c:pt>
                      <c:pt idx="5226">
                        <c:v>0.48500000000000026</c:v>
                      </c:pt>
                      <c:pt idx="5227">
                        <c:v>0.49500000000000027</c:v>
                      </c:pt>
                      <c:pt idx="5228">
                        <c:v>0.50500000000000023</c:v>
                      </c:pt>
                      <c:pt idx="5229">
                        <c:v>0.51500000000000024</c:v>
                      </c:pt>
                      <c:pt idx="5230">
                        <c:v>0.52500000000000024</c:v>
                      </c:pt>
                      <c:pt idx="5232">
                        <c:v>0.48000000000000026</c:v>
                      </c:pt>
                      <c:pt idx="5233">
                        <c:v>0.49000000000000027</c:v>
                      </c:pt>
                      <c:pt idx="5234">
                        <c:v>0.50000000000000022</c:v>
                      </c:pt>
                      <c:pt idx="5235">
                        <c:v>0.51000000000000023</c:v>
                      </c:pt>
                      <c:pt idx="5236">
                        <c:v>0.52000000000000024</c:v>
                      </c:pt>
                      <c:pt idx="5238">
                        <c:v>0.48500000000000026</c:v>
                      </c:pt>
                      <c:pt idx="5239">
                        <c:v>0.49500000000000027</c:v>
                      </c:pt>
                      <c:pt idx="5240">
                        <c:v>0.50500000000000023</c:v>
                      </c:pt>
                      <c:pt idx="5241">
                        <c:v>0.51500000000000024</c:v>
                      </c:pt>
                      <c:pt idx="5243">
                        <c:v>0.49000000000000027</c:v>
                      </c:pt>
                      <c:pt idx="5244">
                        <c:v>0.50000000000000022</c:v>
                      </c:pt>
                      <c:pt idx="5245">
                        <c:v>0.51000000000000023</c:v>
                      </c:pt>
                      <c:pt idx="5247">
                        <c:v>0.49500000000000027</c:v>
                      </c:pt>
                      <c:pt idx="5248">
                        <c:v>0.50500000000000023</c:v>
                      </c:pt>
                      <c:pt idx="5250">
                        <c:v>0.5</c:v>
                      </c:pt>
                    </c:numCache>
                  </c:numRef>
                </c:xVal>
                <c:yVal>
                  <c:numRef>
                    <c:extLst xmlns:c15="http://schemas.microsoft.com/office/drawing/2012/chart">
                      <c:ext xmlns:c15="http://schemas.microsoft.com/office/drawing/2012/chart" uri="{02D57815-91ED-43cb-92C2-25804820EDAC}">
                        <c15:formulaRef>
                          <c15:sqref>ChartData!$AS$3:$AS$5253</c15:sqref>
                        </c15:formulaRef>
                      </c:ext>
                    </c:extLst>
                    <c:numCache>
                      <c:formatCode>0.000</c:formatCode>
                      <c:ptCount val="52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2">
                        <c:v>8.6602540378443865E-3</c:v>
                      </c:pt>
                      <c:pt idx="103">
                        <c:v>8.6602540378443865E-3</c:v>
                      </c:pt>
                      <c:pt idx="104">
                        <c:v>8.6602540378443865E-3</c:v>
                      </c:pt>
                      <c:pt idx="105">
                        <c:v>8.6602540378443865E-3</c:v>
                      </c:pt>
                      <c:pt idx="106">
                        <c:v>8.6602540378443865E-3</c:v>
                      </c:pt>
                      <c:pt idx="107">
                        <c:v>8.6602540378443865E-3</c:v>
                      </c:pt>
                      <c:pt idx="108">
                        <c:v>8.6602540378443865E-3</c:v>
                      </c:pt>
                      <c:pt idx="109">
                        <c:v>8.6602540378443865E-3</c:v>
                      </c:pt>
                      <c:pt idx="110">
                        <c:v>8.6602540378443865E-3</c:v>
                      </c:pt>
                      <c:pt idx="111">
                        <c:v>8.6602540378443865E-3</c:v>
                      </c:pt>
                      <c:pt idx="112">
                        <c:v>8.6602540378443865E-3</c:v>
                      </c:pt>
                      <c:pt idx="113">
                        <c:v>8.6602540378443865E-3</c:v>
                      </c:pt>
                      <c:pt idx="114">
                        <c:v>8.6602540378443865E-3</c:v>
                      </c:pt>
                      <c:pt idx="115">
                        <c:v>8.6602540378443865E-3</c:v>
                      </c:pt>
                      <c:pt idx="116">
                        <c:v>8.6602540378443865E-3</c:v>
                      </c:pt>
                      <c:pt idx="117">
                        <c:v>8.6602540378443865E-3</c:v>
                      </c:pt>
                      <c:pt idx="118">
                        <c:v>8.6602540378443865E-3</c:v>
                      </c:pt>
                      <c:pt idx="119">
                        <c:v>8.6602540378443865E-3</c:v>
                      </c:pt>
                      <c:pt idx="120">
                        <c:v>8.6602540378443865E-3</c:v>
                      </c:pt>
                      <c:pt idx="121">
                        <c:v>8.6602540378443865E-3</c:v>
                      </c:pt>
                      <c:pt idx="122">
                        <c:v>8.6602540378443865E-3</c:v>
                      </c:pt>
                      <c:pt idx="123">
                        <c:v>8.6602540378443865E-3</c:v>
                      </c:pt>
                      <c:pt idx="124">
                        <c:v>8.6602540378443865E-3</c:v>
                      </c:pt>
                      <c:pt idx="125">
                        <c:v>8.6602540378443865E-3</c:v>
                      </c:pt>
                      <c:pt idx="126">
                        <c:v>8.6602540378443865E-3</c:v>
                      </c:pt>
                      <c:pt idx="127">
                        <c:v>8.6602540378443865E-3</c:v>
                      </c:pt>
                      <c:pt idx="128">
                        <c:v>8.6602540378443865E-3</c:v>
                      </c:pt>
                      <c:pt idx="129">
                        <c:v>8.6602540378443865E-3</c:v>
                      </c:pt>
                      <c:pt idx="130">
                        <c:v>8.6602540378443865E-3</c:v>
                      </c:pt>
                      <c:pt idx="131">
                        <c:v>8.6602540378443865E-3</c:v>
                      </c:pt>
                      <c:pt idx="132">
                        <c:v>8.6602540378443865E-3</c:v>
                      </c:pt>
                      <c:pt idx="133">
                        <c:v>8.6602540378443865E-3</c:v>
                      </c:pt>
                      <c:pt idx="134">
                        <c:v>8.6602540378443865E-3</c:v>
                      </c:pt>
                      <c:pt idx="135">
                        <c:v>8.6602540378443865E-3</c:v>
                      </c:pt>
                      <c:pt idx="136">
                        <c:v>8.6602540378443865E-3</c:v>
                      </c:pt>
                      <c:pt idx="137">
                        <c:v>8.6602540378443865E-3</c:v>
                      </c:pt>
                      <c:pt idx="138">
                        <c:v>8.6602540378443865E-3</c:v>
                      </c:pt>
                      <c:pt idx="139">
                        <c:v>8.6602540378443865E-3</c:v>
                      </c:pt>
                      <c:pt idx="140">
                        <c:v>8.6602540378443865E-3</c:v>
                      </c:pt>
                      <c:pt idx="141">
                        <c:v>8.6602540378443865E-3</c:v>
                      </c:pt>
                      <c:pt idx="142">
                        <c:v>8.6602540378443865E-3</c:v>
                      </c:pt>
                      <c:pt idx="143">
                        <c:v>8.6602540378443865E-3</c:v>
                      </c:pt>
                      <c:pt idx="144">
                        <c:v>8.6602540378443865E-3</c:v>
                      </c:pt>
                      <c:pt idx="145">
                        <c:v>8.6602540378443865E-3</c:v>
                      </c:pt>
                      <c:pt idx="146">
                        <c:v>8.6602540378443865E-3</c:v>
                      </c:pt>
                      <c:pt idx="147">
                        <c:v>8.6602540378443865E-3</c:v>
                      </c:pt>
                      <c:pt idx="148">
                        <c:v>8.6602540378443865E-3</c:v>
                      </c:pt>
                      <c:pt idx="149">
                        <c:v>8.6602540378443865E-3</c:v>
                      </c:pt>
                      <c:pt idx="150">
                        <c:v>8.6602540378443865E-3</c:v>
                      </c:pt>
                      <c:pt idx="151">
                        <c:v>8.6602540378443865E-3</c:v>
                      </c:pt>
                      <c:pt idx="152">
                        <c:v>8.6602540378443865E-3</c:v>
                      </c:pt>
                      <c:pt idx="153">
                        <c:v>8.6602540378443865E-3</c:v>
                      </c:pt>
                      <c:pt idx="154">
                        <c:v>8.6602540378443865E-3</c:v>
                      </c:pt>
                      <c:pt idx="155">
                        <c:v>8.6602540378443865E-3</c:v>
                      </c:pt>
                      <c:pt idx="156">
                        <c:v>8.6602540378443865E-3</c:v>
                      </c:pt>
                      <c:pt idx="157">
                        <c:v>8.6602540378443865E-3</c:v>
                      </c:pt>
                      <c:pt idx="158">
                        <c:v>8.6602540378443865E-3</c:v>
                      </c:pt>
                      <c:pt idx="159">
                        <c:v>8.6602540378443865E-3</c:v>
                      </c:pt>
                      <c:pt idx="160">
                        <c:v>8.6602540378443865E-3</c:v>
                      </c:pt>
                      <c:pt idx="161">
                        <c:v>8.6602540378443865E-3</c:v>
                      </c:pt>
                      <c:pt idx="162">
                        <c:v>8.6602540378443865E-3</c:v>
                      </c:pt>
                      <c:pt idx="163">
                        <c:v>8.6602540378443865E-3</c:v>
                      </c:pt>
                      <c:pt idx="164">
                        <c:v>8.6602540378443865E-3</c:v>
                      </c:pt>
                      <c:pt idx="165">
                        <c:v>8.6602540378443865E-3</c:v>
                      </c:pt>
                      <c:pt idx="166">
                        <c:v>8.6602540378443865E-3</c:v>
                      </c:pt>
                      <c:pt idx="167">
                        <c:v>8.6602540378443865E-3</c:v>
                      </c:pt>
                      <c:pt idx="168">
                        <c:v>8.6602540378443865E-3</c:v>
                      </c:pt>
                      <c:pt idx="169">
                        <c:v>8.6602540378443865E-3</c:v>
                      </c:pt>
                      <c:pt idx="170">
                        <c:v>8.6602540378443865E-3</c:v>
                      </c:pt>
                      <c:pt idx="171">
                        <c:v>8.6602540378443865E-3</c:v>
                      </c:pt>
                      <c:pt idx="172">
                        <c:v>8.6602540378443865E-3</c:v>
                      </c:pt>
                      <c:pt idx="173">
                        <c:v>8.6602540378443865E-3</c:v>
                      </c:pt>
                      <c:pt idx="174">
                        <c:v>8.6602540378443865E-3</c:v>
                      </c:pt>
                      <c:pt idx="175">
                        <c:v>8.6602540378443865E-3</c:v>
                      </c:pt>
                      <c:pt idx="176">
                        <c:v>8.6602540378443865E-3</c:v>
                      </c:pt>
                      <c:pt idx="177">
                        <c:v>8.6602540378443865E-3</c:v>
                      </c:pt>
                      <c:pt idx="178">
                        <c:v>8.6602540378443865E-3</c:v>
                      </c:pt>
                      <c:pt idx="179">
                        <c:v>8.6602540378443865E-3</c:v>
                      </c:pt>
                      <c:pt idx="180">
                        <c:v>8.6602540378443865E-3</c:v>
                      </c:pt>
                      <c:pt idx="181">
                        <c:v>8.6602540378443865E-3</c:v>
                      </c:pt>
                      <c:pt idx="182">
                        <c:v>8.6602540378443865E-3</c:v>
                      </c:pt>
                      <c:pt idx="183">
                        <c:v>8.6602540378443865E-3</c:v>
                      </c:pt>
                      <c:pt idx="184">
                        <c:v>8.6602540378443865E-3</c:v>
                      </c:pt>
                      <c:pt idx="185">
                        <c:v>8.6602540378443865E-3</c:v>
                      </c:pt>
                      <c:pt idx="186">
                        <c:v>8.6602540378443865E-3</c:v>
                      </c:pt>
                      <c:pt idx="187">
                        <c:v>8.6602540378443865E-3</c:v>
                      </c:pt>
                      <c:pt idx="188">
                        <c:v>8.6602540378443865E-3</c:v>
                      </c:pt>
                      <c:pt idx="189">
                        <c:v>8.6602540378443865E-3</c:v>
                      </c:pt>
                      <c:pt idx="190">
                        <c:v>8.6602540378443865E-3</c:v>
                      </c:pt>
                      <c:pt idx="191">
                        <c:v>8.6602540378443865E-3</c:v>
                      </c:pt>
                      <c:pt idx="192">
                        <c:v>8.6602540378443865E-3</c:v>
                      </c:pt>
                      <c:pt idx="193">
                        <c:v>8.6602540378443865E-3</c:v>
                      </c:pt>
                      <c:pt idx="194">
                        <c:v>8.6602540378443865E-3</c:v>
                      </c:pt>
                      <c:pt idx="195">
                        <c:v>8.6602540378443865E-3</c:v>
                      </c:pt>
                      <c:pt idx="196">
                        <c:v>8.6602540378443865E-3</c:v>
                      </c:pt>
                      <c:pt idx="197">
                        <c:v>8.6602540378443865E-3</c:v>
                      </c:pt>
                      <c:pt idx="198">
                        <c:v>8.6602540378443865E-3</c:v>
                      </c:pt>
                      <c:pt idx="199">
                        <c:v>8.6602540378443865E-3</c:v>
                      </c:pt>
                      <c:pt idx="200">
                        <c:v>8.6602540378443865E-3</c:v>
                      </c:pt>
                      <c:pt idx="201">
                        <c:v>8.6602540378443865E-3</c:v>
                      </c:pt>
                      <c:pt idx="203">
                        <c:v>1.7320508075688773E-2</c:v>
                      </c:pt>
                      <c:pt idx="204">
                        <c:v>1.7320508075688773E-2</c:v>
                      </c:pt>
                      <c:pt idx="205">
                        <c:v>1.7320508075688773E-2</c:v>
                      </c:pt>
                      <c:pt idx="206">
                        <c:v>1.7320508075688773E-2</c:v>
                      </c:pt>
                      <c:pt idx="207">
                        <c:v>1.7320508075688773E-2</c:v>
                      </c:pt>
                      <c:pt idx="208">
                        <c:v>1.7320508075688773E-2</c:v>
                      </c:pt>
                      <c:pt idx="209">
                        <c:v>1.7320508075688773E-2</c:v>
                      </c:pt>
                      <c:pt idx="210">
                        <c:v>1.7320508075688773E-2</c:v>
                      </c:pt>
                      <c:pt idx="211">
                        <c:v>1.7320508075688773E-2</c:v>
                      </c:pt>
                      <c:pt idx="212">
                        <c:v>1.7320508075688773E-2</c:v>
                      </c:pt>
                      <c:pt idx="213">
                        <c:v>1.7320508075688773E-2</c:v>
                      </c:pt>
                      <c:pt idx="214">
                        <c:v>1.7320508075688773E-2</c:v>
                      </c:pt>
                      <c:pt idx="215">
                        <c:v>1.7320508075688773E-2</c:v>
                      </c:pt>
                      <c:pt idx="216">
                        <c:v>1.7320508075688773E-2</c:v>
                      </c:pt>
                      <c:pt idx="217">
                        <c:v>1.7320508075688773E-2</c:v>
                      </c:pt>
                      <c:pt idx="218">
                        <c:v>1.7320508075688773E-2</c:v>
                      </c:pt>
                      <c:pt idx="219">
                        <c:v>1.7320508075688773E-2</c:v>
                      </c:pt>
                      <c:pt idx="220">
                        <c:v>1.7320508075688773E-2</c:v>
                      </c:pt>
                      <c:pt idx="221">
                        <c:v>1.7320508075688773E-2</c:v>
                      </c:pt>
                      <c:pt idx="222">
                        <c:v>1.7320508075688773E-2</c:v>
                      </c:pt>
                      <c:pt idx="223">
                        <c:v>1.7320508075688773E-2</c:v>
                      </c:pt>
                      <c:pt idx="224">
                        <c:v>1.7320508075688773E-2</c:v>
                      </c:pt>
                      <c:pt idx="225">
                        <c:v>1.7320508075688773E-2</c:v>
                      </c:pt>
                      <c:pt idx="226">
                        <c:v>1.7320508075688773E-2</c:v>
                      </c:pt>
                      <c:pt idx="227">
                        <c:v>1.7320508075688773E-2</c:v>
                      </c:pt>
                      <c:pt idx="228">
                        <c:v>1.7320508075688773E-2</c:v>
                      </c:pt>
                      <c:pt idx="229">
                        <c:v>1.7320508075688773E-2</c:v>
                      </c:pt>
                      <c:pt idx="230">
                        <c:v>1.7320508075688773E-2</c:v>
                      </c:pt>
                      <c:pt idx="231">
                        <c:v>1.7320508075688773E-2</c:v>
                      </c:pt>
                      <c:pt idx="232">
                        <c:v>1.7320508075688773E-2</c:v>
                      </c:pt>
                      <c:pt idx="233">
                        <c:v>1.7320508075688773E-2</c:v>
                      </c:pt>
                      <c:pt idx="234">
                        <c:v>1.7320508075688773E-2</c:v>
                      </c:pt>
                      <c:pt idx="235">
                        <c:v>1.7320508075688773E-2</c:v>
                      </c:pt>
                      <c:pt idx="236">
                        <c:v>1.7320508075688773E-2</c:v>
                      </c:pt>
                      <c:pt idx="237">
                        <c:v>1.7320508075688773E-2</c:v>
                      </c:pt>
                      <c:pt idx="238">
                        <c:v>1.7320508075688773E-2</c:v>
                      </c:pt>
                      <c:pt idx="239">
                        <c:v>1.7320508075688773E-2</c:v>
                      </c:pt>
                      <c:pt idx="240">
                        <c:v>1.7320508075688773E-2</c:v>
                      </c:pt>
                      <c:pt idx="241">
                        <c:v>1.7320508075688773E-2</c:v>
                      </c:pt>
                      <c:pt idx="242">
                        <c:v>1.7320508075688773E-2</c:v>
                      </c:pt>
                      <c:pt idx="243">
                        <c:v>1.7320508075688773E-2</c:v>
                      </c:pt>
                      <c:pt idx="244">
                        <c:v>1.7320508075688773E-2</c:v>
                      </c:pt>
                      <c:pt idx="245">
                        <c:v>1.7320508075688773E-2</c:v>
                      </c:pt>
                      <c:pt idx="246">
                        <c:v>1.7320508075688773E-2</c:v>
                      </c:pt>
                      <c:pt idx="247">
                        <c:v>1.7320508075688773E-2</c:v>
                      </c:pt>
                      <c:pt idx="248">
                        <c:v>1.7320508075688773E-2</c:v>
                      </c:pt>
                      <c:pt idx="249">
                        <c:v>1.7320508075688773E-2</c:v>
                      </c:pt>
                      <c:pt idx="250">
                        <c:v>1.7320508075688773E-2</c:v>
                      </c:pt>
                      <c:pt idx="251">
                        <c:v>1.7320508075688773E-2</c:v>
                      </c:pt>
                      <c:pt idx="252">
                        <c:v>1.7320508075688773E-2</c:v>
                      </c:pt>
                      <c:pt idx="253">
                        <c:v>1.7320508075688773E-2</c:v>
                      </c:pt>
                      <c:pt idx="254">
                        <c:v>1.7320508075688773E-2</c:v>
                      </c:pt>
                      <c:pt idx="255">
                        <c:v>1.7320508075688773E-2</c:v>
                      </c:pt>
                      <c:pt idx="256">
                        <c:v>1.7320508075688773E-2</c:v>
                      </c:pt>
                      <c:pt idx="257">
                        <c:v>1.7320508075688773E-2</c:v>
                      </c:pt>
                      <c:pt idx="258">
                        <c:v>1.7320508075688773E-2</c:v>
                      </c:pt>
                      <c:pt idx="259">
                        <c:v>1.7320508075688773E-2</c:v>
                      </c:pt>
                      <c:pt idx="260">
                        <c:v>1.7320508075688773E-2</c:v>
                      </c:pt>
                      <c:pt idx="261">
                        <c:v>1.7320508075688773E-2</c:v>
                      </c:pt>
                      <c:pt idx="262">
                        <c:v>1.7320508075688773E-2</c:v>
                      </c:pt>
                      <c:pt idx="263">
                        <c:v>1.7320508075688773E-2</c:v>
                      </c:pt>
                      <c:pt idx="264">
                        <c:v>1.7320508075688773E-2</c:v>
                      </c:pt>
                      <c:pt idx="265">
                        <c:v>1.7320508075688773E-2</c:v>
                      </c:pt>
                      <c:pt idx="266">
                        <c:v>1.7320508075688773E-2</c:v>
                      </c:pt>
                      <c:pt idx="267">
                        <c:v>1.7320508075688773E-2</c:v>
                      </c:pt>
                      <c:pt idx="268">
                        <c:v>1.7320508075688773E-2</c:v>
                      </c:pt>
                      <c:pt idx="269">
                        <c:v>1.7320508075688773E-2</c:v>
                      </c:pt>
                      <c:pt idx="270">
                        <c:v>1.7320508075688773E-2</c:v>
                      </c:pt>
                      <c:pt idx="271">
                        <c:v>1.7320508075688773E-2</c:v>
                      </c:pt>
                      <c:pt idx="272">
                        <c:v>1.7320508075688773E-2</c:v>
                      </c:pt>
                      <c:pt idx="273">
                        <c:v>1.7320508075688773E-2</c:v>
                      </c:pt>
                      <c:pt idx="274">
                        <c:v>1.7320508075688773E-2</c:v>
                      </c:pt>
                      <c:pt idx="275">
                        <c:v>1.7320508075688773E-2</c:v>
                      </c:pt>
                      <c:pt idx="276">
                        <c:v>1.7320508075688773E-2</c:v>
                      </c:pt>
                      <c:pt idx="277">
                        <c:v>1.7320508075688773E-2</c:v>
                      </c:pt>
                      <c:pt idx="278">
                        <c:v>1.7320508075688773E-2</c:v>
                      </c:pt>
                      <c:pt idx="279">
                        <c:v>1.7320508075688773E-2</c:v>
                      </c:pt>
                      <c:pt idx="280">
                        <c:v>1.7320508075688773E-2</c:v>
                      </c:pt>
                      <c:pt idx="281">
                        <c:v>1.7320508075688773E-2</c:v>
                      </c:pt>
                      <c:pt idx="282">
                        <c:v>1.7320508075688773E-2</c:v>
                      </c:pt>
                      <c:pt idx="283">
                        <c:v>1.7320508075688773E-2</c:v>
                      </c:pt>
                      <c:pt idx="284">
                        <c:v>1.7320508075688773E-2</c:v>
                      </c:pt>
                      <c:pt idx="285">
                        <c:v>1.7320508075688773E-2</c:v>
                      </c:pt>
                      <c:pt idx="286">
                        <c:v>1.7320508075688773E-2</c:v>
                      </c:pt>
                      <c:pt idx="287">
                        <c:v>1.7320508075688773E-2</c:v>
                      </c:pt>
                      <c:pt idx="288">
                        <c:v>1.7320508075688773E-2</c:v>
                      </c:pt>
                      <c:pt idx="289">
                        <c:v>1.7320508075688773E-2</c:v>
                      </c:pt>
                      <c:pt idx="290">
                        <c:v>1.7320508075688773E-2</c:v>
                      </c:pt>
                      <c:pt idx="291">
                        <c:v>1.7320508075688773E-2</c:v>
                      </c:pt>
                      <c:pt idx="292">
                        <c:v>1.7320508075688773E-2</c:v>
                      </c:pt>
                      <c:pt idx="293">
                        <c:v>1.7320508075688773E-2</c:v>
                      </c:pt>
                      <c:pt idx="294">
                        <c:v>1.7320508075688773E-2</c:v>
                      </c:pt>
                      <c:pt idx="295">
                        <c:v>1.7320508075688773E-2</c:v>
                      </c:pt>
                      <c:pt idx="296">
                        <c:v>1.7320508075688773E-2</c:v>
                      </c:pt>
                      <c:pt idx="297">
                        <c:v>1.7320508075688773E-2</c:v>
                      </c:pt>
                      <c:pt idx="298">
                        <c:v>1.7320508075688773E-2</c:v>
                      </c:pt>
                      <c:pt idx="299">
                        <c:v>1.7320508075688773E-2</c:v>
                      </c:pt>
                      <c:pt idx="300">
                        <c:v>1.7320508075688773E-2</c:v>
                      </c:pt>
                      <c:pt idx="301">
                        <c:v>1.7320508075688773E-2</c:v>
                      </c:pt>
                      <c:pt idx="303">
                        <c:v>2.598076211353316E-2</c:v>
                      </c:pt>
                      <c:pt idx="304">
                        <c:v>2.598076211353316E-2</c:v>
                      </c:pt>
                      <c:pt idx="305">
                        <c:v>2.598076211353316E-2</c:v>
                      </c:pt>
                      <c:pt idx="306">
                        <c:v>2.598076211353316E-2</c:v>
                      </c:pt>
                      <c:pt idx="307">
                        <c:v>2.598076211353316E-2</c:v>
                      </c:pt>
                      <c:pt idx="308">
                        <c:v>2.598076211353316E-2</c:v>
                      </c:pt>
                      <c:pt idx="309">
                        <c:v>2.598076211353316E-2</c:v>
                      </c:pt>
                      <c:pt idx="310">
                        <c:v>2.598076211353316E-2</c:v>
                      </c:pt>
                      <c:pt idx="311">
                        <c:v>2.598076211353316E-2</c:v>
                      </c:pt>
                      <c:pt idx="312">
                        <c:v>2.598076211353316E-2</c:v>
                      </c:pt>
                      <c:pt idx="313">
                        <c:v>2.598076211353316E-2</c:v>
                      </c:pt>
                      <c:pt idx="314">
                        <c:v>2.598076211353316E-2</c:v>
                      </c:pt>
                      <c:pt idx="315">
                        <c:v>2.598076211353316E-2</c:v>
                      </c:pt>
                      <c:pt idx="316">
                        <c:v>2.598076211353316E-2</c:v>
                      </c:pt>
                      <c:pt idx="317">
                        <c:v>2.598076211353316E-2</c:v>
                      </c:pt>
                      <c:pt idx="318">
                        <c:v>2.598076211353316E-2</c:v>
                      </c:pt>
                      <c:pt idx="319">
                        <c:v>2.598076211353316E-2</c:v>
                      </c:pt>
                      <c:pt idx="320">
                        <c:v>2.598076211353316E-2</c:v>
                      </c:pt>
                      <c:pt idx="321">
                        <c:v>2.598076211353316E-2</c:v>
                      </c:pt>
                      <c:pt idx="322">
                        <c:v>2.598076211353316E-2</c:v>
                      </c:pt>
                      <c:pt idx="323">
                        <c:v>2.598076211353316E-2</c:v>
                      </c:pt>
                      <c:pt idx="324">
                        <c:v>2.598076211353316E-2</c:v>
                      </c:pt>
                      <c:pt idx="325">
                        <c:v>2.598076211353316E-2</c:v>
                      </c:pt>
                      <c:pt idx="326">
                        <c:v>2.598076211353316E-2</c:v>
                      </c:pt>
                      <c:pt idx="327">
                        <c:v>2.598076211353316E-2</c:v>
                      </c:pt>
                      <c:pt idx="328">
                        <c:v>2.598076211353316E-2</c:v>
                      </c:pt>
                      <c:pt idx="329">
                        <c:v>2.598076211353316E-2</c:v>
                      </c:pt>
                      <c:pt idx="330">
                        <c:v>2.598076211353316E-2</c:v>
                      </c:pt>
                      <c:pt idx="331">
                        <c:v>2.598076211353316E-2</c:v>
                      </c:pt>
                      <c:pt idx="332">
                        <c:v>2.598076211353316E-2</c:v>
                      </c:pt>
                      <c:pt idx="333">
                        <c:v>2.598076211353316E-2</c:v>
                      </c:pt>
                      <c:pt idx="334">
                        <c:v>2.598076211353316E-2</c:v>
                      </c:pt>
                      <c:pt idx="335">
                        <c:v>2.598076211353316E-2</c:v>
                      </c:pt>
                      <c:pt idx="336">
                        <c:v>2.598076211353316E-2</c:v>
                      </c:pt>
                      <c:pt idx="337">
                        <c:v>2.598076211353316E-2</c:v>
                      </c:pt>
                      <c:pt idx="338">
                        <c:v>2.598076211353316E-2</c:v>
                      </c:pt>
                      <c:pt idx="339">
                        <c:v>2.598076211353316E-2</c:v>
                      </c:pt>
                      <c:pt idx="340">
                        <c:v>2.598076211353316E-2</c:v>
                      </c:pt>
                      <c:pt idx="341">
                        <c:v>2.598076211353316E-2</c:v>
                      </c:pt>
                      <c:pt idx="342">
                        <c:v>2.598076211353316E-2</c:v>
                      </c:pt>
                      <c:pt idx="343">
                        <c:v>2.598076211353316E-2</c:v>
                      </c:pt>
                      <c:pt idx="344">
                        <c:v>2.598076211353316E-2</c:v>
                      </c:pt>
                      <c:pt idx="345">
                        <c:v>2.598076211353316E-2</c:v>
                      </c:pt>
                      <c:pt idx="346">
                        <c:v>2.598076211353316E-2</c:v>
                      </c:pt>
                      <c:pt idx="347">
                        <c:v>2.598076211353316E-2</c:v>
                      </c:pt>
                      <c:pt idx="348">
                        <c:v>2.598076211353316E-2</c:v>
                      </c:pt>
                      <c:pt idx="349">
                        <c:v>2.598076211353316E-2</c:v>
                      </c:pt>
                      <c:pt idx="350">
                        <c:v>2.598076211353316E-2</c:v>
                      </c:pt>
                      <c:pt idx="351">
                        <c:v>2.598076211353316E-2</c:v>
                      </c:pt>
                      <c:pt idx="352">
                        <c:v>2.598076211353316E-2</c:v>
                      </c:pt>
                      <c:pt idx="353">
                        <c:v>2.598076211353316E-2</c:v>
                      </c:pt>
                      <c:pt idx="354">
                        <c:v>2.598076211353316E-2</c:v>
                      </c:pt>
                      <c:pt idx="355">
                        <c:v>2.598076211353316E-2</c:v>
                      </c:pt>
                      <c:pt idx="356">
                        <c:v>2.598076211353316E-2</c:v>
                      </c:pt>
                      <c:pt idx="357">
                        <c:v>2.598076211353316E-2</c:v>
                      </c:pt>
                      <c:pt idx="358">
                        <c:v>2.598076211353316E-2</c:v>
                      </c:pt>
                      <c:pt idx="359">
                        <c:v>2.598076211353316E-2</c:v>
                      </c:pt>
                      <c:pt idx="360">
                        <c:v>2.598076211353316E-2</c:v>
                      </c:pt>
                      <c:pt idx="361">
                        <c:v>2.598076211353316E-2</c:v>
                      </c:pt>
                      <c:pt idx="362">
                        <c:v>2.598076211353316E-2</c:v>
                      </c:pt>
                      <c:pt idx="363">
                        <c:v>2.598076211353316E-2</c:v>
                      </c:pt>
                      <c:pt idx="364">
                        <c:v>2.598076211353316E-2</c:v>
                      </c:pt>
                      <c:pt idx="365">
                        <c:v>2.598076211353316E-2</c:v>
                      </c:pt>
                      <c:pt idx="366">
                        <c:v>2.598076211353316E-2</c:v>
                      </c:pt>
                      <c:pt idx="367">
                        <c:v>2.598076211353316E-2</c:v>
                      </c:pt>
                      <c:pt idx="368">
                        <c:v>2.598076211353316E-2</c:v>
                      </c:pt>
                      <c:pt idx="369">
                        <c:v>2.598076211353316E-2</c:v>
                      </c:pt>
                      <c:pt idx="370">
                        <c:v>2.598076211353316E-2</c:v>
                      </c:pt>
                      <c:pt idx="371">
                        <c:v>2.598076211353316E-2</c:v>
                      </c:pt>
                      <c:pt idx="372">
                        <c:v>2.598076211353316E-2</c:v>
                      </c:pt>
                      <c:pt idx="373">
                        <c:v>2.598076211353316E-2</c:v>
                      </c:pt>
                      <c:pt idx="374">
                        <c:v>2.598076211353316E-2</c:v>
                      </c:pt>
                      <c:pt idx="375">
                        <c:v>2.598076211353316E-2</c:v>
                      </c:pt>
                      <c:pt idx="376">
                        <c:v>2.598076211353316E-2</c:v>
                      </c:pt>
                      <c:pt idx="377">
                        <c:v>2.598076211353316E-2</c:v>
                      </c:pt>
                      <c:pt idx="378">
                        <c:v>2.598076211353316E-2</c:v>
                      </c:pt>
                      <c:pt idx="379">
                        <c:v>2.598076211353316E-2</c:v>
                      </c:pt>
                      <c:pt idx="380">
                        <c:v>2.598076211353316E-2</c:v>
                      </c:pt>
                      <c:pt idx="381">
                        <c:v>2.598076211353316E-2</c:v>
                      </c:pt>
                      <c:pt idx="382">
                        <c:v>2.598076211353316E-2</c:v>
                      </c:pt>
                      <c:pt idx="383">
                        <c:v>2.598076211353316E-2</c:v>
                      </c:pt>
                      <c:pt idx="384">
                        <c:v>2.598076211353316E-2</c:v>
                      </c:pt>
                      <c:pt idx="385">
                        <c:v>2.598076211353316E-2</c:v>
                      </c:pt>
                      <c:pt idx="386">
                        <c:v>2.598076211353316E-2</c:v>
                      </c:pt>
                      <c:pt idx="387">
                        <c:v>2.598076211353316E-2</c:v>
                      </c:pt>
                      <c:pt idx="388">
                        <c:v>2.598076211353316E-2</c:v>
                      </c:pt>
                      <c:pt idx="389">
                        <c:v>2.598076211353316E-2</c:v>
                      </c:pt>
                      <c:pt idx="390">
                        <c:v>2.598076211353316E-2</c:v>
                      </c:pt>
                      <c:pt idx="391">
                        <c:v>2.598076211353316E-2</c:v>
                      </c:pt>
                      <c:pt idx="392">
                        <c:v>2.598076211353316E-2</c:v>
                      </c:pt>
                      <c:pt idx="393">
                        <c:v>2.598076211353316E-2</c:v>
                      </c:pt>
                      <c:pt idx="394">
                        <c:v>2.598076211353316E-2</c:v>
                      </c:pt>
                      <c:pt idx="395">
                        <c:v>2.598076211353316E-2</c:v>
                      </c:pt>
                      <c:pt idx="396">
                        <c:v>2.598076211353316E-2</c:v>
                      </c:pt>
                      <c:pt idx="397">
                        <c:v>2.598076211353316E-2</c:v>
                      </c:pt>
                      <c:pt idx="398">
                        <c:v>2.598076211353316E-2</c:v>
                      </c:pt>
                      <c:pt idx="399">
                        <c:v>2.598076211353316E-2</c:v>
                      </c:pt>
                      <c:pt idx="400">
                        <c:v>2.598076211353316E-2</c:v>
                      </c:pt>
                      <c:pt idx="402">
                        <c:v>3.4641016151377546E-2</c:v>
                      </c:pt>
                      <c:pt idx="403">
                        <c:v>3.4641016151377546E-2</c:v>
                      </c:pt>
                      <c:pt idx="404">
                        <c:v>3.4641016151377546E-2</c:v>
                      </c:pt>
                      <c:pt idx="405">
                        <c:v>3.4641016151377546E-2</c:v>
                      </c:pt>
                      <c:pt idx="406">
                        <c:v>3.4641016151377546E-2</c:v>
                      </c:pt>
                      <c:pt idx="407">
                        <c:v>3.4641016151377546E-2</c:v>
                      </c:pt>
                      <c:pt idx="408">
                        <c:v>3.4641016151377546E-2</c:v>
                      </c:pt>
                      <c:pt idx="409">
                        <c:v>3.4641016151377546E-2</c:v>
                      </c:pt>
                      <c:pt idx="410">
                        <c:v>3.4641016151377546E-2</c:v>
                      </c:pt>
                      <c:pt idx="411">
                        <c:v>3.4641016151377546E-2</c:v>
                      </c:pt>
                      <c:pt idx="412">
                        <c:v>3.4641016151377546E-2</c:v>
                      </c:pt>
                      <c:pt idx="413">
                        <c:v>3.4641016151377546E-2</c:v>
                      </c:pt>
                      <c:pt idx="414">
                        <c:v>3.4641016151377546E-2</c:v>
                      </c:pt>
                      <c:pt idx="415">
                        <c:v>3.4641016151377546E-2</c:v>
                      </c:pt>
                      <c:pt idx="416">
                        <c:v>3.4641016151377546E-2</c:v>
                      </c:pt>
                      <c:pt idx="417">
                        <c:v>3.4641016151377546E-2</c:v>
                      </c:pt>
                      <c:pt idx="418">
                        <c:v>3.4641016151377546E-2</c:v>
                      </c:pt>
                      <c:pt idx="419">
                        <c:v>3.4641016151377546E-2</c:v>
                      </c:pt>
                      <c:pt idx="420">
                        <c:v>3.4641016151377546E-2</c:v>
                      </c:pt>
                      <c:pt idx="421">
                        <c:v>3.4641016151377546E-2</c:v>
                      </c:pt>
                      <c:pt idx="422">
                        <c:v>3.4641016151377546E-2</c:v>
                      </c:pt>
                      <c:pt idx="423">
                        <c:v>3.4641016151377546E-2</c:v>
                      </c:pt>
                      <c:pt idx="424">
                        <c:v>3.4641016151377546E-2</c:v>
                      </c:pt>
                      <c:pt idx="425">
                        <c:v>3.4641016151377546E-2</c:v>
                      </c:pt>
                      <c:pt idx="426">
                        <c:v>3.4641016151377546E-2</c:v>
                      </c:pt>
                      <c:pt idx="427">
                        <c:v>3.4641016151377546E-2</c:v>
                      </c:pt>
                      <c:pt idx="428">
                        <c:v>3.4641016151377546E-2</c:v>
                      </c:pt>
                      <c:pt idx="429">
                        <c:v>3.4641016151377546E-2</c:v>
                      </c:pt>
                      <c:pt idx="430">
                        <c:v>3.4641016151377546E-2</c:v>
                      </c:pt>
                      <c:pt idx="431">
                        <c:v>3.4641016151377546E-2</c:v>
                      </c:pt>
                      <c:pt idx="432">
                        <c:v>3.4641016151377546E-2</c:v>
                      </c:pt>
                      <c:pt idx="433">
                        <c:v>3.4641016151377546E-2</c:v>
                      </c:pt>
                      <c:pt idx="434">
                        <c:v>3.4641016151377546E-2</c:v>
                      </c:pt>
                      <c:pt idx="435">
                        <c:v>3.4641016151377546E-2</c:v>
                      </c:pt>
                      <c:pt idx="436">
                        <c:v>3.4641016151377546E-2</c:v>
                      </c:pt>
                      <c:pt idx="437">
                        <c:v>3.4641016151377546E-2</c:v>
                      </c:pt>
                      <c:pt idx="438">
                        <c:v>3.4641016151377546E-2</c:v>
                      </c:pt>
                      <c:pt idx="439">
                        <c:v>3.4641016151377546E-2</c:v>
                      </c:pt>
                      <c:pt idx="440">
                        <c:v>3.4641016151377546E-2</c:v>
                      </c:pt>
                      <c:pt idx="441">
                        <c:v>3.4641016151377546E-2</c:v>
                      </c:pt>
                      <c:pt idx="442">
                        <c:v>3.4641016151377546E-2</c:v>
                      </c:pt>
                      <c:pt idx="443">
                        <c:v>3.4641016151377546E-2</c:v>
                      </c:pt>
                      <c:pt idx="444">
                        <c:v>3.4641016151377546E-2</c:v>
                      </c:pt>
                      <c:pt idx="445">
                        <c:v>3.4641016151377546E-2</c:v>
                      </c:pt>
                      <c:pt idx="446">
                        <c:v>3.4641016151377546E-2</c:v>
                      </c:pt>
                      <c:pt idx="447">
                        <c:v>3.4641016151377546E-2</c:v>
                      </c:pt>
                      <c:pt idx="448">
                        <c:v>3.4641016151377546E-2</c:v>
                      </c:pt>
                      <c:pt idx="449">
                        <c:v>3.4641016151377546E-2</c:v>
                      </c:pt>
                      <c:pt idx="450">
                        <c:v>3.4641016151377546E-2</c:v>
                      </c:pt>
                      <c:pt idx="451">
                        <c:v>3.4641016151377546E-2</c:v>
                      </c:pt>
                      <c:pt idx="452">
                        <c:v>3.4641016151377546E-2</c:v>
                      </c:pt>
                      <c:pt idx="453">
                        <c:v>3.4641016151377546E-2</c:v>
                      </c:pt>
                      <c:pt idx="454">
                        <c:v>3.4641016151377546E-2</c:v>
                      </c:pt>
                      <c:pt idx="455">
                        <c:v>3.4641016151377546E-2</c:v>
                      </c:pt>
                      <c:pt idx="456">
                        <c:v>3.4641016151377546E-2</c:v>
                      </c:pt>
                      <c:pt idx="457">
                        <c:v>3.4641016151377546E-2</c:v>
                      </c:pt>
                      <c:pt idx="458">
                        <c:v>3.4641016151377546E-2</c:v>
                      </c:pt>
                      <c:pt idx="459">
                        <c:v>3.4641016151377546E-2</c:v>
                      </c:pt>
                      <c:pt idx="460">
                        <c:v>3.4641016151377546E-2</c:v>
                      </c:pt>
                      <c:pt idx="461">
                        <c:v>3.4641016151377546E-2</c:v>
                      </c:pt>
                      <c:pt idx="462">
                        <c:v>3.4641016151377546E-2</c:v>
                      </c:pt>
                      <c:pt idx="463">
                        <c:v>3.4641016151377546E-2</c:v>
                      </c:pt>
                      <c:pt idx="464">
                        <c:v>3.4641016151377546E-2</c:v>
                      </c:pt>
                      <c:pt idx="465">
                        <c:v>3.4641016151377546E-2</c:v>
                      </c:pt>
                      <c:pt idx="466">
                        <c:v>3.4641016151377546E-2</c:v>
                      </c:pt>
                      <c:pt idx="467">
                        <c:v>3.4641016151377546E-2</c:v>
                      </c:pt>
                      <c:pt idx="468">
                        <c:v>3.4641016151377546E-2</c:v>
                      </c:pt>
                      <c:pt idx="469">
                        <c:v>3.4641016151377546E-2</c:v>
                      </c:pt>
                      <c:pt idx="470">
                        <c:v>3.4641016151377546E-2</c:v>
                      </c:pt>
                      <c:pt idx="471">
                        <c:v>3.4641016151377546E-2</c:v>
                      </c:pt>
                      <c:pt idx="472">
                        <c:v>3.4641016151377546E-2</c:v>
                      </c:pt>
                      <c:pt idx="473">
                        <c:v>3.4641016151377546E-2</c:v>
                      </c:pt>
                      <c:pt idx="474">
                        <c:v>3.4641016151377546E-2</c:v>
                      </c:pt>
                      <c:pt idx="475">
                        <c:v>3.4641016151377546E-2</c:v>
                      </c:pt>
                      <c:pt idx="476">
                        <c:v>3.4641016151377546E-2</c:v>
                      </c:pt>
                      <c:pt idx="477">
                        <c:v>3.4641016151377546E-2</c:v>
                      </c:pt>
                      <c:pt idx="478">
                        <c:v>3.4641016151377546E-2</c:v>
                      </c:pt>
                      <c:pt idx="479">
                        <c:v>3.4641016151377546E-2</c:v>
                      </c:pt>
                      <c:pt idx="480">
                        <c:v>3.4641016151377546E-2</c:v>
                      </c:pt>
                      <c:pt idx="481">
                        <c:v>3.4641016151377546E-2</c:v>
                      </c:pt>
                      <c:pt idx="482">
                        <c:v>3.4641016151377546E-2</c:v>
                      </c:pt>
                      <c:pt idx="483">
                        <c:v>3.4641016151377546E-2</c:v>
                      </c:pt>
                      <c:pt idx="484">
                        <c:v>3.4641016151377546E-2</c:v>
                      </c:pt>
                      <c:pt idx="485">
                        <c:v>3.4641016151377546E-2</c:v>
                      </c:pt>
                      <c:pt idx="486">
                        <c:v>3.4641016151377546E-2</c:v>
                      </c:pt>
                      <c:pt idx="487">
                        <c:v>3.4641016151377546E-2</c:v>
                      </c:pt>
                      <c:pt idx="488">
                        <c:v>3.4641016151377546E-2</c:v>
                      </c:pt>
                      <c:pt idx="489">
                        <c:v>3.4641016151377546E-2</c:v>
                      </c:pt>
                      <c:pt idx="490">
                        <c:v>3.4641016151377546E-2</c:v>
                      </c:pt>
                      <c:pt idx="491">
                        <c:v>3.4641016151377546E-2</c:v>
                      </c:pt>
                      <c:pt idx="492">
                        <c:v>3.4641016151377546E-2</c:v>
                      </c:pt>
                      <c:pt idx="493">
                        <c:v>3.4641016151377546E-2</c:v>
                      </c:pt>
                      <c:pt idx="494">
                        <c:v>3.4641016151377546E-2</c:v>
                      </c:pt>
                      <c:pt idx="495">
                        <c:v>3.4641016151377546E-2</c:v>
                      </c:pt>
                      <c:pt idx="496">
                        <c:v>3.4641016151377546E-2</c:v>
                      </c:pt>
                      <c:pt idx="497">
                        <c:v>3.4641016151377546E-2</c:v>
                      </c:pt>
                      <c:pt idx="498">
                        <c:v>3.4641016151377546E-2</c:v>
                      </c:pt>
                      <c:pt idx="500">
                        <c:v>4.330127018922194E-2</c:v>
                      </c:pt>
                      <c:pt idx="501">
                        <c:v>4.330127018922194E-2</c:v>
                      </c:pt>
                      <c:pt idx="502">
                        <c:v>4.330127018922194E-2</c:v>
                      </c:pt>
                      <c:pt idx="503">
                        <c:v>4.330127018922194E-2</c:v>
                      </c:pt>
                      <c:pt idx="504">
                        <c:v>4.330127018922194E-2</c:v>
                      </c:pt>
                      <c:pt idx="505">
                        <c:v>4.330127018922194E-2</c:v>
                      </c:pt>
                      <c:pt idx="506">
                        <c:v>4.330127018922194E-2</c:v>
                      </c:pt>
                      <c:pt idx="507">
                        <c:v>4.330127018922194E-2</c:v>
                      </c:pt>
                      <c:pt idx="508">
                        <c:v>4.330127018922194E-2</c:v>
                      </c:pt>
                      <c:pt idx="509">
                        <c:v>4.330127018922194E-2</c:v>
                      </c:pt>
                      <c:pt idx="510">
                        <c:v>4.330127018922194E-2</c:v>
                      </c:pt>
                      <c:pt idx="511">
                        <c:v>4.330127018922194E-2</c:v>
                      </c:pt>
                      <c:pt idx="512">
                        <c:v>4.330127018922194E-2</c:v>
                      </c:pt>
                      <c:pt idx="513">
                        <c:v>4.330127018922194E-2</c:v>
                      </c:pt>
                      <c:pt idx="514">
                        <c:v>4.330127018922194E-2</c:v>
                      </c:pt>
                      <c:pt idx="515">
                        <c:v>4.330127018922194E-2</c:v>
                      </c:pt>
                      <c:pt idx="516">
                        <c:v>4.330127018922194E-2</c:v>
                      </c:pt>
                      <c:pt idx="517">
                        <c:v>4.330127018922194E-2</c:v>
                      </c:pt>
                      <c:pt idx="518">
                        <c:v>4.330127018922194E-2</c:v>
                      </c:pt>
                      <c:pt idx="519">
                        <c:v>4.330127018922194E-2</c:v>
                      </c:pt>
                      <c:pt idx="520">
                        <c:v>4.330127018922194E-2</c:v>
                      </c:pt>
                      <c:pt idx="521">
                        <c:v>4.330127018922194E-2</c:v>
                      </c:pt>
                      <c:pt idx="522">
                        <c:v>4.330127018922194E-2</c:v>
                      </c:pt>
                      <c:pt idx="523">
                        <c:v>4.330127018922194E-2</c:v>
                      </c:pt>
                      <c:pt idx="524">
                        <c:v>4.330127018922194E-2</c:v>
                      </c:pt>
                      <c:pt idx="525">
                        <c:v>4.330127018922194E-2</c:v>
                      </c:pt>
                      <c:pt idx="526">
                        <c:v>4.330127018922194E-2</c:v>
                      </c:pt>
                      <c:pt idx="527">
                        <c:v>4.330127018922194E-2</c:v>
                      </c:pt>
                      <c:pt idx="528">
                        <c:v>4.330127018922194E-2</c:v>
                      </c:pt>
                      <c:pt idx="529">
                        <c:v>4.330127018922194E-2</c:v>
                      </c:pt>
                      <c:pt idx="530">
                        <c:v>4.330127018922194E-2</c:v>
                      </c:pt>
                      <c:pt idx="531">
                        <c:v>4.330127018922194E-2</c:v>
                      </c:pt>
                      <c:pt idx="532">
                        <c:v>4.330127018922194E-2</c:v>
                      </c:pt>
                      <c:pt idx="533">
                        <c:v>4.330127018922194E-2</c:v>
                      </c:pt>
                      <c:pt idx="534">
                        <c:v>4.330127018922194E-2</c:v>
                      </c:pt>
                      <c:pt idx="535">
                        <c:v>4.330127018922194E-2</c:v>
                      </c:pt>
                      <c:pt idx="536">
                        <c:v>4.330127018922194E-2</c:v>
                      </c:pt>
                      <c:pt idx="537">
                        <c:v>4.330127018922194E-2</c:v>
                      </c:pt>
                      <c:pt idx="538">
                        <c:v>4.330127018922194E-2</c:v>
                      </c:pt>
                      <c:pt idx="539">
                        <c:v>4.330127018922194E-2</c:v>
                      </c:pt>
                      <c:pt idx="540">
                        <c:v>4.330127018922194E-2</c:v>
                      </c:pt>
                      <c:pt idx="541">
                        <c:v>4.330127018922194E-2</c:v>
                      </c:pt>
                      <c:pt idx="542">
                        <c:v>4.330127018922194E-2</c:v>
                      </c:pt>
                      <c:pt idx="543">
                        <c:v>4.330127018922194E-2</c:v>
                      </c:pt>
                      <c:pt idx="544">
                        <c:v>4.330127018922194E-2</c:v>
                      </c:pt>
                      <c:pt idx="545">
                        <c:v>4.330127018922194E-2</c:v>
                      </c:pt>
                      <c:pt idx="546">
                        <c:v>4.330127018922194E-2</c:v>
                      </c:pt>
                      <c:pt idx="547">
                        <c:v>4.330127018922194E-2</c:v>
                      </c:pt>
                      <c:pt idx="548">
                        <c:v>4.330127018922194E-2</c:v>
                      </c:pt>
                      <c:pt idx="549">
                        <c:v>4.330127018922194E-2</c:v>
                      </c:pt>
                      <c:pt idx="550">
                        <c:v>4.330127018922194E-2</c:v>
                      </c:pt>
                      <c:pt idx="551">
                        <c:v>4.330127018922194E-2</c:v>
                      </c:pt>
                      <c:pt idx="552">
                        <c:v>4.330127018922194E-2</c:v>
                      </c:pt>
                      <c:pt idx="553">
                        <c:v>4.330127018922194E-2</c:v>
                      </c:pt>
                      <c:pt idx="554">
                        <c:v>4.330127018922194E-2</c:v>
                      </c:pt>
                      <c:pt idx="555">
                        <c:v>4.330127018922194E-2</c:v>
                      </c:pt>
                      <c:pt idx="556">
                        <c:v>4.330127018922194E-2</c:v>
                      </c:pt>
                      <c:pt idx="557">
                        <c:v>4.330127018922194E-2</c:v>
                      </c:pt>
                      <c:pt idx="558">
                        <c:v>4.330127018922194E-2</c:v>
                      </c:pt>
                      <c:pt idx="559">
                        <c:v>4.330127018922194E-2</c:v>
                      </c:pt>
                      <c:pt idx="560">
                        <c:v>4.330127018922194E-2</c:v>
                      </c:pt>
                      <c:pt idx="561">
                        <c:v>4.330127018922194E-2</c:v>
                      </c:pt>
                      <c:pt idx="562">
                        <c:v>4.330127018922194E-2</c:v>
                      </c:pt>
                      <c:pt idx="563">
                        <c:v>4.330127018922194E-2</c:v>
                      </c:pt>
                      <c:pt idx="564">
                        <c:v>4.330127018922194E-2</c:v>
                      </c:pt>
                      <c:pt idx="565">
                        <c:v>4.330127018922194E-2</c:v>
                      </c:pt>
                      <c:pt idx="566">
                        <c:v>4.330127018922194E-2</c:v>
                      </c:pt>
                      <c:pt idx="567">
                        <c:v>4.330127018922194E-2</c:v>
                      </c:pt>
                      <c:pt idx="568">
                        <c:v>4.330127018922194E-2</c:v>
                      </c:pt>
                      <c:pt idx="569">
                        <c:v>4.330127018922194E-2</c:v>
                      </c:pt>
                      <c:pt idx="570">
                        <c:v>4.330127018922194E-2</c:v>
                      </c:pt>
                      <c:pt idx="571">
                        <c:v>4.330127018922194E-2</c:v>
                      </c:pt>
                      <c:pt idx="572">
                        <c:v>4.330127018922194E-2</c:v>
                      </c:pt>
                      <c:pt idx="573">
                        <c:v>4.330127018922194E-2</c:v>
                      </c:pt>
                      <c:pt idx="574">
                        <c:v>4.330127018922194E-2</c:v>
                      </c:pt>
                      <c:pt idx="575">
                        <c:v>4.330127018922194E-2</c:v>
                      </c:pt>
                      <c:pt idx="576">
                        <c:v>4.330127018922194E-2</c:v>
                      </c:pt>
                      <c:pt idx="577">
                        <c:v>4.330127018922194E-2</c:v>
                      </c:pt>
                      <c:pt idx="578">
                        <c:v>4.330127018922194E-2</c:v>
                      </c:pt>
                      <c:pt idx="579">
                        <c:v>4.330127018922194E-2</c:v>
                      </c:pt>
                      <c:pt idx="580">
                        <c:v>4.330127018922194E-2</c:v>
                      </c:pt>
                      <c:pt idx="581">
                        <c:v>4.330127018922194E-2</c:v>
                      </c:pt>
                      <c:pt idx="582">
                        <c:v>4.330127018922194E-2</c:v>
                      </c:pt>
                      <c:pt idx="583">
                        <c:v>4.330127018922194E-2</c:v>
                      </c:pt>
                      <c:pt idx="584">
                        <c:v>4.330127018922194E-2</c:v>
                      </c:pt>
                      <c:pt idx="585">
                        <c:v>4.330127018922194E-2</c:v>
                      </c:pt>
                      <c:pt idx="586">
                        <c:v>4.330127018922194E-2</c:v>
                      </c:pt>
                      <c:pt idx="587">
                        <c:v>4.330127018922194E-2</c:v>
                      </c:pt>
                      <c:pt idx="588">
                        <c:v>4.330127018922194E-2</c:v>
                      </c:pt>
                      <c:pt idx="589">
                        <c:v>4.330127018922194E-2</c:v>
                      </c:pt>
                      <c:pt idx="590">
                        <c:v>4.330127018922194E-2</c:v>
                      </c:pt>
                      <c:pt idx="591">
                        <c:v>4.330127018922194E-2</c:v>
                      </c:pt>
                      <c:pt idx="592">
                        <c:v>4.330127018922194E-2</c:v>
                      </c:pt>
                      <c:pt idx="593">
                        <c:v>4.330127018922194E-2</c:v>
                      </c:pt>
                      <c:pt idx="594">
                        <c:v>4.330127018922194E-2</c:v>
                      </c:pt>
                      <c:pt idx="595">
                        <c:v>4.330127018922194E-2</c:v>
                      </c:pt>
                      <c:pt idx="597">
                        <c:v>5.1961524227066319E-2</c:v>
                      </c:pt>
                      <c:pt idx="598">
                        <c:v>5.1961524227066319E-2</c:v>
                      </c:pt>
                      <c:pt idx="599">
                        <c:v>5.1961524227066319E-2</c:v>
                      </c:pt>
                      <c:pt idx="600">
                        <c:v>5.1961524227066319E-2</c:v>
                      </c:pt>
                      <c:pt idx="601">
                        <c:v>5.1961524227066319E-2</c:v>
                      </c:pt>
                      <c:pt idx="602">
                        <c:v>5.1961524227066319E-2</c:v>
                      </c:pt>
                      <c:pt idx="603">
                        <c:v>5.1961524227066319E-2</c:v>
                      </c:pt>
                      <c:pt idx="604">
                        <c:v>5.1961524227066319E-2</c:v>
                      </c:pt>
                      <c:pt idx="605">
                        <c:v>5.1961524227066319E-2</c:v>
                      </c:pt>
                      <c:pt idx="606">
                        <c:v>5.1961524227066319E-2</c:v>
                      </c:pt>
                      <c:pt idx="607">
                        <c:v>5.1961524227066319E-2</c:v>
                      </c:pt>
                      <c:pt idx="608">
                        <c:v>5.1961524227066319E-2</c:v>
                      </c:pt>
                      <c:pt idx="609">
                        <c:v>5.1961524227066319E-2</c:v>
                      </c:pt>
                      <c:pt idx="610">
                        <c:v>5.1961524227066319E-2</c:v>
                      </c:pt>
                      <c:pt idx="611">
                        <c:v>5.1961524227066319E-2</c:v>
                      </c:pt>
                      <c:pt idx="612">
                        <c:v>5.1961524227066319E-2</c:v>
                      </c:pt>
                      <c:pt idx="613">
                        <c:v>5.1961524227066319E-2</c:v>
                      </c:pt>
                      <c:pt idx="614">
                        <c:v>5.1961524227066319E-2</c:v>
                      </c:pt>
                      <c:pt idx="615">
                        <c:v>5.1961524227066319E-2</c:v>
                      </c:pt>
                      <c:pt idx="616">
                        <c:v>5.1961524227066319E-2</c:v>
                      </c:pt>
                      <c:pt idx="617">
                        <c:v>5.1961524227066319E-2</c:v>
                      </c:pt>
                      <c:pt idx="618">
                        <c:v>5.1961524227066319E-2</c:v>
                      </c:pt>
                      <c:pt idx="619">
                        <c:v>5.1961524227066319E-2</c:v>
                      </c:pt>
                      <c:pt idx="620">
                        <c:v>5.1961524227066319E-2</c:v>
                      </c:pt>
                      <c:pt idx="621">
                        <c:v>5.1961524227066319E-2</c:v>
                      </c:pt>
                      <c:pt idx="622">
                        <c:v>5.1961524227066319E-2</c:v>
                      </c:pt>
                      <c:pt idx="623">
                        <c:v>5.1961524227066319E-2</c:v>
                      </c:pt>
                      <c:pt idx="624">
                        <c:v>5.1961524227066319E-2</c:v>
                      </c:pt>
                      <c:pt idx="625">
                        <c:v>5.1961524227066319E-2</c:v>
                      </c:pt>
                      <c:pt idx="626">
                        <c:v>5.1961524227066319E-2</c:v>
                      </c:pt>
                      <c:pt idx="627">
                        <c:v>5.1961524227066319E-2</c:v>
                      </c:pt>
                      <c:pt idx="628">
                        <c:v>5.1961524227066319E-2</c:v>
                      </c:pt>
                      <c:pt idx="629">
                        <c:v>5.1961524227066319E-2</c:v>
                      </c:pt>
                      <c:pt idx="630">
                        <c:v>5.1961524227066319E-2</c:v>
                      </c:pt>
                      <c:pt idx="631">
                        <c:v>5.1961524227066319E-2</c:v>
                      </c:pt>
                      <c:pt idx="632">
                        <c:v>5.1961524227066319E-2</c:v>
                      </c:pt>
                      <c:pt idx="633">
                        <c:v>5.1961524227066319E-2</c:v>
                      </c:pt>
                      <c:pt idx="634">
                        <c:v>5.1961524227066319E-2</c:v>
                      </c:pt>
                      <c:pt idx="635">
                        <c:v>5.1961524227066319E-2</c:v>
                      </c:pt>
                      <c:pt idx="636">
                        <c:v>5.1961524227066319E-2</c:v>
                      </c:pt>
                      <c:pt idx="637">
                        <c:v>5.1961524227066319E-2</c:v>
                      </c:pt>
                      <c:pt idx="638">
                        <c:v>5.1961524227066319E-2</c:v>
                      </c:pt>
                      <c:pt idx="639">
                        <c:v>5.1961524227066319E-2</c:v>
                      </c:pt>
                      <c:pt idx="640">
                        <c:v>5.1961524227066319E-2</c:v>
                      </c:pt>
                      <c:pt idx="641">
                        <c:v>5.1961524227066319E-2</c:v>
                      </c:pt>
                      <c:pt idx="642">
                        <c:v>5.1961524227066319E-2</c:v>
                      </c:pt>
                      <c:pt idx="643">
                        <c:v>5.1961524227066319E-2</c:v>
                      </c:pt>
                      <c:pt idx="644">
                        <c:v>5.1961524227066319E-2</c:v>
                      </c:pt>
                      <c:pt idx="645">
                        <c:v>5.1961524227066319E-2</c:v>
                      </c:pt>
                      <c:pt idx="646">
                        <c:v>5.1961524227066319E-2</c:v>
                      </c:pt>
                      <c:pt idx="647">
                        <c:v>5.1961524227066319E-2</c:v>
                      </c:pt>
                      <c:pt idx="648">
                        <c:v>5.1961524227066319E-2</c:v>
                      </c:pt>
                      <c:pt idx="649">
                        <c:v>5.1961524227066319E-2</c:v>
                      </c:pt>
                      <c:pt idx="650">
                        <c:v>5.1961524227066319E-2</c:v>
                      </c:pt>
                      <c:pt idx="651">
                        <c:v>5.1961524227066319E-2</c:v>
                      </c:pt>
                      <c:pt idx="652">
                        <c:v>5.1961524227066319E-2</c:v>
                      </c:pt>
                      <c:pt idx="653">
                        <c:v>5.1961524227066319E-2</c:v>
                      </c:pt>
                      <c:pt idx="654">
                        <c:v>5.1961524227066319E-2</c:v>
                      </c:pt>
                      <c:pt idx="655">
                        <c:v>5.1961524227066319E-2</c:v>
                      </c:pt>
                      <c:pt idx="656">
                        <c:v>5.1961524227066319E-2</c:v>
                      </c:pt>
                      <c:pt idx="657">
                        <c:v>5.1961524227066319E-2</c:v>
                      </c:pt>
                      <c:pt idx="658">
                        <c:v>5.1961524227066319E-2</c:v>
                      </c:pt>
                      <c:pt idx="659">
                        <c:v>5.1961524227066319E-2</c:v>
                      </c:pt>
                      <c:pt idx="660">
                        <c:v>5.1961524227066319E-2</c:v>
                      </c:pt>
                      <c:pt idx="661">
                        <c:v>5.1961524227066319E-2</c:v>
                      </c:pt>
                      <c:pt idx="662">
                        <c:v>5.1961524227066319E-2</c:v>
                      </c:pt>
                      <c:pt idx="663">
                        <c:v>5.1961524227066319E-2</c:v>
                      </c:pt>
                      <c:pt idx="664">
                        <c:v>5.1961524227066319E-2</c:v>
                      </c:pt>
                      <c:pt idx="665">
                        <c:v>5.1961524227066319E-2</c:v>
                      </c:pt>
                      <c:pt idx="666">
                        <c:v>5.1961524227066319E-2</c:v>
                      </c:pt>
                      <c:pt idx="667">
                        <c:v>5.1961524227066319E-2</c:v>
                      </c:pt>
                      <c:pt idx="668">
                        <c:v>5.1961524227066319E-2</c:v>
                      </c:pt>
                      <c:pt idx="669">
                        <c:v>5.1961524227066319E-2</c:v>
                      </c:pt>
                      <c:pt idx="670">
                        <c:v>5.1961524227066319E-2</c:v>
                      </c:pt>
                      <c:pt idx="671">
                        <c:v>5.1961524227066319E-2</c:v>
                      </c:pt>
                      <c:pt idx="672">
                        <c:v>5.1961524227066319E-2</c:v>
                      </c:pt>
                      <c:pt idx="673">
                        <c:v>5.1961524227066319E-2</c:v>
                      </c:pt>
                      <c:pt idx="674">
                        <c:v>5.1961524227066319E-2</c:v>
                      </c:pt>
                      <c:pt idx="675">
                        <c:v>5.1961524227066319E-2</c:v>
                      </c:pt>
                      <c:pt idx="676">
                        <c:v>5.1961524227066319E-2</c:v>
                      </c:pt>
                      <c:pt idx="677">
                        <c:v>5.1961524227066319E-2</c:v>
                      </c:pt>
                      <c:pt idx="678">
                        <c:v>5.1961524227066319E-2</c:v>
                      </c:pt>
                      <c:pt idx="679">
                        <c:v>5.1961524227066319E-2</c:v>
                      </c:pt>
                      <c:pt idx="680">
                        <c:v>5.1961524227066319E-2</c:v>
                      </c:pt>
                      <c:pt idx="681">
                        <c:v>5.1961524227066319E-2</c:v>
                      </c:pt>
                      <c:pt idx="682">
                        <c:v>5.1961524227066319E-2</c:v>
                      </c:pt>
                      <c:pt idx="683">
                        <c:v>5.1961524227066319E-2</c:v>
                      </c:pt>
                      <c:pt idx="684">
                        <c:v>5.1961524227066319E-2</c:v>
                      </c:pt>
                      <c:pt idx="685">
                        <c:v>5.1961524227066319E-2</c:v>
                      </c:pt>
                      <c:pt idx="686">
                        <c:v>5.1961524227066319E-2</c:v>
                      </c:pt>
                      <c:pt idx="687">
                        <c:v>5.1961524227066319E-2</c:v>
                      </c:pt>
                      <c:pt idx="688">
                        <c:v>5.1961524227066319E-2</c:v>
                      </c:pt>
                      <c:pt idx="689">
                        <c:v>5.1961524227066319E-2</c:v>
                      </c:pt>
                      <c:pt idx="690">
                        <c:v>5.1961524227066319E-2</c:v>
                      </c:pt>
                      <c:pt idx="691">
                        <c:v>5.1961524227066319E-2</c:v>
                      </c:pt>
                      <c:pt idx="693">
                        <c:v>6.0621778264910706E-2</c:v>
                      </c:pt>
                      <c:pt idx="694">
                        <c:v>6.0621778264910706E-2</c:v>
                      </c:pt>
                      <c:pt idx="695">
                        <c:v>6.0621778264910706E-2</c:v>
                      </c:pt>
                      <c:pt idx="696">
                        <c:v>6.0621778264910706E-2</c:v>
                      </c:pt>
                      <c:pt idx="697">
                        <c:v>6.0621778264910706E-2</c:v>
                      </c:pt>
                      <c:pt idx="698">
                        <c:v>6.0621778264910706E-2</c:v>
                      </c:pt>
                      <c:pt idx="699">
                        <c:v>6.0621778264910706E-2</c:v>
                      </c:pt>
                      <c:pt idx="700">
                        <c:v>6.0621778264910706E-2</c:v>
                      </c:pt>
                      <c:pt idx="701">
                        <c:v>6.0621778264910706E-2</c:v>
                      </c:pt>
                      <c:pt idx="702">
                        <c:v>6.0621778264910706E-2</c:v>
                      </c:pt>
                      <c:pt idx="703">
                        <c:v>6.0621778264910706E-2</c:v>
                      </c:pt>
                      <c:pt idx="704">
                        <c:v>6.0621778264910706E-2</c:v>
                      </c:pt>
                      <c:pt idx="705">
                        <c:v>6.0621778264910706E-2</c:v>
                      </c:pt>
                      <c:pt idx="706">
                        <c:v>6.0621778264910706E-2</c:v>
                      </c:pt>
                      <c:pt idx="707">
                        <c:v>6.0621778264910706E-2</c:v>
                      </c:pt>
                      <c:pt idx="708">
                        <c:v>6.0621778264910706E-2</c:v>
                      </c:pt>
                      <c:pt idx="709">
                        <c:v>6.0621778264910706E-2</c:v>
                      </c:pt>
                      <c:pt idx="710">
                        <c:v>6.0621778264910706E-2</c:v>
                      </c:pt>
                      <c:pt idx="711">
                        <c:v>6.0621778264910706E-2</c:v>
                      </c:pt>
                      <c:pt idx="712">
                        <c:v>6.0621778264910706E-2</c:v>
                      </c:pt>
                      <c:pt idx="713">
                        <c:v>6.0621778264910706E-2</c:v>
                      </c:pt>
                      <c:pt idx="714">
                        <c:v>6.0621778264910706E-2</c:v>
                      </c:pt>
                      <c:pt idx="715">
                        <c:v>6.0621778264910706E-2</c:v>
                      </c:pt>
                      <c:pt idx="716">
                        <c:v>6.0621778264910706E-2</c:v>
                      </c:pt>
                      <c:pt idx="717">
                        <c:v>6.0621778264910706E-2</c:v>
                      </c:pt>
                      <c:pt idx="718">
                        <c:v>6.0621778264910706E-2</c:v>
                      </c:pt>
                      <c:pt idx="719">
                        <c:v>6.0621778264910706E-2</c:v>
                      </c:pt>
                      <c:pt idx="720">
                        <c:v>6.0621778264910706E-2</c:v>
                      </c:pt>
                      <c:pt idx="721">
                        <c:v>6.0621778264910706E-2</c:v>
                      </c:pt>
                      <c:pt idx="722">
                        <c:v>6.0621778264910706E-2</c:v>
                      </c:pt>
                      <c:pt idx="723">
                        <c:v>6.0621778264910706E-2</c:v>
                      </c:pt>
                      <c:pt idx="724">
                        <c:v>6.0621778264910706E-2</c:v>
                      </c:pt>
                      <c:pt idx="725">
                        <c:v>6.0621778264910706E-2</c:v>
                      </c:pt>
                      <c:pt idx="726">
                        <c:v>6.0621778264910706E-2</c:v>
                      </c:pt>
                      <c:pt idx="727">
                        <c:v>6.0621778264910706E-2</c:v>
                      </c:pt>
                      <c:pt idx="728">
                        <c:v>6.0621778264910706E-2</c:v>
                      </c:pt>
                      <c:pt idx="729">
                        <c:v>6.0621778264910706E-2</c:v>
                      </c:pt>
                      <c:pt idx="730">
                        <c:v>6.0621778264910706E-2</c:v>
                      </c:pt>
                      <c:pt idx="731">
                        <c:v>6.0621778264910706E-2</c:v>
                      </c:pt>
                      <c:pt idx="732">
                        <c:v>6.0621778264910706E-2</c:v>
                      </c:pt>
                      <c:pt idx="733">
                        <c:v>6.0621778264910706E-2</c:v>
                      </c:pt>
                      <c:pt idx="734">
                        <c:v>6.0621778264910706E-2</c:v>
                      </c:pt>
                      <c:pt idx="735">
                        <c:v>6.0621778264910706E-2</c:v>
                      </c:pt>
                      <c:pt idx="736">
                        <c:v>6.0621778264910706E-2</c:v>
                      </c:pt>
                      <c:pt idx="737">
                        <c:v>6.0621778264910706E-2</c:v>
                      </c:pt>
                      <c:pt idx="738">
                        <c:v>6.0621778264910706E-2</c:v>
                      </c:pt>
                      <c:pt idx="739">
                        <c:v>6.0621778264910706E-2</c:v>
                      </c:pt>
                      <c:pt idx="740">
                        <c:v>6.0621778264910706E-2</c:v>
                      </c:pt>
                      <c:pt idx="741">
                        <c:v>6.0621778264910706E-2</c:v>
                      </c:pt>
                      <c:pt idx="742">
                        <c:v>6.0621778264910706E-2</c:v>
                      </c:pt>
                      <c:pt idx="743">
                        <c:v>6.0621778264910706E-2</c:v>
                      </c:pt>
                      <c:pt idx="744">
                        <c:v>6.0621778264910706E-2</c:v>
                      </c:pt>
                      <c:pt idx="745">
                        <c:v>6.0621778264910706E-2</c:v>
                      </c:pt>
                      <c:pt idx="746">
                        <c:v>6.0621778264910706E-2</c:v>
                      </c:pt>
                      <c:pt idx="747">
                        <c:v>6.0621778264910706E-2</c:v>
                      </c:pt>
                      <c:pt idx="748">
                        <c:v>6.0621778264910706E-2</c:v>
                      </c:pt>
                      <c:pt idx="749">
                        <c:v>6.0621778264910706E-2</c:v>
                      </c:pt>
                      <c:pt idx="750">
                        <c:v>6.0621778264910706E-2</c:v>
                      </c:pt>
                      <c:pt idx="751">
                        <c:v>6.0621778264910706E-2</c:v>
                      </c:pt>
                      <c:pt idx="752">
                        <c:v>6.0621778264910706E-2</c:v>
                      </c:pt>
                      <c:pt idx="753">
                        <c:v>6.0621778264910706E-2</c:v>
                      </c:pt>
                      <c:pt idx="754">
                        <c:v>6.0621778264910706E-2</c:v>
                      </c:pt>
                      <c:pt idx="755">
                        <c:v>6.0621778264910706E-2</c:v>
                      </c:pt>
                      <c:pt idx="756">
                        <c:v>6.0621778264910706E-2</c:v>
                      </c:pt>
                      <c:pt idx="757">
                        <c:v>6.0621778264910706E-2</c:v>
                      </c:pt>
                      <c:pt idx="758">
                        <c:v>6.0621778264910706E-2</c:v>
                      </c:pt>
                      <c:pt idx="759">
                        <c:v>6.0621778264910706E-2</c:v>
                      </c:pt>
                      <c:pt idx="760">
                        <c:v>6.0621778264910706E-2</c:v>
                      </c:pt>
                      <c:pt idx="761">
                        <c:v>6.0621778264910706E-2</c:v>
                      </c:pt>
                      <c:pt idx="762">
                        <c:v>6.0621778264910706E-2</c:v>
                      </c:pt>
                      <c:pt idx="763">
                        <c:v>6.0621778264910706E-2</c:v>
                      </c:pt>
                      <c:pt idx="764">
                        <c:v>6.0621778264910706E-2</c:v>
                      </c:pt>
                      <c:pt idx="765">
                        <c:v>6.0621778264910706E-2</c:v>
                      </c:pt>
                      <c:pt idx="766">
                        <c:v>6.0621778264910706E-2</c:v>
                      </c:pt>
                      <c:pt idx="767">
                        <c:v>6.0621778264910706E-2</c:v>
                      </c:pt>
                      <c:pt idx="768">
                        <c:v>6.0621778264910706E-2</c:v>
                      </c:pt>
                      <c:pt idx="769">
                        <c:v>6.0621778264910706E-2</c:v>
                      </c:pt>
                      <c:pt idx="770">
                        <c:v>6.0621778264910706E-2</c:v>
                      </c:pt>
                      <c:pt idx="771">
                        <c:v>6.0621778264910706E-2</c:v>
                      </c:pt>
                      <c:pt idx="772">
                        <c:v>6.0621778264910706E-2</c:v>
                      </c:pt>
                      <c:pt idx="773">
                        <c:v>6.0621778264910706E-2</c:v>
                      </c:pt>
                      <c:pt idx="774">
                        <c:v>6.0621778264910706E-2</c:v>
                      </c:pt>
                      <c:pt idx="775">
                        <c:v>6.0621778264910706E-2</c:v>
                      </c:pt>
                      <c:pt idx="776">
                        <c:v>6.0621778264910706E-2</c:v>
                      </c:pt>
                      <c:pt idx="777">
                        <c:v>6.0621778264910706E-2</c:v>
                      </c:pt>
                      <c:pt idx="778">
                        <c:v>6.0621778264910706E-2</c:v>
                      </c:pt>
                      <c:pt idx="779">
                        <c:v>6.0621778264910706E-2</c:v>
                      </c:pt>
                      <c:pt idx="780">
                        <c:v>6.0621778264910706E-2</c:v>
                      </c:pt>
                      <c:pt idx="781">
                        <c:v>6.0621778264910706E-2</c:v>
                      </c:pt>
                      <c:pt idx="782">
                        <c:v>6.0621778264910706E-2</c:v>
                      </c:pt>
                      <c:pt idx="783">
                        <c:v>6.0621778264910706E-2</c:v>
                      </c:pt>
                      <c:pt idx="784">
                        <c:v>6.0621778264910706E-2</c:v>
                      </c:pt>
                      <c:pt idx="785">
                        <c:v>6.0621778264910706E-2</c:v>
                      </c:pt>
                      <c:pt idx="786">
                        <c:v>6.0621778264910706E-2</c:v>
                      </c:pt>
                      <c:pt idx="788">
                        <c:v>6.9282032302755092E-2</c:v>
                      </c:pt>
                      <c:pt idx="789">
                        <c:v>6.9282032302755092E-2</c:v>
                      </c:pt>
                      <c:pt idx="790">
                        <c:v>6.9282032302755092E-2</c:v>
                      </c:pt>
                      <c:pt idx="791">
                        <c:v>6.9282032302755092E-2</c:v>
                      </c:pt>
                      <c:pt idx="792">
                        <c:v>6.9282032302755092E-2</c:v>
                      </c:pt>
                      <c:pt idx="793">
                        <c:v>6.9282032302755092E-2</c:v>
                      </c:pt>
                      <c:pt idx="794">
                        <c:v>6.9282032302755092E-2</c:v>
                      </c:pt>
                      <c:pt idx="795">
                        <c:v>6.9282032302755092E-2</c:v>
                      </c:pt>
                      <c:pt idx="796">
                        <c:v>6.9282032302755092E-2</c:v>
                      </c:pt>
                      <c:pt idx="797">
                        <c:v>6.9282032302755092E-2</c:v>
                      </c:pt>
                      <c:pt idx="798">
                        <c:v>6.9282032302755092E-2</c:v>
                      </c:pt>
                      <c:pt idx="799">
                        <c:v>6.9282032302755092E-2</c:v>
                      </c:pt>
                      <c:pt idx="800">
                        <c:v>6.9282032302755092E-2</c:v>
                      </c:pt>
                      <c:pt idx="801">
                        <c:v>6.9282032302755092E-2</c:v>
                      </c:pt>
                      <c:pt idx="802">
                        <c:v>6.9282032302755092E-2</c:v>
                      </c:pt>
                      <c:pt idx="803">
                        <c:v>6.9282032302755092E-2</c:v>
                      </c:pt>
                      <c:pt idx="804">
                        <c:v>6.9282032302755092E-2</c:v>
                      </c:pt>
                      <c:pt idx="805">
                        <c:v>6.9282032302755092E-2</c:v>
                      </c:pt>
                      <c:pt idx="806">
                        <c:v>6.9282032302755092E-2</c:v>
                      </c:pt>
                      <c:pt idx="807">
                        <c:v>6.9282032302755092E-2</c:v>
                      </c:pt>
                      <c:pt idx="808">
                        <c:v>6.9282032302755092E-2</c:v>
                      </c:pt>
                      <c:pt idx="809">
                        <c:v>6.9282032302755092E-2</c:v>
                      </c:pt>
                      <c:pt idx="810">
                        <c:v>6.9282032302755092E-2</c:v>
                      </c:pt>
                      <c:pt idx="811">
                        <c:v>6.9282032302755092E-2</c:v>
                      </c:pt>
                      <c:pt idx="812">
                        <c:v>6.9282032302755092E-2</c:v>
                      </c:pt>
                      <c:pt idx="813">
                        <c:v>6.9282032302755092E-2</c:v>
                      </c:pt>
                      <c:pt idx="814">
                        <c:v>6.9282032302755092E-2</c:v>
                      </c:pt>
                      <c:pt idx="815">
                        <c:v>6.9282032302755092E-2</c:v>
                      </c:pt>
                      <c:pt idx="816">
                        <c:v>6.9282032302755092E-2</c:v>
                      </c:pt>
                      <c:pt idx="817">
                        <c:v>6.9282032302755092E-2</c:v>
                      </c:pt>
                      <c:pt idx="818">
                        <c:v>6.9282032302755092E-2</c:v>
                      </c:pt>
                      <c:pt idx="819">
                        <c:v>6.9282032302755092E-2</c:v>
                      </c:pt>
                      <c:pt idx="820">
                        <c:v>6.9282032302755092E-2</c:v>
                      </c:pt>
                      <c:pt idx="821">
                        <c:v>6.9282032302755092E-2</c:v>
                      </c:pt>
                      <c:pt idx="822">
                        <c:v>6.9282032302755092E-2</c:v>
                      </c:pt>
                      <c:pt idx="823">
                        <c:v>6.9282032302755092E-2</c:v>
                      </c:pt>
                      <c:pt idx="824">
                        <c:v>6.9282032302755092E-2</c:v>
                      </c:pt>
                      <c:pt idx="825">
                        <c:v>6.9282032302755092E-2</c:v>
                      </c:pt>
                      <c:pt idx="826">
                        <c:v>6.9282032302755092E-2</c:v>
                      </c:pt>
                      <c:pt idx="827">
                        <c:v>6.9282032302755092E-2</c:v>
                      </c:pt>
                      <c:pt idx="828">
                        <c:v>6.9282032302755092E-2</c:v>
                      </c:pt>
                      <c:pt idx="829">
                        <c:v>6.9282032302755092E-2</c:v>
                      </c:pt>
                      <c:pt idx="830">
                        <c:v>6.9282032302755092E-2</c:v>
                      </c:pt>
                      <c:pt idx="831">
                        <c:v>6.9282032302755092E-2</c:v>
                      </c:pt>
                      <c:pt idx="832">
                        <c:v>6.9282032302755092E-2</c:v>
                      </c:pt>
                      <c:pt idx="833">
                        <c:v>6.9282032302755092E-2</c:v>
                      </c:pt>
                      <c:pt idx="834">
                        <c:v>6.9282032302755092E-2</c:v>
                      </c:pt>
                      <c:pt idx="835">
                        <c:v>6.9282032302755092E-2</c:v>
                      </c:pt>
                      <c:pt idx="836">
                        <c:v>6.9282032302755092E-2</c:v>
                      </c:pt>
                      <c:pt idx="837">
                        <c:v>6.9282032302755092E-2</c:v>
                      </c:pt>
                      <c:pt idx="838">
                        <c:v>6.9282032302755092E-2</c:v>
                      </c:pt>
                      <c:pt idx="839">
                        <c:v>6.9282032302755092E-2</c:v>
                      </c:pt>
                      <c:pt idx="840">
                        <c:v>6.9282032302755092E-2</c:v>
                      </c:pt>
                      <c:pt idx="841">
                        <c:v>6.9282032302755092E-2</c:v>
                      </c:pt>
                      <c:pt idx="842">
                        <c:v>6.9282032302755092E-2</c:v>
                      </c:pt>
                      <c:pt idx="843">
                        <c:v>6.9282032302755092E-2</c:v>
                      </c:pt>
                      <c:pt idx="844">
                        <c:v>6.9282032302755092E-2</c:v>
                      </c:pt>
                      <c:pt idx="845">
                        <c:v>6.9282032302755092E-2</c:v>
                      </c:pt>
                      <c:pt idx="846">
                        <c:v>6.9282032302755092E-2</c:v>
                      </c:pt>
                      <c:pt idx="847">
                        <c:v>6.9282032302755092E-2</c:v>
                      </c:pt>
                      <c:pt idx="848">
                        <c:v>6.9282032302755092E-2</c:v>
                      </c:pt>
                      <c:pt idx="849">
                        <c:v>6.9282032302755092E-2</c:v>
                      </c:pt>
                      <c:pt idx="850">
                        <c:v>6.9282032302755092E-2</c:v>
                      </c:pt>
                      <c:pt idx="851">
                        <c:v>6.9282032302755092E-2</c:v>
                      </c:pt>
                      <c:pt idx="852">
                        <c:v>6.9282032302755092E-2</c:v>
                      </c:pt>
                      <c:pt idx="853">
                        <c:v>6.9282032302755092E-2</c:v>
                      </c:pt>
                      <c:pt idx="854">
                        <c:v>6.9282032302755092E-2</c:v>
                      </c:pt>
                      <c:pt idx="855">
                        <c:v>6.9282032302755092E-2</c:v>
                      </c:pt>
                      <c:pt idx="856">
                        <c:v>6.9282032302755092E-2</c:v>
                      </c:pt>
                      <c:pt idx="857">
                        <c:v>6.9282032302755092E-2</c:v>
                      </c:pt>
                      <c:pt idx="858">
                        <c:v>6.9282032302755092E-2</c:v>
                      </c:pt>
                      <c:pt idx="859">
                        <c:v>6.9282032302755092E-2</c:v>
                      </c:pt>
                      <c:pt idx="860">
                        <c:v>6.9282032302755092E-2</c:v>
                      </c:pt>
                      <c:pt idx="861">
                        <c:v>6.9282032302755092E-2</c:v>
                      </c:pt>
                      <c:pt idx="862">
                        <c:v>6.9282032302755092E-2</c:v>
                      </c:pt>
                      <c:pt idx="863">
                        <c:v>6.9282032302755092E-2</c:v>
                      </c:pt>
                      <c:pt idx="864">
                        <c:v>6.9282032302755092E-2</c:v>
                      </c:pt>
                      <c:pt idx="865">
                        <c:v>6.9282032302755092E-2</c:v>
                      </c:pt>
                      <c:pt idx="866">
                        <c:v>6.9282032302755092E-2</c:v>
                      </c:pt>
                      <c:pt idx="867">
                        <c:v>6.9282032302755092E-2</c:v>
                      </c:pt>
                      <c:pt idx="868">
                        <c:v>6.9282032302755092E-2</c:v>
                      </c:pt>
                      <c:pt idx="869">
                        <c:v>6.9282032302755092E-2</c:v>
                      </c:pt>
                      <c:pt idx="870">
                        <c:v>6.9282032302755092E-2</c:v>
                      </c:pt>
                      <c:pt idx="871">
                        <c:v>6.9282032302755092E-2</c:v>
                      </c:pt>
                      <c:pt idx="872">
                        <c:v>6.9282032302755092E-2</c:v>
                      </c:pt>
                      <c:pt idx="873">
                        <c:v>6.9282032302755092E-2</c:v>
                      </c:pt>
                      <c:pt idx="874">
                        <c:v>6.9282032302755092E-2</c:v>
                      </c:pt>
                      <c:pt idx="875">
                        <c:v>6.9282032302755092E-2</c:v>
                      </c:pt>
                      <c:pt idx="876">
                        <c:v>6.9282032302755092E-2</c:v>
                      </c:pt>
                      <c:pt idx="877">
                        <c:v>6.9282032302755092E-2</c:v>
                      </c:pt>
                      <c:pt idx="878">
                        <c:v>6.9282032302755092E-2</c:v>
                      </c:pt>
                      <c:pt idx="879">
                        <c:v>6.9282032302755092E-2</c:v>
                      </c:pt>
                      <c:pt idx="880">
                        <c:v>6.9282032302755092E-2</c:v>
                      </c:pt>
                      <c:pt idx="882">
                        <c:v>7.7942286340599479E-2</c:v>
                      </c:pt>
                      <c:pt idx="883">
                        <c:v>7.7942286340599479E-2</c:v>
                      </c:pt>
                      <c:pt idx="884">
                        <c:v>7.7942286340599479E-2</c:v>
                      </c:pt>
                      <c:pt idx="885">
                        <c:v>7.7942286340599479E-2</c:v>
                      </c:pt>
                      <c:pt idx="886">
                        <c:v>7.7942286340599479E-2</c:v>
                      </c:pt>
                      <c:pt idx="887">
                        <c:v>7.7942286340599479E-2</c:v>
                      </c:pt>
                      <c:pt idx="888">
                        <c:v>7.7942286340599479E-2</c:v>
                      </c:pt>
                      <c:pt idx="889">
                        <c:v>7.7942286340599479E-2</c:v>
                      </c:pt>
                      <c:pt idx="890">
                        <c:v>7.7942286340599479E-2</c:v>
                      </c:pt>
                      <c:pt idx="891">
                        <c:v>7.7942286340599479E-2</c:v>
                      </c:pt>
                      <c:pt idx="892">
                        <c:v>7.7942286340599479E-2</c:v>
                      </c:pt>
                      <c:pt idx="893">
                        <c:v>7.7942286340599479E-2</c:v>
                      </c:pt>
                      <c:pt idx="894">
                        <c:v>7.7942286340599479E-2</c:v>
                      </c:pt>
                      <c:pt idx="895">
                        <c:v>7.7942286340599479E-2</c:v>
                      </c:pt>
                      <c:pt idx="896">
                        <c:v>7.7942286340599479E-2</c:v>
                      </c:pt>
                      <c:pt idx="897">
                        <c:v>7.7942286340599479E-2</c:v>
                      </c:pt>
                      <c:pt idx="898">
                        <c:v>7.7942286340599479E-2</c:v>
                      </c:pt>
                      <c:pt idx="899">
                        <c:v>7.7942286340599479E-2</c:v>
                      </c:pt>
                      <c:pt idx="900">
                        <c:v>7.7942286340599479E-2</c:v>
                      </c:pt>
                      <c:pt idx="901">
                        <c:v>7.7942286340599479E-2</c:v>
                      </c:pt>
                      <c:pt idx="902">
                        <c:v>7.7942286340599479E-2</c:v>
                      </c:pt>
                      <c:pt idx="903">
                        <c:v>7.7942286340599479E-2</c:v>
                      </c:pt>
                      <c:pt idx="904">
                        <c:v>7.7942286340599479E-2</c:v>
                      </c:pt>
                      <c:pt idx="905">
                        <c:v>7.7942286340599479E-2</c:v>
                      </c:pt>
                      <c:pt idx="906">
                        <c:v>7.7942286340599479E-2</c:v>
                      </c:pt>
                      <c:pt idx="907">
                        <c:v>7.7942286340599479E-2</c:v>
                      </c:pt>
                      <c:pt idx="908">
                        <c:v>7.7942286340599479E-2</c:v>
                      </c:pt>
                      <c:pt idx="909">
                        <c:v>7.7942286340599479E-2</c:v>
                      </c:pt>
                      <c:pt idx="910">
                        <c:v>7.7942286340599479E-2</c:v>
                      </c:pt>
                      <c:pt idx="911">
                        <c:v>7.7942286340599479E-2</c:v>
                      </c:pt>
                      <c:pt idx="912">
                        <c:v>7.7942286340599479E-2</c:v>
                      </c:pt>
                      <c:pt idx="913">
                        <c:v>7.7942286340599479E-2</c:v>
                      </c:pt>
                      <c:pt idx="914">
                        <c:v>7.7942286340599479E-2</c:v>
                      </c:pt>
                      <c:pt idx="915">
                        <c:v>7.7942286340599479E-2</c:v>
                      </c:pt>
                      <c:pt idx="916">
                        <c:v>7.7942286340599479E-2</c:v>
                      </c:pt>
                      <c:pt idx="917">
                        <c:v>7.7942286340599479E-2</c:v>
                      </c:pt>
                      <c:pt idx="918">
                        <c:v>7.7942286340599479E-2</c:v>
                      </c:pt>
                      <c:pt idx="919">
                        <c:v>7.7942286340599479E-2</c:v>
                      </c:pt>
                      <c:pt idx="920">
                        <c:v>7.7942286340599479E-2</c:v>
                      </c:pt>
                      <c:pt idx="921">
                        <c:v>7.7942286340599479E-2</c:v>
                      </c:pt>
                      <c:pt idx="922">
                        <c:v>7.7942286340599479E-2</c:v>
                      </c:pt>
                      <c:pt idx="923">
                        <c:v>7.7942286340599479E-2</c:v>
                      </c:pt>
                      <c:pt idx="924">
                        <c:v>7.7942286340599479E-2</c:v>
                      </c:pt>
                      <c:pt idx="925">
                        <c:v>7.7942286340599479E-2</c:v>
                      </c:pt>
                      <c:pt idx="926">
                        <c:v>7.7942286340599479E-2</c:v>
                      </c:pt>
                      <c:pt idx="927">
                        <c:v>7.7942286340599479E-2</c:v>
                      </c:pt>
                      <c:pt idx="928">
                        <c:v>7.7942286340599479E-2</c:v>
                      </c:pt>
                      <c:pt idx="929">
                        <c:v>7.7942286340599479E-2</c:v>
                      </c:pt>
                      <c:pt idx="930">
                        <c:v>7.7942286340599479E-2</c:v>
                      </c:pt>
                      <c:pt idx="931">
                        <c:v>7.7942286340599479E-2</c:v>
                      </c:pt>
                      <c:pt idx="932">
                        <c:v>7.7942286340599479E-2</c:v>
                      </c:pt>
                      <c:pt idx="933">
                        <c:v>7.7942286340599479E-2</c:v>
                      </c:pt>
                      <c:pt idx="934">
                        <c:v>7.7942286340599479E-2</c:v>
                      </c:pt>
                      <c:pt idx="935">
                        <c:v>7.7942286340599479E-2</c:v>
                      </c:pt>
                      <c:pt idx="936">
                        <c:v>7.7942286340599479E-2</c:v>
                      </c:pt>
                      <c:pt idx="937">
                        <c:v>7.7942286340599479E-2</c:v>
                      </c:pt>
                      <c:pt idx="938">
                        <c:v>7.7942286340599479E-2</c:v>
                      </c:pt>
                      <c:pt idx="939">
                        <c:v>7.7942286340599479E-2</c:v>
                      </c:pt>
                      <c:pt idx="940">
                        <c:v>7.7942286340599479E-2</c:v>
                      </c:pt>
                      <c:pt idx="941">
                        <c:v>7.7942286340599479E-2</c:v>
                      </c:pt>
                      <c:pt idx="942">
                        <c:v>7.7942286340599479E-2</c:v>
                      </c:pt>
                      <c:pt idx="943">
                        <c:v>7.7942286340599479E-2</c:v>
                      </c:pt>
                      <c:pt idx="944">
                        <c:v>7.7942286340599479E-2</c:v>
                      </c:pt>
                      <c:pt idx="945">
                        <c:v>7.7942286340599479E-2</c:v>
                      </c:pt>
                      <c:pt idx="946">
                        <c:v>7.7942286340599479E-2</c:v>
                      </c:pt>
                      <c:pt idx="947">
                        <c:v>7.7942286340599479E-2</c:v>
                      </c:pt>
                      <c:pt idx="948">
                        <c:v>7.7942286340599479E-2</c:v>
                      </c:pt>
                      <c:pt idx="949">
                        <c:v>7.7942286340599479E-2</c:v>
                      </c:pt>
                      <c:pt idx="950">
                        <c:v>7.7942286340599479E-2</c:v>
                      </c:pt>
                      <c:pt idx="951">
                        <c:v>7.7942286340599479E-2</c:v>
                      </c:pt>
                      <c:pt idx="952">
                        <c:v>7.7942286340599479E-2</c:v>
                      </c:pt>
                      <c:pt idx="953">
                        <c:v>7.7942286340599479E-2</c:v>
                      </c:pt>
                      <c:pt idx="954">
                        <c:v>7.7942286340599479E-2</c:v>
                      </c:pt>
                      <c:pt idx="955">
                        <c:v>7.7942286340599479E-2</c:v>
                      </c:pt>
                      <c:pt idx="956">
                        <c:v>7.7942286340599479E-2</c:v>
                      </c:pt>
                      <c:pt idx="957">
                        <c:v>7.7942286340599479E-2</c:v>
                      </c:pt>
                      <c:pt idx="958">
                        <c:v>7.7942286340599479E-2</c:v>
                      </c:pt>
                      <c:pt idx="959">
                        <c:v>7.7942286340599479E-2</c:v>
                      </c:pt>
                      <c:pt idx="960">
                        <c:v>7.7942286340599479E-2</c:v>
                      </c:pt>
                      <c:pt idx="961">
                        <c:v>7.7942286340599479E-2</c:v>
                      </c:pt>
                      <c:pt idx="962">
                        <c:v>7.7942286340599479E-2</c:v>
                      </c:pt>
                      <c:pt idx="963">
                        <c:v>7.7942286340599479E-2</c:v>
                      </c:pt>
                      <c:pt idx="964">
                        <c:v>7.7942286340599479E-2</c:v>
                      </c:pt>
                      <c:pt idx="965">
                        <c:v>7.7942286340599479E-2</c:v>
                      </c:pt>
                      <c:pt idx="966">
                        <c:v>7.7942286340599479E-2</c:v>
                      </c:pt>
                      <c:pt idx="967">
                        <c:v>7.7942286340599479E-2</c:v>
                      </c:pt>
                      <c:pt idx="968">
                        <c:v>7.7942286340599479E-2</c:v>
                      </c:pt>
                      <c:pt idx="969">
                        <c:v>7.7942286340599479E-2</c:v>
                      </c:pt>
                      <c:pt idx="970">
                        <c:v>7.7942286340599479E-2</c:v>
                      </c:pt>
                      <c:pt idx="971">
                        <c:v>7.7942286340599479E-2</c:v>
                      </c:pt>
                      <c:pt idx="972">
                        <c:v>7.7942286340599479E-2</c:v>
                      </c:pt>
                      <c:pt idx="973">
                        <c:v>7.7942286340599479E-2</c:v>
                      </c:pt>
                      <c:pt idx="975">
                        <c:v>8.6602540378443879E-2</c:v>
                      </c:pt>
                      <c:pt idx="976">
                        <c:v>8.6602540378443879E-2</c:v>
                      </c:pt>
                      <c:pt idx="977">
                        <c:v>8.6602540378443879E-2</c:v>
                      </c:pt>
                      <c:pt idx="978">
                        <c:v>8.6602540378443879E-2</c:v>
                      </c:pt>
                      <c:pt idx="979">
                        <c:v>8.6602540378443879E-2</c:v>
                      </c:pt>
                      <c:pt idx="980">
                        <c:v>8.6602540378443879E-2</c:v>
                      </c:pt>
                      <c:pt idx="981">
                        <c:v>8.6602540378443879E-2</c:v>
                      </c:pt>
                      <c:pt idx="982">
                        <c:v>8.6602540378443879E-2</c:v>
                      </c:pt>
                      <c:pt idx="983">
                        <c:v>8.6602540378443879E-2</c:v>
                      </c:pt>
                      <c:pt idx="984">
                        <c:v>8.6602540378443879E-2</c:v>
                      </c:pt>
                      <c:pt idx="985">
                        <c:v>8.6602540378443879E-2</c:v>
                      </c:pt>
                      <c:pt idx="986">
                        <c:v>8.6602540378443879E-2</c:v>
                      </c:pt>
                      <c:pt idx="987">
                        <c:v>8.6602540378443879E-2</c:v>
                      </c:pt>
                      <c:pt idx="988">
                        <c:v>8.6602540378443879E-2</c:v>
                      </c:pt>
                      <c:pt idx="989">
                        <c:v>8.6602540378443879E-2</c:v>
                      </c:pt>
                      <c:pt idx="990">
                        <c:v>8.6602540378443879E-2</c:v>
                      </c:pt>
                      <c:pt idx="991">
                        <c:v>8.6602540378443879E-2</c:v>
                      </c:pt>
                      <c:pt idx="992">
                        <c:v>8.6602540378443879E-2</c:v>
                      </c:pt>
                      <c:pt idx="993">
                        <c:v>8.6602540378443879E-2</c:v>
                      </c:pt>
                      <c:pt idx="994">
                        <c:v>8.6602540378443879E-2</c:v>
                      </c:pt>
                      <c:pt idx="995">
                        <c:v>8.6602540378443879E-2</c:v>
                      </c:pt>
                      <c:pt idx="996">
                        <c:v>8.6602540378443879E-2</c:v>
                      </c:pt>
                      <c:pt idx="997">
                        <c:v>8.6602540378443879E-2</c:v>
                      </c:pt>
                      <c:pt idx="998">
                        <c:v>8.6602540378443879E-2</c:v>
                      </c:pt>
                      <c:pt idx="999">
                        <c:v>8.6602540378443879E-2</c:v>
                      </c:pt>
                      <c:pt idx="1000">
                        <c:v>8.6602540378443879E-2</c:v>
                      </c:pt>
                      <c:pt idx="1001">
                        <c:v>8.6602540378443879E-2</c:v>
                      </c:pt>
                      <c:pt idx="1002">
                        <c:v>8.6602540378443879E-2</c:v>
                      </c:pt>
                      <c:pt idx="1003">
                        <c:v>8.6602540378443879E-2</c:v>
                      </c:pt>
                      <c:pt idx="1004">
                        <c:v>8.6602540378443879E-2</c:v>
                      </c:pt>
                      <c:pt idx="1005">
                        <c:v>8.6602540378443879E-2</c:v>
                      </c:pt>
                      <c:pt idx="1006">
                        <c:v>8.6602540378443879E-2</c:v>
                      </c:pt>
                      <c:pt idx="1007">
                        <c:v>8.6602540378443879E-2</c:v>
                      </c:pt>
                      <c:pt idx="1008">
                        <c:v>8.6602540378443879E-2</c:v>
                      </c:pt>
                      <c:pt idx="1009">
                        <c:v>8.6602540378443879E-2</c:v>
                      </c:pt>
                      <c:pt idx="1010">
                        <c:v>8.6602540378443879E-2</c:v>
                      </c:pt>
                      <c:pt idx="1011">
                        <c:v>8.6602540378443879E-2</c:v>
                      </c:pt>
                      <c:pt idx="1012">
                        <c:v>8.6602540378443879E-2</c:v>
                      </c:pt>
                      <c:pt idx="1013">
                        <c:v>8.6602540378443879E-2</c:v>
                      </c:pt>
                      <c:pt idx="1014">
                        <c:v>8.6602540378443879E-2</c:v>
                      </c:pt>
                      <c:pt idx="1015">
                        <c:v>8.6602540378443879E-2</c:v>
                      </c:pt>
                      <c:pt idx="1016">
                        <c:v>8.6602540378443879E-2</c:v>
                      </c:pt>
                      <c:pt idx="1017">
                        <c:v>8.6602540378443879E-2</c:v>
                      </c:pt>
                      <c:pt idx="1018">
                        <c:v>8.6602540378443879E-2</c:v>
                      </c:pt>
                      <c:pt idx="1019">
                        <c:v>8.6602540378443879E-2</c:v>
                      </c:pt>
                      <c:pt idx="1020">
                        <c:v>8.6602540378443879E-2</c:v>
                      </c:pt>
                      <c:pt idx="1021">
                        <c:v>8.6602540378443879E-2</c:v>
                      </c:pt>
                      <c:pt idx="1022">
                        <c:v>8.6602540378443879E-2</c:v>
                      </c:pt>
                      <c:pt idx="1023">
                        <c:v>8.6602540378443879E-2</c:v>
                      </c:pt>
                      <c:pt idx="1024">
                        <c:v>8.6602540378443879E-2</c:v>
                      </c:pt>
                      <c:pt idx="1025">
                        <c:v>8.6602540378443879E-2</c:v>
                      </c:pt>
                      <c:pt idx="1026">
                        <c:v>8.6602540378443879E-2</c:v>
                      </c:pt>
                      <c:pt idx="1027">
                        <c:v>8.6602540378443879E-2</c:v>
                      </c:pt>
                      <c:pt idx="1028">
                        <c:v>8.6602540378443879E-2</c:v>
                      </c:pt>
                      <c:pt idx="1029">
                        <c:v>8.6602540378443879E-2</c:v>
                      </c:pt>
                      <c:pt idx="1030">
                        <c:v>8.6602540378443879E-2</c:v>
                      </c:pt>
                      <c:pt idx="1031">
                        <c:v>8.6602540378443879E-2</c:v>
                      </c:pt>
                      <c:pt idx="1032">
                        <c:v>8.6602540378443879E-2</c:v>
                      </c:pt>
                      <c:pt idx="1033">
                        <c:v>8.6602540378443879E-2</c:v>
                      </c:pt>
                      <c:pt idx="1034">
                        <c:v>8.6602540378443879E-2</c:v>
                      </c:pt>
                      <c:pt idx="1035">
                        <c:v>8.6602540378443879E-2</c:v>
                      </c:pt>
                      <c:pt idx="1036">
                        <c:v>8.6602540378443879E-2</c:v>
                      </c:pt>
                      <c:pt idx="1037">
                        <c:v>8.6602540378443879E-2</c:v>
                      </c:pt>
                      <c:pt idx="1038">
                        <c:v>8.6602540378443879E-2</c:v>
                      </c:pt>
                      <c:pt idx="1039">
                        <c:v>8.6602540378443879E-2</c:v>
                      </c:pt>
                      <c:pt idx="1040">
                        <c:v>8.6602540378443879E-2</c:v>
                      </c:pt>
                      <c:pt idx="1041">
                        <c:v>8.6602540378443879E-2</c:v>
                      </c:pt>
                      <c:pt idx="1042">
                        <c:v>8.6602540378443879E-2</c:v>
                      </c:pt>
                      <c:pt idx="1043">
                        <c:v>8.6602540378443879E-2</c:v>
                      </c:pt>
                      <c:pt idx="1044">
                        <c:v>8.6602540378443879E-2</c:v>
                      </c:pt>
                      <c:pt idx="1045">
                        <c:v>8.6602540378443879E-2</c:v>
                      </c:pt>
                      <c:pt idx="1046">
                        <c:v>8.6602540378443879E-2</c:v>
                      </c:pt>
                      <c:pt idx="1047">
                        <c:v>8.6602540378443879E-2</c:v>
                      </c:pt>
                      <c:pt idx="1048">
                        <c:v>8.6602540378443879E-2</c:v>
                      </c:pt>
                      <c:pt idx="1049">
                        <c:v>8.6602540378443879E-2</c:v>
                      </c:pt>
                      <c:pt idx="1050">
                        <c:v>8.6602540378443879E-2</c:v>
                      </c:pt>
                      <c:pt idx="1051">
                        <c:v>8.6602540378443879E-2</c:v>
                      </c:pt>
                      <c:pt idx="1052">
                        <c:v>8.6602540378443879E-2</c:v>
                      </c:pt>
                      <c:pt idx="1053">
                        <c:v>8.6602540378443879E-2</c:v>
                      </c:pt>
                      <c:pt idx="1054">
                        <c:v>8.6602540378443879E-2</c:v>
                      </c:pt>
                      <c:pt idx="1055">
                        <c:v>8.6602540378443879E-2</c:v>
                      </c:pt>
                      <c:pt idx="1056">
                        <c:v>8.6602540378443879E-2</c:v>
                      </c:pt>
                      <c:pt idx="1057">
                        <c:v>8.6602540378443879E-2</c:v>
                      </c:pt>
                      <c:pt idx="1058">
                        <c:v>8.6602540378443879E-2</c:v>
                      </c:pt>
                      <c:pt idx="1059">
                        <c:v>8.6602540378443879E-2</c:v>
                      </c:pt>
                      <c:pt idx="1060">
                        <c:v>8.6602540378443879E-2</c:v>
                      </c:pt>
                      <c:pt idx="1061">
                        <c:v>8.6602540378443879E-2</c:v>
                      </c:pt>
                      <c:pt idx="1062">
                        <c:v>8.6602540378443879E-2</c:v>
                      </c:pt>
                      <c:pt idx="1063">
                        <c:v>8.6602540378443879E-2</c:v>
                      </c:pt>
                      <c:pt idx="1064">
                        <c:v>8.6602540378443879E-2</c:v>
                      </c:pt>
                      <c:pt idx="1065">
                        <c:v>8.6602540378443879E-2</c:v>
                      </c:pt>
                      <c:pt idx="1067">
                        <c:v>9.5262794416288252E-2</c:v>
                      </c:pt>
                      <c:pt idx="1068">
                        <c:v>9.5262794416288252E-2</c:v>
                      </c:pt>
                      <c:pt idx="1069">
                        <c:v>9.5262794416288252E-2</c:v>
                      </c:pt>
                      <c:pt idx="1070">
                        <c:v>9.5262794416288252E-2</c:v>
                      </c:pt>
                      <c:pt idx="1071">
                        <c:v>9.5262794416288252E-2</c:v>
                      </c:pt>
                      <c:pt idx="1072">
                        <c:v>9.5262794416288252E-2</c:v>
                      </c:pt>
                      <c:pt idx="1073">
                        <c:v>9.5262794416288252E-2</c:v>
                      </c:pt>
                      <c:pt idx="1074">
                        <c:v>9.5262794416288252E-2</c:v>
                      </c:pt>
                      <c:pt idx="1075">
                        <c:v>9.5262794416288252E-2</c:v>
                      </c:pt>
                      <c:pt idx="1076">
                        <c:v>9.5262794416288252E-2</c:v>
                      </c:pt>
                      <c:pt idx="1077">
                        <c:v>9.5262794416288252E-2</c:v>
                      </c:pt>
                      <c:pt idx="1078">
                        <c:v>9.5262794416288252E-2</c:v>
                      </c:pt>
                      <c:pt idx="1079">
                        <c:v>9.5262794416288252E-2</c:v>
                      </c:pt>
                      <c:pt idx="1080">
                        <c:v>9.5262794416288252E-2</c:v>
                      </c:pt>
                      <c:pt idx="1081">
                        <c:v>9.5262794416288252E-2</c:v>
                      </c:pt>
                      <c:pt idx="1082">
                        <c:v>9.5262794416288252E-2</c:v>
                      </c:pt>
                      <c:pt idx="1083">
                        <c:v>9.5262794416288252E-2</c:v>
                      </c:pt>
                      <c:pt idx="1084">
                        <c:v>9.5262794416288252E-2</c:v>
                      </c:pt>
                      <c:pt idx="1085">
                        <c:v>9.5262794416288252E-2</c:v>
                      </c:pt>
                      <c:pt idx="1086">
                        <c:v>9.5262794416288252E-2</c:v>
                      </c:pt>
                      <c:pt idx="1087">
                        <c:v>9.5262794416288252E-2</c:v>
                      </c:pt>
                      <c:pt idx="1088">
                        <c:v>9.5262794416288252E-2</c:v>
                      </c:pt>
                      <c:pt idx="1089">
                        <c:v>9.5262794416288252E-2</c:v>
                      </c:pt>
                      <c:pt idx="1090">
                        <c:v>9.5262794416288252E-2</c:v>
                      </c:pt>
                      <c:pt idx="1091">
                        <c:v>9.5262794416288252E-2</c:v>
                      </c:pt>
                      <c:pt idx="1092">
                        <c:v>9.5262794416288252E-2</c:v>
                      </c:pt>
                      <c:pt idx="1093">
                        <c:v>9.5262794416288252E-2</c:v>
                      </c:pt>
                      <c:pt idx="1094">
                        <c:v>9.5262794416288252E-2</c:v>
                      </c:pt>
                      <c:pt idx="1095">
                        <c:v>9.5262794416288252E-2</c:v>
                      </c:pt>
                      <c:pt idx="1096">
                        <c:v>9.5262794416288252E-2</c:v>
                      </c:pt>
                      <c:pt idx="1097">
                        <c:v>9.5262794416288252E-2</c:v>
                      </c:pt>
                      <c:pt idx="1098">
                        <c:v>9.5262794416288252E-2</c:v>
                      </c:pt>
                      <c:pt idx="1099">
                        <c:v>9.5262794416288252E-2</c:v>
                      </c:pt>
                      <c:pt idx="1100">
                        <c:v>9.5262794416288252E-2</c:v>
                      </c:pt>
                      <c:pt idx="1101">
                        <c:v>9.5262794416288252E-2</c:v>
                      </c:pt>
                      <c:pt idx="1102">
                        <c:v>9.5262794416288252E-2</c:v>
                      </c:pt>
                      <c:pt idx="1103">
                        <c:v>9.5262794416288252E-2</c:v>
                      </c:pt>
                      <c:pt idx="1104">
                        <c:v>9.5262794416288252E-2</c:v>
                      </c:pt>
                      <c:pt idx="1105">
                        <c:v>9.5262794416288252E-2</c:v>
                      </c:pt>
                      <c:pt idx="1106">
                        <c:v>9.5262794416288252E-2</c:v>
                      </c:pt>
                      <c:pt idx="1107">
                        <c:v>9.5262794416288252E-2</c:v>
                      </c:pt>
                      <c:pt idx="1108">
                        <c:v>9.5262794416288252E-2</c:v>
                      </c:pt>
                      <c:pt idx="1109">
                        <c:v>9.5262794416288252E-2</c:v>
                      </c:pt>
                      <c:pt idx="1110">
                        <c:v>9.5262794416288252E-2</c:v>
                      </c:pt>
                      <c:pt idx="1111">
                        <c:v>9.5262794416288252E-2</c:v>
                      </c:pt>
                      <c:pt idx="1112">
                        <c:v>9.5262794416288252E-2</c:v>
                      </c:pt>
                      <c:pt idx="1113">
                        <c:v>9.5262794416288252E-2</c:v>
                      </c:pt>
                      <c:pt idx="1114">
                        <c:v>9.5262794416288252E-2</c:v>
                      </c:pt>
                      <c:pt idx="1115">
                        <c:v>9.5262794416288252E-2</c:v>
                      </c:pt>
                      <c:pt idx="1116">
                        <c:v>9.5262794416288252E-2</c:v>
                      </c:pt>
                      <c:pt idx="1117">
                        <c:v>9.5262794416288252E-2</c:v>
                      </c:pt>
                      <c:pt idx="1118">
                        <c:v>9.5262794416288252E-2</c:v>
                      </c:pt>
                      <c:pt idx="1119">
                        <c:v>9.5262794416288252E-2</c:v>
                      </c:pt>
                      <c:pt idx="1120">
                        <c:v>9.5262794416288252E-2</c:v>
                      </c:pt>
                      <c:pt idx="1121">
                        <c:v>9.5262794416288252E-2</c:v>
                      </c:pt>
                      <c:pt idx="1122">
                        <c:v>9.5262794416288252E-2</c:v>
                      </c:pt>
                      <c:pt idx="1123">
                        <c:v>9.5262794416288252E-2</c:v>
                      </c:pt>
                      <c:pt idx="1124">
                        <c:v>9.5262794416288252E-2</c:v>
                      </c:pt>
                      <c:pt idx="1125">
                        <c:v>9.5262794416288252E-2</c:v>
                      </c:pt>
                      <c:pt idx="1126">
                        <c:v>9.5262794416288252E-2</c:v>
                      </c:pt>
                      <c:pt idx="1127">
                        <c:v>9.5262794416288252E-2</c:v>
                      </c:pt>
                      <c:pt idx="1128">
                        <c:v>9.5262794416288252E-2</c:v>
                      </c:pt>
                      <c:pt idx="1129">
                        <c:v>9.5262794416288252E-2</c:v>
                      </c:pt>
                      <c:pt idx="1130">
                        <c:v>9.5262794416288252E-2</c:v>
                      </c:pt>
                      <c:pt idx="1131">
                        <c:v>9.5262794416288252E-2</c:v>
                      </c:pt>
                      <c:pt idx="1132">
                        <c:v>9.5262794416288252E-2</c:v>
                      </c:pt>
                      <c:pt idx="1133">
                        <c:v>9.5262794416288252E-2</c:v>
                      </c:pt>
                      <c:pt idx="1134">
                        <c:v>9.5262794416288252E-2</c:v>
                      </c:pt>
                      <c:pt idx="1135">
                        <c:v>9.5262794416288252E-2</c:v>
                      </c:pt>
                      <c:pt idx="1136">
                        <c:v>9.5262794416288252E-2</c:v>
                      </c:pt>
                      <c:pt idx="1137">
                        <c:v>9.5262794416288252E-2</c:v>
                      </c:pt>
                      <c:pt idx="1138">
                        <c:v>9.5262794416288252E-2</c:v>
                      </c:pt>
                      <c:pt idx="1139">
                        <c:v>9.5262794416288252E-2</c:v>
                      </c:pt>
                      <c:pt idx="1140">
                        <c:v>9.5262794416288252E-2</c:v>
                      </c:pt>
                      <c:pt idx="1141">
                        <c:v>9.5262794416288252E-2</c:v>
                      </c:pt>
                      <c:pt idx="1142">
                        <c:v>9.5262794416288252E-2</c:v>
                      </c:pt>
                      <c:pt idx="1143">
                        <c:v>9.5262794416288252E-2</c:v>
                      </c:pt>
                      <c:pt idx="1144">
                        <c:v>9.5262794416288252E-2</c:v>
                      </c:pt>
                      <c:pt idx="1145">
                        <c:v>9.5262794416288252E-2</c:v>
                      </c:pt>
                      <c:pt idx="1146">
                        <c:v>9.5262794416288252E-2</c:v>
                      </c:pt>
                      <c:pt idx="1147">
                        <c:v>9.5262794416288252E-2</c:v>
                      </c:pt>
                      <c:pt idx="1148">
                        <c:v>9.5262794416288252E-2</c:v>
                      </c:pt>
                      <c:pt idx="1149">
                        <c:v>9.5262794416288252E-2</c:v>
                      </c:pt>
                      <c:pt idx="1150">
                        <c:v>9.5262794416288252E-2</c:v>
                      </c:pt>
                      <c:pt idx="1151">
                        <c:v>9.5262794416288252E-2</c:v>
                      </c:pt>
                      <c:pt idx="1152">
                        <c:v>9.5262794416288252E-2</c:v>
                      </c:pt>
                      <c:pt idx="1153">
                        <c:v>9.5262794416288252E-2</c:v>
                      </c:pt>
                      <c:pt idx="1154">
                        <c:v>9.5262794416288252E-2</c:v>
                      </c:pt>
                      <c:pt idx="1155">
                        <c:v>9.5262794416288252E-2</c:v>
                      </c:pt>
                      <c:pt idx="1156">
                        <c:v>9.5262794416288252E-2</c:v>
                      </c:pt>
                      <c:pt idx="1158">
                        <c:v>0.10392304845413264</c:v>
                      </c:pt>
                      <c:pt idx="1159">
                        <c:v>0.10392304845413264</c:v>
                      </c:pt>
                      <c:pt idx="1160">
                        <c:v>0.10392304845413264</c:v>
                      </c:pt>
                      <c:pt idx="1161">
                        <c:v>0.10392304845413264</c:v>
                      </c:pt>
                      <c:pt idx="1162">
                        <c:v>0.10392304845413264</c:v>
                      </c:pt>
                      <c:pt idx="1163">
                        <c:v>0.10392304845413264</c:v>
                      </c:pt>
                      <c:pt idx="1164">
                        <c:v>0.10392304845413264</c:v>
                      </c:pt>
                      <c:pt idx="1165">
                        <c:v>0.10392304845413264</c:v>
                      </c:pt>
                      <c:pt idx="1166">
                        <c:v>0.10392304845413264</c:v>
                      </c:pt>
                      <c:pt idx="1167">
                        <c:v>0.10392304845413264</c:v>
                      </c:pt>
                      <c:pt idx="1168">
                        <c:v>0.10392304845413264</c:v>
                      </c:pt>
                      <c:pt idx="1169">
                        <c:v>0.10392304845413264</c:v>
                      </c:pt>
                      <c:pt idx="1170">
                        <c:v>0.10392304845413264</c:v>
                      </c:pt>
                      <c:pt idx="1171">
                        <c:v>0.10392304845413264</c:v>
                      </c:pt>
                      <c:pt idx="1172">
                        <c:v>0.10392304845413264</c:v>
                      </c:pt>
                      <c:pt idx="1173">
                        <c:v>0.10392304845413264</c:v>
                      </c:pt>
                      <c:pt idx="1174">
                        <c:v>0.10392304845413264</c:v>
                      </c:pt>
                      <c:pt idx="1175">
                        <c:v>0.10392304845413264</c:v>
                      </c:pt>
                      <c:pt idx="1176">
                        <c:v>0.10392304845413264</c:v>
                      </c:pt>
                      <c:pt idx="1177">
                        <c:v>0.10392304845413264</c:v>
                      </c:pt>
                      <c:pt idx="1178">
                        <c:v>0.10392304845413264</c:v>
                      </c:pt>
                      <c:pt idx="1179">
                        <c:v>0.10392304845413264</c:v>
                      </c:pt>
                      <c:pt idx="1180">
                        <c:v>0.10392304845413264</c:v>
                      </c:pt>
                      <c:pt idx="1181">
                        <c:v>0.10392304845413264</c:v>
                      </c:pt>
                      <c:pt idx="1182">
                        <c:v>0.10392304845413264</c:v>
                      </c:pt>
                      <c:pt idx="1183">
                        <c:v>0.10392304845413264</c:v>
                      </c:pt>
                      <c:pt idx="1184">
                        <c:v>0.10392304845413264</c:v>
                      </c:pt>
                      <c:pt idx="1185">
                        <c:v>0.10392304845413264</c:v>
                      </c:pt>
                      <c:pt idx="1186">
                        <c:v>0.10392304845413264</c:v>
                      </c:pt>
                      <c:pt idx="1187">
                        <c:v>0.10392304845413264</c:v>
                      </c:pt>
                      <c:pt idx="1188">
                        <c:v>0.10392304845413264</c:v>
                      </c:pt>
                      <c:pt idx="1189">
                        <c:v>0.10392304845413264</c:v>
                      </c:pt>
                      <c:pt idx="1190">
                        <c:v>0.10392304845413264</c:v>
                      </c:pt>
                      <c:pt idx="1191">
                        <c:v>0.10392304845413264</c:v>
                      </c:pt>
                      <c:pt idx="1192">
                        <c:v>0.10392304845413264</c:v>
                      </c:pt>
                      <c:pt idx="1193">
                        <c:v>0.10392304845413264</c:v>
                      </c:pt>
                      <c:pt idx="1194">
                        <c:v>0.10392304845413264</c:v>
                      </c:pt>
                      <c:pt idx="1195">
                        <c:v>0.10392304845413264</c:v>
                      </c:pt>
                      <c:pt idx="1196">
                        <c:v>0.10392304845413264</c:v>
                      </c:pt>
                      <c:pt idx="1197">
                        <c:v>0.10392304845413264</c:v>
                      </c:pt>
                      <c:pt idx="1198">
                        <c:v>0.10392304845413264</c:v>
                      </c:pt>
                      <c:pt idx="1199">
                        <c:v>0.10392304845413264</c:v>
                      </c:pt>
                      <c:pt idx="1200">
                        <c:v>0.10392304845413264</c:v>
                      </c:pt>
                      <c:pt idx="1201">
                        <c:v>0.10392304845413264</c:v>
                      </c:pt>
                      <c:pt idx="1202">
                        <c:v>0.10392304845413264</c:v>
                      </c:pt>
                      <c:pt idx="1203">
                        <c:v>0.10392304845413264</c:v>
                      </c:pt>
                      <c:pt idx="1204">
                        <c:v>0.10392304845413264</c:v>
                      </c:pt>
                      <c:pt idx="1205">
                        <c:v>0.10392304845413264</c:v>
                      </c:pt>
                      <c:pt idx="1206">
                        <c:v>0.10392304845413264</c:v>
                      </c:pt>
                      <c:pt idx="1207">
                        <c:v>0.10392304845413264</c:v>
                      </c:pt>
                      <c:pt idx="1208">
                        <c:v>0.10392304845413264</c:v>
                      </c:pt>
                      <c:pt idx="1209">
                        <c:v>0.10392304845413264</c:v>
                      </c:pt>
                      <c:pt idx="1210">
                        <c:v>0.10392304845413264</c:v>
                      </c:pt>
                      <c:pt idx="1211">
                        <c:v>0.10392304845413264</c:v>
                      </c:pt>
                      <c:pt idx="1212">
                        <c:v>0.10392304845413264</c:v>
                      </c:pt>
                      <c:pt idx="1213">
                        <c:v>0.10392304845413264</c:v>
                      </c:pt>
                      <c:pt idx="1214">
                        <c:v>0.10392304845413264</c:v>
                      </c:pt>
                      <c:pt idx="1215">
                        <c:v>0.10392304845413264</c:v>
                      </c:pt>
                      <c:pt idx="1216">
                        <c:v>0.10392304845413264</c:v>
                      </c:pt>
                      <c:pt idx="1217">
                        <c:v>0.10392304845413264</c:v>
                      </c:pt>
                      <c:pt idx="1218">
                        <c:v>0.10392304845413264</c:v>
                      </c:pt>
                      <c:pt idx="1219">
                        <c:v>0.10392304845413264</c:v>
                      </c:pt>
                      <c:pt idx="1220">
                        <c:v>0.10392304845413264</c:v>
                      </c:pt>
                      <c:pt idx="1221">
                        <c:v>0.10392304845413264</c:v>
                      </c:pt>
                      <c:pt idx="1222">
                        <c:v>0.10392304845413264</c:v>
                      </c:pt>
                      <c:pt idx="1223">
                        <c:v>0.10392304845413264</c:v>
                      </c:pt>
                      <c:pt idx="1224">
                        <c:v>0.10392304845413264</c:v>
                      </c:pt>
                      <c:pt idx="1225">
                        <c:v>0.10392304845413264</c:v>
                      </c:pt>
                      <c:pt idx="1226">
                        <c:v>0.10392304845413264</c:v>
                      </c:pt>
                      <c:pt idx="1227">
                        <c:v>0.10392304845413264</c:v>
                      </c:pt>
                      <c:pt idx="1228">
                        <c:v>0.10392304845413264</c:v>
                      </c:pt>
                      <c:pt idx="1229">
                        <c:v>0.10392304845413264</c:v>
                      </c:pt>
                      <c:pt idx="1230">
                        <c:v>0.10392304845413264</c:v>
                      </c:pt>
                      <c:pt idx="1231">
                        <c:v>0.10392304845413264</c:v>
                      </c:pt>
                      <c:pt idx="1232">
                        <c:v>0.10392304845413264</c:v>
                      </c:pt>
                      <c:pt idx="1233">
                        <c:v>0.10392304845413264</c:v>
                      </c:pt>
                      <c:pt idx="1234">
                        <c:v>0.10392304845413264</c:v>
                      </c:pt>
                      <c:pt idx="1235">
                        <c:v>0.10392304845413264</c:v>
                      </c:pt>
                      <c:pt idx="1236">
                        <c:v>0.10392304845413264</c:v>
                      </c:pt>
                      <c:pt idx="1237">
                        <c:v>0.10392304845413264</c:v>
                      </c:pt>
                      <c:pt idx="1238">
                        <c:v>0.10392304845413264</c:v>
                      </c:pt>
                      <c:pt idx="1239">
                        <c:v>0.10392304845413264</c:v>
                      </c:pt>
                      <c:pt idx="1240">
                        <c:v>0.10392304845413264</c:v>
                      </c:pt>
                      <c:pt idx="1241">
                        <c:v>0.10392304845413264</c:v>
                      </c:pt>
                      <c:pt idx="1242">
                        <c:v>0.10392304845413264</c:v>
                      </c:pt>
                      <c:pt idx="1243">
                        <c:v>0.10392304845413264</c:v>
                      </c:pt>
                      <c:pt idx="1244">
                        <c:v>0.10392304845413264</c:v>
                      </c:pt>
                      <c:pt idx="1245">
                        <c:v>0.10392304845413264</c:v>
                      </c:pt>
                      <c:pt idx="1246">
                        <c:v>0.10392304845413264</c:v>
                      </c:pt>
                      <c:pt idx="1248">
                        <c:v>0.11258330249197704</c:v>
                      </c:pt>
                      <c:pt idx="1249">
                        <c:v>0.11258330249197704</c:v>
                      </c:pt>
                      <c:pt idx="1250">
                        <c:v>0.11258330249197704</c:v>
                      </c:pt>
                      <c:pt idx="1251">
                        <c:v>0.11258330249197704</c:v>
                      </c:pt>
                      <c:pt idx="1252">
                        <c:v>0.11258330249197704</c:v>
                      </c:pt>
                      <c:pt idx="1253">
                        <c:v>0.11258330249197704</c:v>
                      </c:pt>
                      <c:pt idx="1254">
                        <c:v>0.11258330249197704</c:v>
                      </c:pt>
                      <c:pt idx="1255">
                        <c:v>0.11258330249197704</c:v>
                      </c:pt>
                      <c:pt idx="1256">
                        <c:v>0.11258330249197704</c:v>
                      </c:pt>
                      <c:pt idx="1257">
                        <c:v>0.11258330249197704</c:v>
                      </c:pt>
                      <c:pt idx="1258">
                        <c:v>0.11258330249197704</c:v>
                      </c:pt>
                      <c:pt idx="1259">
                        <c:v>0.11258330249197704</c:v>
                      </c:pt>
                      <c:pt idx="1260">
                        <c:v>0.11258330249197704</c:v>
                      </c:pt>
                      <c:pt idx="1261">
                        <c:v>0.11258330249197704</c:v>
                      </c:pt>
                      <c:pt idx="1262">
                        <c:v>0.11258330249197704</c:v>
                      </c:pt>
                      <c:pt idx="1263">
                        <c:v>0.11258330249197704</c:v>
                      </c:pt>
                      <c:pt idx="1264">
                        <c:v>0.11258330249197704</c:v>
                      </c:pt>
                      <c:pt idx="1265">
                        <c:v>0.11258330249197704</c:v>
                      </c:pt>
                      <c:pt idx="1266">
                        <c:v>0.11258330249197704</c:v>
                      </c:pt>
                      <c:pt idx="1267">
                        <c:v>0.11258330249197704</c:v>
                      </c:pt>
                      <c:pt idx="1268">
                        <c:v>0.11258330249197704</c:v>
                      </c:pt>
                      <c:pt idx="1269">
                        <c:v>0.11258330249197704</c:v>
                      </c:pt>
                      <c:pt idx="1270">
                        <c:v>0.11258330249197704</c:v>
                      </c:pt>
                      <c:pt idx="1271">
                        <c:v>0.11258330249197704</c:v>
                      </c:pt>
                      <c:pt idx="1272">
                        <c:v>0.11258330249197704</c:v>
                      </c:pt>
                      <c:pt idx="1273">
                        <c:v>0.11258330249197704</c:v>
                      </c:pt>
                      <c:pt idx="1274">
                        <c:v>0.11258330249197704</c:v>
                      </c:pt>
                      <c:pt idx="1275">
                        <c:v>0.11258330249197704</c:v>
                      </c:pt>
                      <c:pt idx="1276">
                        <c:v>0.11258330249197704</c:v>
                      </c:pt>
                      <c:pt idx="1277">
                        <c:v>0.11258330249197704</c:v>
                      </c:pt>
                      <c:pt idx="1278">
                        <c:v>0.11258330249197704</c:v>
                      </c:pt>
                      <c:pt idx="1279">
                        <c:v>0.11258330249197704</c:v>
                      </c:pt>
                      <c:pt idx="1280">
                        <c:v>0.11258330249197704</c:v>
                      </c:pt>
                      <c:pt idx="1281">
                        <c:v>0.11258330249197704</c:v>
                      </c:pt>
                      <c:pt idx="1282">
                        <c:v>0.11258330249197704</c:v>
                      </c:pt>
                      <c:pt idx="1283">
                        <c:v>0.11258330249197704</c:v>
                      </c:pt>
                      <c:pt idx="1284">
                        <c:v>0.11258330249197704</c:v>
                      </c:pt>
                      <c:pt idx="1285">
                        <c:v>0.11258330249197704</c:v>
                      </c:pt>
                      <c:pt idx="1286">
                        <c:v>0.11258330249197704</c:v>
                      </c:pt>
                      <c:pt idx="1287">
                        <c:v>0.11258330249197704</c:v>
                      </c:pt>
                      <c:pt idx="1288">
                        <c:v>0.11258330249197704</c:v>
                      </c:pt>
                      <c:pt idx="1289">
                        <c:v>0.11258330249197704</c:v>
                      </c:pt>
                      <c:pt idx="1290">
                        <c:v>0.11258330249197704</c:v>
                      </c:pt>
                      <c:pt idx="1291">
                        <c:v>0.11258330249197704</c:v>
                      </c:pt>
                      <c:pt idx="1292">
                        <c:v>0.11258330249197704</c:v>
                      </c:pt>
                      <c:pt idx="1293">
                        <c:v>0.11258330249197704</c:v>
                      </c:pt>
                      <c:pt idx="1294">
                        <c:v>0.11258330249197704</c:v>
                      </c:pt>
                      <c:pt idx="1295">
                        <c:v>0.11258330249197704</c:v>
                      </c:pt>
                      <c:pt idx="1296">
                        <c:v>0.11258330249197704</c:v>
                      </c:pt>
                      <c:pt idx="1297">
                        <c:v>0.11258330249197704</c:v>
                      </c:pt>
                      <c:pt idx="1298">
                        <c:v>0.11258330249197704</c:v>
                      </c:pt>
                      <c:pt idx="1299">
                        <c:v>0.11258330249197704</c:v>
                      </c:pt>
                      <c:pt idx="1300">
                        <c:v>0.11258330249197704</c:v>
                      </c:pt>
                      <c:pt idx="1301">
                        <c:v>0.11258330249197704</c:v>
                      </c:pt>
                      <c:pt idx="1302">
                        <c:v>0.11258330249197704</c:v>
                      </c:pt>
                      <c:pt idx="1303">
                        <c:v>0.11258330249197704</c:v>
                      </c:pt>
                      <c:pt idx="1304">
                        <c:v>0.11258330249197704</c:v>
                      </c:pt>
                      <c:pt idx="1305">
                        <c:v>0.11258330249197704</c:v>
                      </c:pt>
                      <c:pt idx="1306">
                        <c:v>0.11258330249197704</c:v>
                      </c:pt>
                      <c:pt idx="1307">
                        <c:v>0.11258330249197704</c:v>
                      </c:pt>
                      <c:pt idx="1308">
                        <c:v>0.11258330249197704</c:v>
                      </c:pt>
                      <c:pt idx="1309">
                        <c:v>0.11258330249197704</c:v>
                      </c:pt>
                      <c:pt idx="1310">
                        <c:v>0.11258330249197704</c:v>
                      </c:pt>
                      <c:pt idx="1311">
                        <c:v>0.11258330249197704</c:v>
                      </c:pt>
                      <c:pt idx="1312">
                        <c:v>0.11258330249197704</c:v>
                      </c:pt>
                      <c:pt idx="1313">
                        <c:v>0.11258330249197704</c:v>
                      </c:pt>
                      <c:pt idx="1314">
                        <c:v>0.11258330249197704</c:v>
                      </c:pt>
                      <c:pt idx="1315">
                        <c:v>0.11258330249197704</c:v>
                      </c:pt>
                      <c:pt idx="1316">
                        <c:v>0.11258330249197704</c:v>
                      </c:pt>
                      <c:pt idx="1317">
                        <c:v>0.11258330249197704</c:v>
                      </c:pt>
                      <c:pt idx="1318">
                        <c:v>0.11258330249197704</c:v>
                      </c:pt>
                      <c:pt idx="1319">
                        <c:v>0.11258330249197704</c:v>
                      </c:pt>
                      <c:pt idx="1320">
                        <c:v>0.11258330249197704</c:v>
                      </c:pt>
                      <c:pt idx="1321">
                        <c:v>0.11258330249197704</c:v>
                      </c:pt>
                      <c:pt idx="1322">
                        <c:v>0.11258330249197704</c:v>
                      </c:pt>
                      <c:pt idx="1323">
                        <c:v>0.11258330249197704</c:v>
                      </c:pt>
                      <c:pt idx="1324">
                        <c:v>0.11258330249197704</c:v>
                      </c:pt>
                      <c:pt idx="1325">
                        <c:v>0.11258330249197704</c:v>
                      </c:pt>
                      <c:pt idx="1326">
                        <c:v>0.11258330249197704</c:v>
                      </c:pt>
                      <c:pt idx="1327">
                        <c:v>0.11258330249197704</c:v>
                      </c:pt>
                      <c:pt idx="1328">
                        <c:v>0.11258330249197704</c:v>
                      </c:pt>
                      <c:pt idx="1329">
                        <c:v>0.11258330249197704</c:v>
                      </c:pt>
                      <c:pt idx="1330">
                        <c:v>0.11258330249197704</c:v>
                      </c:pt>
                      <c:pt idx="1331">
                        <c:v>0.11258330249197704</c:v>
                      </c:pt>
                      <c:pt idx="1332">
                        <c:v>0.11258330249197704</c:v>
                      </c:pt>
                      <c:pt idx="1333">
                        <c:v>0.11258330249197704</c:v>
                      </c:pt>
                      <c:pt idx="1334">
                        <c:v>0.11258330249197704</c:v>
                      </c:pt>
                      <c:pt idx="1335">
                        <c:v>0.11258330249197704</c:v>
                      </c:pt>
                      <c:pt idx="1337">
                        <c:v>0.12124355652982141</c:v>
                      </c:pt>
                      <c:pt idx="1338">
                        <c:v>0.12124355652982141</c:v>
                      </c:pt>
                      <c:pt idx="1339">
                        <c:v>0.12124355652982141</c:v>
                      </c:pt>
                      <c:pt idx="1340">
                        <c:v>0.12124355652982141</c:v>
                      </c:pt>
                      <c:pt idx="1341">
                        <c:v>0.12124355652982141</c:v>
                      </c:pt>
                      <c:pt idx="1342">
                        <c:v>0.12124355652982141</c:v>
                      </c:pt>
                      <c:pt idx="1343">
                        <c:v>0.12124355652982141</c:v>
                      </c:pt>
                      <c:pt idx="1344">
                        <c:v>0.12124355652982141</c:v>
                      </c:pt>
                      <c:pt idx="1345">
                        <c:v>0.12124355652982141</c:v>
                      </c:pt>
                      <c:pt idx="1346">
                        <c:v>0.12124355652982141</c:v>
                      </c:pt>
                      <c:pt idx="1347">
                        <c:v>0.12124355652982141</c:v>
                      </c:pt>
                      <c:pt idx="1348">
                        <c:v>0.12124355652982141</c:v>
                      </c:pt>
                      <c:pt idx="1349">
                        <c:v>0.12124355652982141</c:v>
                      </c:pt>
                      <c:pt idx="1350">
                        <c:v>0.12124355652982141</c:v>
                      </c:pt>
                      <c:pt idx="1351">
                        <c:v>0.12124355652982141</c:v>
                      </c:pt>
                      <c:pt idx="1352">
                        <c:v>0.12124355652982141</c:v>
                      </c:pt>
                      <c:pt idx="1353">
                        <c:v>0.12124355652982141</c:v>
                      </c:pt>
                      <c:pt idx="1354">
                        <c:v>0.12124355652982141</c:v>
                      </c:pt>
                      <c:pt idx="1355">
                        <c:v>0.12124355652982141</c:v>
                      </c:pt>
                      <c:pt idx="1356">
                        <c:v>0.12124355652982141</c:v>
                      </c:pt>
                      <c:pt idx="1357">
                        <c:v>0.12124355652982141</c:v>
                      </c:pt>
                      <c:pt idx="1358">
                        <c:v>0.12124355652982141</c:v>
                      </c:pt>
                      <c:pt idx="1359">
                        <c:v>0.12124355652982141</c:v>
                      </c:pt>
                      <c:pt idx="1360">
                        <c:v>0.12124355652982141</c:v>
                      </c:pt>
                      <c:pt idx="1361">
                        <c:v>0.12124355652982141</c:v>
                      </c:pt>
                      <c:pt idx="1362">
                        <c:v>0.12124355652982141</c:v>
                      </c:pt>
                      <c:pt idx="1363">
                        <c:v>0.12124355652982141</c:v>
                      </c:pt>
                      <c:pt idx="1364">
                        <c:v>0.12124355652982141</c:v>
                      </c:pt>
                      <c:pt idx="1365">
                        <c:v>0.12124355652982141</c:v>
                      </c:pt>
                      <c:pt idx="1366">
                        <c:v>0.12124355652982141</c:v>
                      </c:pt>
                      <c:pt idx="1367">
                        <c:v>0.12124355652982141</c:v>
                      </c:pt>
                      <c:pt idx="1368">
                        <c:v>0.12124355652982141</c:v>
                      </c:pt>
                      <c:pt idx="1369">
                        <c:v>0.12124355652982141</c:v>
                      </c:pt>
                      <c:pt idx="1370">
                        <c:v>0.12124355652982141</c:v>
                      </c:pt>
                      <c:pt idx="1371">
                        <c:v>0.12124355652982141</c:v>
                      </c:pt>
                      <c:pt idx="1372">
                        <c:v>0.12124355652982141</c:v>
                      </c:pt>
                      <c:pt idx="1373">
                        <c:v>0.12124355652982141</c:v>
                      </c:pt>
                      <c:pt idx="1374">
                        <c:v>0.12124355652982141</c:v>
                      </c:pt>
                      <c:pt idx="1375">
                        <c:v>0.12124355652982141</c:v>
                      </c:pt>
                      <c:pt idx="1376">
                        <c:v>0.12124355652982141</c:v>
                      </c:pt>
                      <c:pt idx="1377">
                        <c:v>0.12124355652982141</c:v>
                      </c:pt>
                      <c:pt idx="1378">
                        <c:v>0.12124355652982141</c:v>
                      </c:pt>
                      <c:pt idx="1379">
                        <c:v>0.12124355652982141</c:v>
                      </c:pt>
                      <c:pt idx="1380">
                        <c:v>0.12124355652982141</c:v>
                      </c:pt>
                      <c:pt idx="1381">
                        <c:v>0.12124355652982141</c:v>
                      </c:pt>
                      <c:pt idx="1382">
                        <c:v>0.12124355652982141</c:v>
                      </c:pt>
                      <c:pt idx="1383">
                        <c:v>0.12124355652982141</c:v>
                      </c:pt>
                      <c:pt idx="1384">
                        <c:v>0.12124355652982141</c:v>
                      </c:pt>
                      <c:pt idx="1385">
                        <c:v>0.12124355652982141</c:v>
                      </c:pt>
                      <c:pt idx="1386">
                        <c:v>0.12124355652982141</c:v>
                      </c:pt>
                      <c:pt idx="1387">
                        <c:v>0.12124355652982141</c:v>
                      </c:pt>
                      <c:pt idx="1388">
                        <c:v>0.12124355652982141</c:v>
                      </c:pt>
                      <c:pt idx="1389">
                        <c:v>0.12124355652982141</c:v>
                      </c:pt>
                      <c:pt idx="1390">
                        <c:v>0.12124355652982141</c:v>
                      </c:pt>
                      <c:pt idx="1391">
                        <c:v>0.12124355652982141</c:v>
                      </c:pt>
                      <c:pt idx="1392">
                        <c:v>0.12124355652982141</c:v>
                      </c:pt>
                      <c:pt idx="1393">
                        <c:v>0.12124355652982141</c:v>
                      </c:pt>
                      <c:pt idx="1394">
                        <c:v>0.12124355652982141</c:v>
                      </c:pt>
                      <c:pt idx="1395">
                        <c:v>0.12124355652982141</c:v>
                      </c:pt>
                      <c:pt idx="1396">
                        <c:v>0.12124355652982141</c:v>
                      </c:pt>
                      <c:pt idx="1397">
                        <c:v>0.12124355652982141</c:v>
                      </c:pt>
                      <c:pt idx="1398">
                        <c:v>0.12124355652982141</c:v>
                      </c:pt>
                      <c:pt idx="1399">
                        <c:v>0.12124355652982141</c:v>
                      </c:pt>
                      <c:pt idx="1400">
                        <c:v>0.12124355652982141</c:v>
                      </c:pt>
                      <c:pt idx="1401">
                        <c:v>0.12124355652982141</c:v>
                      </c:pt>
                      <c:pt idx="1402">
                        <c:v>0.12124355652982141</c:v>
                      </c:pt>
                      <c:pt idx="1403">
                        <c:v>0.12124355652982141</c:v>
                      </c:pt>
                      <c:pt idx="1404">
                        <c:v>0.12124355652982141</c:v>
                      </c:pt>
                      <c:pt idx="1405">
                        <c:v>0.12124355652982141</c:v>
                      </c:pt>
                      <c:pt idx="1406">
                        <c:v>0.12124355652982141</c:v>
                      </c:pt>
                      <c:pt idx="1407">
                        <c:v>0.12124355652982141</c:v>
                      </c:pt>
                      <c:pt idx="1408">
                        <c:v>0.12124355652982141</c:v>
                      </c:pt>
                      <c:pt idx="1409">
                        <c:v>0.12124355652982141</c:v>
                      </c:pt>
                      <c:pt idx="1410">
                        <c:v>0.12124355652982141</c:v>
                      </c:pt>
                      <c:pt idx="1411">
                        <c:v>0.12124355652982141</c:v>
                      </c:pt>
                      <c:pt idx="1412">
                        <c:v>0.12124355652982141</c:v>
                      </c:pt>
                      <c:pt idx="1413">
                        <c:v>0.12124355652982141</c:v>
                      </c:pt>
                      <c:pt idx="1414">
                        <c:v>0.12124355652982141</c:v>
                      </c:pt>
                      <c:pt idx="1415">
                        <c:v>0.12124355652982141</c:v>
                      </c:pt>
                      <c:pt idx="1416">
                        <c:v>0.12124355652982141</c:v>
                      </c:pt>
                      <c:pt idx="1417">
                        <c:v>0.12124355652982141</c:v>
                      </c:pt>
                      <c:pt idx="1418">
                        <c:v>0.12124355652982141</c:v>
                      </c:pt>
                      <c:pt idx="1419">
                        <c:v>0.12124355652982141</c:v>
                      </c:pt>
                      <c:pt idx="1420">
                        <c:v>0.12124355652982141</c:v>
                      </c:pt>
                      <c:pt idx="1421">
                        <c:v>0.12124355652982141</c:v>
                      </c:pt>
                      <c:pt idx="1422">
                        <c:v>0.12124355652982141</c:v>
                      </c:pt>
                      <c:pt idx="1423">
                        <c:v>0.12124355652982141</c:v>
                      </c:pt>
                      <c:pt idx="1425">
                        <c:v>0.12990381056766581</c:v>
                      </c:pt>
                      <c:pt idx="1426">
                        <c:v>0.12990381056766581</c:v>
                      </c:pt>
                      <c:pt idx="1427">
                        <c:v>0.12990381056766581</c:v>
                      </c:pt>
                      <c:pt idx="1428">
                        <c:v>0.12990381056766581</c:v>
                      </c:pt>
                      <c:pt idx="1429">
                        <c:v>0.12990381056766581</c:v>
                      </c:pt>
                      <c:pt idx="1430">
                        <c:v>0.12990381056766581</c:v>
                      </c:pt>
                      <c:pt idx="1431">
                        <c:v>0.12990381056766581</c:v>
                      </c:pt>
                      <c:pt idx="1432">
                        <c:v>0.12990381056766581</c:v>
                      </c:pt>
                      <c:pt idx="1433">
                        <c:v>0.12990381056766581</c:v>
                      </c:pt>
                      <c:pt idx="1434">
                        <c:v>0.12990381056766581</c:v>
                      </c:pt>
                      <c:pt idx="1435">
                        <c:v>0.12990381056766581</c:v>
                      </c:pt>
                      <c:pt idx="1436">
                        <c:v>0.12990381056766581</c:v>
                      </c:pt>
                      <c:pt idx="1437">
                        <c:v>0.12990381056766581</c:v>
                      </c:pt>
                      <c:pt idx="1438">
                        <c:v>0.12990381056766581</c:v>
                      </c:pt>
                      <c:pt idx="1439">
                        <c:v>0.12990381056766581</c:v>
                      </c:pt>
                      <c:pt idx="1440">
                        <c:v>0.12990381056766581</c:v>
                      </c:pt>
                      <c:pt idx="1441">
                        <c:v>0.12990381056766581</c:v>
                      </c:pt>
                      <c:pt idx="1442">
                        <c:v>0.12990381056766581</c:v>
                      </c:pt>
                      <c:pt idx="1443">
                        <c:v>0.12990381056766581</c:v>
                      </c:pt>
                      <c:pt idx="1444">
                        <c:v>0.12990381056766581</c:v>
                      </c:pt>
                      <c:pt idx="1445">
                        <c:v>0.12990381056766581</c:v>
                      </c:pt>
                      <c:pt idx="1446">
                        <c:v>0.12990381056766581</c:v>
                      </c:pt>
                      <c:pt idx="1447">
                        <c:v>0.12990381056766581</c:v>
                      </c:pt>
                      <c:pt idx="1448">
                        <c:v>0.12990381056766581</c:v>
                      </c:pt>
                      <c:pt idx="1449">
                        <c:v>0.12990381056766581</c:v>
                      </c:pt>
                      <c:pt idx="1450">
                        <c:v>0.12990381056766581</c:v>
                      </c:pt>
                      <c:pt idx="1451">
                        <c:v>0.12990381056766581</c:v>
                      </c:pt>
                      <c:pt idx="1452">
                        <c:v>0.12990381056766581</c:v>
                      </c:pt>
                      <c:pt idx="1453">
                        <c:v>0.12990381056766581</c:v>
                      </c:pt>
                      <c:pt idx="1454">
                        <c:v>0.12990381056766581</c:v>
                      </c:pt>
                      <c:pt idx="1455">
                        <c:v>0.12990381056766581</c:v>
                      </c:pt>
                      <c:pt idx="1456">
                        <c:v>0.12990381056766581</c:v>
                      </c:pt>
                      <c:pt idx="1457">
                        <c:v>0.12990381056766581</c:v>
                      </c:pt>
                      <c:pt idx="1458">
                        <c:v>0.12990381056766581</c:v>
                      </c:pt>
                      <c:pt idx="1459">
                        <c:v>0.12990381056766581</c:v>
                      </c:pt>
                      <c:pt idx="1460">
                        <c:v>0.12990381056766581</c:v>
                      </c:pt>
                      <c:pt idx="1461">
                        <c:v>0.12990381056766581</c:v>
                      </c:pt>
                      <c:pt idx="1462">
                        <c:v>0.12990381056766581</c:v>
                      </c:pt>
                      <c:pt idx="1463">
                        <c:v>0.12990381056766581</c:v>
                      </c:pt>
                      <c:pt idx="1464">
                        <c:v>0.12990381056766581</c:v>
                      </c:pt>
                      <c:pt idx="1465">
                        <c:v>0.12990381056766581</c:v>
                      </c:pt>
                      <c:pt idx="1466">
                        <c:v>0.12990381056766581</c:v>
                      </c:pt>
                      <c:pt idx="1467">
                        <c:v>0.12990381056766581</c:v>
                      </c:pt>
                      <c:pt idx="1468">
                        <c:v>0.12990381056766581</c:v>
                      </c:pt>
                      <c:pt idx="1469">
                        <c:v>0.12990381056766581</c:v>
                      </c:pt>
                      <c:pt idx="1470">
                        <c:v>0.12990381056766581</c:v>
                      </c:pt>
                      <c:pt idx="1471">
                        <c:v>0.12990381056766581</c:v>
                      </c:pt>
                      <c:pt idx="1472">
                        <c:v>0.12990381056766581</c:v>
                      </c:pt>
                      <c:pt idx="1473">
                        <c:v>0.12990381056766581</c:v>
                      </c:pt>
                      <c:pt idx="1474">
                        <c:v>0.12990381056766581</c:v>
                      </c:pt>
                      <c:pt idx="1475">
                        <c:v>0.12990381056766581</c:v>
                      </c:pt>
                      <c:pt idx="1476">
                        <c:v>0.12990381056766581</c:v>
                      </c:pt>
                      <c:pt idx="1477">
                        <c:v>0.12990381056766581</c:v>
                      </c:pt>
                      <c:pt idx="1478">
                        <c:v>0.12990381056766581</c:v>
                      </c:pt>
                      <c:pt idx="1479">
                        <c:v>0.12990381056766581</c:v>
                      </c:pt>
                      <c:pt idx="1480">
                        <c:v>0.12990381056766581</c:v>
                      </c:pt>
                      <c:pt idx="1481">
                        <c:v>0.12990381056766581</c:v>
                      </c:pt>
                      <c:pt idx="1482">
                        <c:v>0.12990381056766581</c:v>
                      </c:pt>
                      <c:pt idx="1483">
                        <c:v>0.12990381056766581</c:v>
                      </c:pt>
                      <c:pt idx="1484">
                        <c:v>0.12990381056766581</c:v>
                      </c:pt>
                      <c:pt idx="1485">
                        <c:v>0.12990381056766581</c:v>
                      </c:pt>
                      <c:pt idx="1486">
                        <c:v>0.12990381056766581</c:v>
                      </c:pt>
                      <c:pt idx="1487">
                        <c:v>0.12990381056766581</c:v>
                      </c:pt>
                      <c:pt idx="1488">
                        <c:v>0.12990381056766581</c:v>
                      </c:pt>
                      <c:pt idx="1489">
                        <c:v>0.12990381056766581</c:v>
                      </c:pt>
                      <c:pt idx="1490">
                        <c:v>0.12990381056766581</c:v>
                      </c:pt>
                      <c:pt idx="1491">
                        <c:v>0.12990381056766581</c:v>
                      </c:pt>
                      <c:pt idx="1492">
                        <c:v>0.12990381056766581</c:v>
                      </c:pt>
                      <c:pt idx="1493">
                        <c:v>0.12990381056766581</c:v>
                      </c:pt>
                      <c:pt idx="1494">
                        <c:v>0.12990381056766581</c:v>
                      </c:pt>
                      <c:pt idx="1495">
                        <c:v>0.12990381056766581</c:v>
                      </c:pt>
                      <c:pt idx="1496">
                        <c:v>0.12990381056766581</c:v>
                      </c:pt>
                      <c:pt idx="1497">
                        <c:v>0.12990381056766581</c:v>
                      </c:pt>
                      <c:pt idx="1498">
                        <c:v>0.12990381056766581</c:v>
                      </c:pt>
                      <c:pt idx="1499">
                        <c:v>0.12990381056766581</c:v>
                      </c:pt>
                      <c:pt idx="1500">
                        <c:v>0.12990381056766581</c:v>
                      </c:pt>
                      <c:pt idx="1501">
                        <c:v>0.12990381056766581</c:v>
                      </c:pt>
                      <c:pt idx="1502">
                        <c:v>0.12990381056766581</c:v>
                      </c:pt>
                      <c:pt idx="1503">
                        <c:v>0.12990381056766581</c:v>
                      </c:pt>
                      <c:pt idx="1504">
                        <c:v>0.12990381056766581</c:v>
                      </c:pt>
                      <c:pt idx="1505">
                        <c:v>0.12990381056766581</c:v>
                      </c:pt>
                      <c:pt idx="1506">
                        <c:v>0.12990381056766581</c:v>
                      </c:pt>
                      <c:pt idx="1507">
                        <c:v>0.12990381056766581</c:v>
                      </c:pt>
                      <c:pt idx="1508">
                        <c:v>0.12990381056766581</c:v>
                      </c:pt>
                      <c:pt idx="1509">
                        <c:v>0.12990381056766581</c:v>
                      </c:pt>
                      <c:pt idx="1510">
                        <c:v>0.12990381056766581</c:v>
                      </c:pt>
                      <c:pt idx="1512">
                        <c:v>0.13856406460551018</c:v>
                      </c:pt>
                      <c:pt idx="1513">
                        <c:v>0.13856406460551018</c:v>
                      </c:pt>
                      <c:pt idx="1514">
                        <c:v>0.13856406460551018</c:v>
                      </c:pt>
                      <c:pt idx="1515">
                        <c:v>0.13856406460551018</c:v>
                      </c:pt>
                      <c:pt idx="1516">
                        <c:v>0.13856406460551018</c:v>
                      </c:pt>
                      <c:pt idx="1517">
                        <c:v>0.13856406460551018</c:v>
                      </c:pt>
                      <c:pt idx="1518">
                        <c:v>0.13856406460551018</c:v>
                      </c:pt>
                      <c:pt idx="1519">
                        <c:v>0.13856406460551018</c:v>
                      </c:pt>
                      <c:pt idx="1520">
                        <c:v>0.13856406460551018</c:v>
                      </c:pt>
                      <c:pt idx="1521">
                        <c:v>0.13856406460551018</c:v>
                      </c:pt>
                      <c:pt idx="1522">
                        <c:v>0.13856406460551018</c:v>
                      </c:pt>
                      <c:pt idx="1523">
                        <c:v>0.13856406460551018</c:v>
                      </c:pt>
                      <c:pt idx="1524">
                        <c:v>0.13856406460551018</c:v>
                      </c:pt>
                      <c:pt idx="1525">
                        <c:v>0.13856406460551018</c:v>
                      </c:pt>
                      <c:pt idx="1526">
                        <c:v>0.13856406460551018</c:v>
                      </c:pt>
                      <c:pt idx="1527">
                        <c:v>0.13856406460551018</c:v>
                      </c:pt>
                      <c:pt idx="1528">
                        <c:v>0.13856406460551018</c:v>
                      </c:pt>
                      <c:pt idx="1529">
                        <c:v>0.13856406460551018</c:v>
                      </c:pt>
                      <c:pt idx="1530">
                        <c:v>0.13856406460551018</c:v>
                      </c:pt>
                      <c:pt idx="1531">
                        <c:v>0.13856406460551018</c:v>
                      </c:pt>
                      <c:pt idx="1532">
                        <c:v>0.13856406460551018</c:v>
                      </c:pt>
                      <c:pt idx="1533">
                        <c:v>0.13856406460551018</c:v>
                      </c:pt>
                      <c:pt idx="1534">
                        <c:v>0.13856406460551018</c:v>
                      </c:pt>
                      <c:pt idx="1535">
                        <c:v>0.13856406460551018</c:v>
                      </c:pt>
                      <c:pt idx="1536">
                        <c:v>0.13856406460551018</c:v>
                      </c:pt>
                      <c:pt idx="1537">
                        <c:v>0.13856406460551018</c:v>
                      </c:pt>
                      <c:pt idx="1538">
                        <c:v>0.13856406460551018</c:v>
                      </c:pt>
                      <c:pt idx="1539">
                        <c:v>0.13856406460551018</c:v>
                      </c:pt>
                      <c:pt idx="1540">
                        <c:v>0.13856406460551018</c:v>
                      </c:pt>
                      <c:pt idx="1541">
                        <c:v>0.13856406460551018</c:v>
                      </c:pt>
                      <c:pt idx="1542">
                        <c:v>0.13856406460551018</c:v>
                      </c:pt>
                      <c:pt idx="1543">
                        <c:v>0.13856406460551018</c:v>
                      </c:pt>
                      <c:pt idx="1544">
                        <c:v>0.13856406460551018</c:v>
                      </c:pt>
                      <c:pt idx="1545">
                        <c:v>0.13856406460551018</c:v>
                      </c:pt>
                      <c:pt idx="1546">
                        <c:v>0.13856406460551018</c:v>
                      </c:pt>
                      <c:pt idx="1547">
                        <c:v>0.13856406460551018</c:v>
                      </c:pt>
                      <c:pt idx="1548">
                        <c:v>0.13856406460551018</c:v>
                      </c:pt>
                      <c:pt idx="1549">
                        <c:v>0.13856406460551018</c:v>
                      </c:pt>
                      <c:pt idx="1550">
                        <c:v>0.13856406460551018</c:v>
                      </c:pt>
                      <c:pt idx="1551">
                        <c:v>0.13856406460551018</c:v>
                      </c:pt>
                      <c:pt idx="1552">
                        <c:v>0.13856406460551018</c:v>
                      </c:pt>
                      <c:pt idx="1553">
                        <c:v>0.13856406460551018</c:v>
                      </c:pt>
                      <c:pt idx="1554">
                        <c:v>0.13856406460551018</c:v>
                      </c:pt>
                      <c:pt idx="1555">
                        <c:v>0.13856406460551018</c:v>
                      </c:pt>
                      <c:pt idx="1556">
                        <c:v>0.13856406460551018</c:v>
                      </c:pt>
                      <c:pt idx="1557">
                        <c:v>0.13856406460551018</c:v>
                      </c:pt>
                      <c:pt idx="1558">
                        <c:v>0.13856406460551018</c:v>
                      </c:pt>
                      <c:pt idx="1559">
                        <c:v>0.13856406460551018</c:v>
                      </c:pt>
                      <c:pt idx="1560">
                        <c:v>0.13856406460551018</c:v>
                      </c:pt>
                      <c:pt idx="1561">
                        <c:v>0.13856406460551018</c:v>
                      </c:pt>
                      <c:pt idx="1562">
                        <c:v>0.13856406460551018</c:v>
                      </c:pt>
                      <c:pt idx="1563">
                        <c:v>0.13856406460551018</c:v>
                      </c:pt>
                      <c:pt idx="1564">
                        <c:v>0.13856406460551018</c:v>
                      </c:pt>
                      <c:pt idx="1565">
                        <c:v>0.13856406460551018</c:v>
                      </c:pt>
                      <c:pt idx="1566">
                        <c:v>0.13856406460551018</c:v>
                      </c:pt>
                      <c:pt idx="1567">
                        <c:v>0.13856406460551018</c:v>
                      </c:pt>
                      <c:pt idx="1568">
                        <c:v>0.13856406460551018</c:v>
                      </c:pt>
                      <c:pt idx="1569">
                        <c:v>0.13856406460551018</c:v>
                      </c:pt>
                      <c:pt idx="1570">
                        <c:v>0.13856406460551018</c:v>
                      </c:pt>
                      <c:pt idx="1571">
                        <c:v>0.13856406460551018</c:v>
                      </c:pt>
                      <c:pt idx="1572">
                        <c:v>0.13856406460551018</c:v>
                      </c:pt>
                      <c:pt idx="1573">
                        <c:v>0.13856406460551018</c:v>
                      </c:pt>
                      <c:pt idx="1574">
                        <c:v>0.13856406460551018</c:v>
                      </c:pt>
                      <c:pt idx="1575">
                        <c:v>0.13856406460551018</c:v>
                      </c:pt>
                      <c:pt idx="1576">
                        <c:v>0.13856406460551018</c:v>
                      </c:pt>
                      <c:pt idx="1577">
                        <c:v>0.13856406460551018</c:v>
                      </c:pt>
                      <c:pt idx="1578">
                        <c:v>0.13856406460551018</c:v>
                      </c:pt>
                      <c:pt idx="1579">
                        <c:v>0.13856406460551018</c:v>
                      </c:pt>
                      <c:pt idx="1580">
                        <c:v>0.13856406460551018</c:v>
                      </c:pt>
                      <c:pt idx="1581">
                        <c:v>0.13856406460551018</c:v>
                      </c:pt>
                      <c:pt idx="1582">
                        <c:v>0.13856406460551018</c:v>
                      </c:pt>
                      <c:pt idx="1583">
                        <c:v>0.13856406460551018</c:v>
                      </c:pt>
                      <c:pt idx="1584">
                        <c:v>0.13856406460551018</c:v>
                      </c:pt>
                      <c:pt idx="1585">
                        <c:v>0.13856406460551018</c:v>
                      </c:pt>
                      <c:pt idx="1586">
                        <c:v>0.13856406460551018</c:v>
                      </c:pt>
                      <c:pt idx="1587">
                        <c:v>0.13856406460551018</c:v>
                      </c:pt>
                      <c:pt idx="1588">
                        <c:v>0.13856406460551018</c:v>
                      </c:pt>
                      <c:pt idx="1589">
                        <c:v>0.13856406460551018</c:v>
                      </c:pt>
                      <c:pt idx="1590">
                        <c:v>0.13856406460551018</c:v>
                      </c:pt>
                      <c:pt idx="1591">
                        <c:v>0.13856406460551018</c:v>
                      </c:pt>
                      <c:pt idx="1592">
                        <c:v>0.13856406460551018</c:v>
                      </c:pt>
                      <c:pt idx="1593">
                        <c:v>0.13856406460551018</c:v>
                      </c:pt>
                      <c:pt idx="1594">
                        <c:v>0.13856406460551018</c:v>
                      </c:pt>
                      <c:pt idx="1595">
                        <c:v>0.13856406460551018</c:v>
                      </c:pt>
                      <c:pt idx="1596">
                        <c:v>0.13856406460551018</c:v>
                      </c:pt>
                      <c:pt idx="1598">
                        <c:v>0.14722431864335458</c:v>
                      </c:pt>
                      <c:pt idx="1599">
                        <c:v>0.14722431864335458</c:v>
                      </c:pt>
                      <c:pt idx="1600">
                        <c:v>0.14722431864335458</c:v>
                      </c:pt>
                      <c:pt idx="1601">
                        <c:v>0.14722431864335458</c:v>
                      </c:pt>
                      <c:pt idx="1602">
                        <c:v>0.14722431864335458</c:v>
                      </c:pt>
                      <c:pt idx="1603">
                        <c:v>0.14722431864335458</c:v>
                      </c:pt>
                      <c:pt idx="1604">
                        <c:v>0.14722431864335458</c:v>
                      </c:pt>
                      <c:pt idx="1605">
                        <c:v>0.14722431864335458</c:v>
                      </c:pt>
                      <c:pt idx="1606">
                        <c:v>0.14722431864335458</c:v>
                      </c:pt>
                      <c:pt idx="1607">
                        <c:v>0.14722431864335458</c:v>
                      </c:pt>
                      <c:pt idx="1608">
                        <c:v>0.14722431864335458</c:v>
                      </c:pt>
                      <c:pt idx="1609">
                        <c:v>0.14722431864335458</c:v>
                      </c:pt>
                      <c:pt idx="1610">
                        <c:v>0.14722431864335458</c:v>
                      </c:pt>
                      <c:pt idx="1611">
                        <c:v>0.14722431864335458</c:v>
                      </c:pt>
                      <c:pt idx="1612">
                        <c:v>0.14722431864335458</c:v>
                      </c:pt>
                      <c:pt idx="1613">
                        <c:v>0.14722431864335458</c:v>
                      </c:pt>
                      <c:pt idx="1614">
                        <c:v>0.14722431864335458</c:v>
                      </c:pt>
                      <c:pt idx="1615">
                        <c:v>0.14722431864335458</c:v>
                      </c:pt>
                      <c:pt idx="1616">
                        <c:v>0.14722431864335458</c:v>
                      </c:pt>
                      <c:pt idx="1617">
                        <c:v>0.14722431864335458</c:v>
                      </c:pt>
                      <c:pt idx="1618">
                        <c:v>0.14722431864335458</c:v>
                      </c:pt>
                      <c:pt idx="1619">
                        <c:v>0.14722431864335458</c:v>
                      </c:pt>
                      <c:pt idx="1620">
                        <c:v>0.14722431864335458</c:v>
                      </c:pt>
                      <c:pt idx="1621">
                        <c:v>0.14722431864335458</c:v>
                      </c:pt>
                      <c:pt idx="1622">
                        <c:v>0.14722431864335458</c:v>
                      </c:pt>
                      <c:pt idx="1623">
                        <c:v>0.14722431864335458</c:v>
                      </c:pt>
                      <c:pt idx="1624">
                        <c:v>0.14722431864335458</c:v>
                      </c:pt>
                      <c:pt idx="1625">
                        <c:v>0.14722431864335458</c:v>
                      </c:pt>
                      <c:pt idx="1626">
                        <c:v>0.14722431864335458</c:v>
                      </c:pt>
                      <c:pt idx="1627">
                        <c:v>0.14722431864335458</c:v>
                      </c:pt>
                      <c:pt idx="1628">
                        <c:v>0.14722431864335458</c:v>
                      </c:pt>
                      <c:pt idx="1629">
                        <c:v>0.14722431864335458</c:v>
                      </c:pt>
                      <c:pt idx="1630">
                        <c:v>0.14722431864335458</c:v>
                      </c:pt>
                      <c:pt idx="1631">
                        <c:v>0.14722431864335458</c:v>
                      </c:pt>
                      <c:pt idx="1632">
                        <c:v>0.14722431864335458</c:v>
                      </c:pt>
                      <c:pt idx="1633">
                        <c:v>0.14722431864335458</c:v>
                      </c:pt>
                      <c:pt idx="1634">
                        <c:v>0.14722431864335458</c:v>
                      </c:pt>
                      <c:pt idx="1635">
                        <c:v>0.14722431864335458</c:v>
                      </c:pt>
                      <c:pt idx="1636">
                        <c:v>0.14722431864335458</c:v>
                      </c:pt>
                      <c:pt idx="1637">
                        <c:v>0.14722431864335458</c:v>
                      </c:pt>
                      <c:pt idx="1638">
                        <c:v>0.14722431864335458</c:v>
                      </c:pt>
                      <c:pt idx="1639">
                        <c:v>0.14722431864335458</c:v>
                      </c:pt>
                      <c:pt idx="1640">
                        <c:v>0.14722431864335458</c:v>
                      </c:pt>
                      <c:pt idx="1641">
                        <c:v>0.14722431864335458</c:v>
                      </c:pt>
                      <c:pt idx="1642">
                        <c:v>0.14722431864335458</c:v>
                      </c:pt>
                      <c:pt idx="1643">
                        <c:v>0.14722431864335458</c:v>
                      </c:pt>
                      <c:pt idx="1644">
                        <c:v>0.14722431864335458</c:v>
                      </c:pt>
                      <c:pt idx="1645">
                        <c:v>0.14722431864335458</c:v>
                      </c:pt>
                      <c:pt idx="1646">
                        <c:v>0.14722431864335458</c:v>
                      </c:pt>
                      <c:pt idx="1647">
                        <c:v>0.14722431864335458</c:v>
                      </c:pt>
                      <c:pt idx="1648">
                        <c:v>0.14722431864335458</c:v>
                      </c:pt>
                      <c:pt idx="1649">
                        <c:v>0.14722431864335458</c:v>
                      </c:pt>
                      <c:pt idx="1650">
                        <c:v>0.14722431864335458</c:v>
                      </c:pt>
                      <c:pt idx="1651">
                        <c:v>0.14722431864335458</c:v>
                      </c:pt>
                      <c:pt idx="1652">
                        <c:v>0.14722431864335458</c:v>
                      </c:pt>
                      <c:pt idx="1653">
                        <c:v>0.14722431864335458</c:v>
                      </c:pt>
                      <c:pt idx="1654">
                        <c:v>0.14722431864335458</c:v>
                      </c:pt>
                      <c:pt idx="1655">
                        <c:v>0.14722431864335458</c:v>
                      </c:pt>
                      <c:pt idx="1656">
                        <c:v>0.14722431864335458</c:v>
                      </c:pt>
                      <c:pt idx="1657">
                        <c:v>0.14722431864335458</c:v>
                      </c:pt>
                      <c:pt idx="1658">
                        <c:v>0.14722431864335458</c:v>
                      </c:pt>
                      <c:pt idx="1659">
                        <c:v>0.14722431864335458</c:v>
                      </c:pt>
                      <c:pt idx="1660">
                        <c:v>0.14722431864335458</c:v>
                      </c:pt>
                      <c:pt idx="1661">
                        <c:v>0.14722431864335458</c:v>
                      </c:pt>
                      <c:pt idx="1662">
                        <c:v>0.14722431864335458</c:v>
                      </c:pt>
                      <c:pt idx="1663">
                        <c:v>0.14722431864335458</c:v>
                      </c:pt>
                      <c:pt idx="1664">
                        <c:v>0.14722431864335458</c:v>
                      </c:pt>
                      <c:pt idx="1665">
                        <c:v>0.14722431864335458</c:v>
                      </c:pt>
                      <c:pt idx="1666">
                        <c:v>0.14722431864335458</c:v>
                      </c:pt>
                      <c:pt idx="1667">
                        <c:v>0.14722431864335458</c:v>
                      </c:pt>
                      <c:pt idx="1668">
                        <c:v>0.14722431864335458</c:v>
                      </c:pt>
                      <c:pt idx="1669">
                        <c:v>0.14722431864335458</c:v>
                      </c:pt>
                      <c:pt idx="1670">
                        <c:v>0.14722431864335458</c:v>
                      </c:pt>
                      <c:pt idx="1671">
                        <c:v>0.14722431864335458</c:v>
                      </c:pt>
                      <c:pt idx="1672">
                        <c:v>0.14722431864335458</c:v>
                      </c:pt>
                      <c:pt idx="1673">
                        <c:v>0.14722431864335458</c:v>
                      </c:pt>
                      <c:pt idx="1674">
                        <c:v>0.14722431864335458</c:v>
                      </c:pt>
                      <c:pt idx="1675">
                        <c:v>0.14722431864335458</c:v>
                      </c:pt>
                      <c:pt idx="1676">
                        <c:v>0.14722431864335458</c:v>
                      </c:pt>
                      <c:pt idx="1677">
                        <c:v>0.14722431864335458</c:v>
                      </c:pt>
                      <c:pt idx="1678">
                        <c:v>0.14722431864335458</c:v>
                      </c:pt>
                      <c:pt idx="1679">
                        <c:v>0.14722431864335458</c:v>
                      </c:pt>
                      <c:pt idx="1680">
                        <c:v>0.14722431864335458</c:v>
                      </c:pt>
                      <c:pt idx="1681">
                        <c:v>0.14722431864335458</c:v>
                      </c:pt>
                      <c:pt idx="1683">
                        <c:v>0.15588457268119896</c:v>
                      </c:pt>
                      <c:pt idx="1684">
                        <c:v>0.15588457268119896</c:v>
                      </c:pt>
                      <c:pt idx="1685">
                        <c:v>0.15588457268119896</c:v>
                      </c:pt>
                      <c:pt idx="1686">
                        <c:v>0.15588457268119896</c:v>
                      </c:pt>
                      <c:pt idx="1687">
                        <c:v>0.15588457268119896</c:v>
                      </c:pt>
                      <c:pt idx="1688">
                        <c:v>0.15588457268119896</c:v>
                      </c:pt>
                      <c:pt idx="1689">
                        <c:v>0.15588457268119896</c:v>
                      </c:pt>
                      <c:pt idx="1690">
                        <c:v>0.15588457268119896</c:v>
                      </c:pt>
                      <c:pt idx="1691">
                        <c:v>0.15588457268119896</c:v>
                      </c:pt>
                      <c:pt idx="1692">
                        <c:v>0.15588457268119896</c:v>
                      </c:pt>
                      <c:pt idx="1693">
                        <c:v>0.15588457268119896</c:v>
                      </c:pt>
                      <c:pt idx="1694">
                        <c:v>0.15588457268119896</c:v>
                      </c:pt>
                      <c:pt idx="1695">
                        <c:v>0.15588457268119896</c:v>
                      </c:pt>
                      <c:pt idx="1696">
                        <c:v>0.15588457268119896</c:v>
                      </c:pt>
                      <c:pt idx="1697">
                        <c:v>0.15588457268119896</c:v>
                      </c:pt>
                      <c:pt idx="1698">
                        <c:v>0.15588457268119896</c:v>
                      </c:pt>
                      <c:pt idx="1699">
                        <c:v>0.15588457268119896</c:v>
                      </c:pt>
                      <c:pt idx="1700">
                        <c:v>0.15588457268119896</c:v>
                      </c:pt>
                      <c:pt idx="1701">
                        <c:v>0.15588457268119896</c:v>
                      </c:pt>
                      <c:pt idx="1702">
                        <c:v>0.15588457268119896</c:v>
                      </c:pt>
                      <c:pt idx="1703">
                        <c:v>0.15588457268119896</c:v>
                      </c:pt>
                      <c:pt idx="1704">
                        <c:v>0.15588457268119896</c:v>
                      </c:pt>
                      <c:pt idx="1705">
                        <c:v>0.15588457268119896</c:v>
                      </c:pt>
                      <c:pt idx="1706">
                        <c:v>0.15588457268119896</c:v>
                      </c:pt>
                      <c:pt idx="1707">
                        <c:v>0.15588457268119896</c:v>
                      </c:pt>
                      <c:pt idx="1708">
                        <c:v>0.15588457268119896</c:v>
                      </c:pt>
                      <c:pt idx="1709">
                        <c:v>0.15588457268119896</c:v>
                      </c:pt>
                      <c:pt idx="1710">
                        <c:v>0.15588457268119896</c:v>
                      </c:pt>
                      <c:pt idx="1711">
                        <c:v>0.15588457268119896</c:v>
                      </c:pt>
                      <c:pt idx="1712">
                        <c:v>0.15588457268119896</c:v>
                      </c:pt>
                      <c:pt idx="1713">
                        <c:v>0.15588457268119896</c:v>
                      </c:pt>
                      <c:pt idx="1714">
                        <c:v>0.15588457268119896</c:v>
                      </c:pt>
                      <c:pt idx="1715">
                        <c:v>0.15588457268119896</c:v>
                      </c:pt>
                      <c:pt idx="1716">
                        <c:v>0.15588457268119896</c:v>
                      </c:pt>
                      <c:pt idx="1717">
                        <c:v>0.15588457268119896</c:v>
                      </c:pt>
                      <c:pt idx="1718">
                        <c:v>0.15588457268119896</c:v>
                      </c:pt>
                      <c:pt idx="1719">
                        <c:v>0.15588457268119896</c:v>
                      </c:pt>
                      <c:pt idx="1720">
                        <c:v>0.15588457268119896</c:v>
                      </c:pt>
                      <c:pt idx="1721">
                        <c:v>0.15588457268119896</c:v>
                      </c:pt>
                      <c:pt idx="1722">
                        <c:v>0.15588457268119896</c:v>
                      </c:pt>
                      <c:pt idx="1723">
                        <c:v>0.15588457268119896</c:v>
                      </c:pt>
                      <c:pt idx="1724">
                        <c:v>0.15588457268119896</c:v>
                      </c:pt>
                      <c:pt idx="1725">
                        <c:v>0.15588457268119896</c:v>
                      </c:pt>
                      <c:pt idx="1726">
                        <c:v>0.15588457268119896</c:v>
                      </c:pt>
                      <c:pt idx="1727">
                        <c:v>0.15588457268119896</c:v>
                      </c:pt>
                      <c:pt idx="1728">
                        <c:v>0.15588457268119896</c:v>
                      </c:pt>
                      <c:pt idx="1729">
                        <c:v>0.15588457268119896</c:v>
                      </c:pt>
                      <c:pt idx="1730">
                        <c:v>0.15588457268119896</c:v>
                      </c:pt>
                      <c:pt idx="1731">
                        <c:v>0.15588457268119896</c:v>
                      </c:pt>
                      <c:pt idx="1732">
                        <c:v>0.15588457268119896</c:v>
                      </c:pt>
                      <c:pt idx="1733">
                        <c:v>0.15588457268119896</c:v>
                      </c:pt>
                      <c:pt idx="1734">
                        <c:v>0.15588457268119896</c:v>
                      </c:pt>
                      <c:pt idx="1735">
                        <c:v>0.15588457268119896</c:v>
                      </c:pt>
                      <c:pt idx="1736">
                        <c:v>0.15588457268119896</c:v>
                      </c:pt>
                      <c:pt idx="1737">
                        <c:v>0.15588457268119896</c:v>
                      </c:pt>
                      <c:pt idx="1738">
                        <c:v>0.15588457268119896</c:v>
                      </c:pt>
                      <c:pt idx="1739">
                        <c:v>0.15588457268119896</c:v>
                      </c:pt>
                      <c:pt idx="1740">
                        <c:v>0.15588457268119896</c:v>
                      </c:pt>
                      <c:pt idx="1741">
                        <c:v>0.15588457268119896</c:v>
                      </c:pt>
                      <c:pt idx="1742">
                        <c:v>0.15588457268119896</c:v>
                      </c:pt>
                      <c:pt idx="1743">
                        <c:v>0.15588457268119896</c:v>
                      </c:pt>
                      <c:pt idx="1744">
                        <c:v>0.15588457268119896</c:v>
                      </c:pt>
                      <c:pt idx="1745">
                        <c:v>0.15588457268119896</c:v>
                      </c:pt>
                      <c:pt idx="1746">
                        <c:v>0.15588457268119896</c:v>
                      </c:pt>
                      <c:pt idx="1747">
                        <c:v>0.15588457268119896</c:v>
                      </c:pt>
                      <c:pt idx="1748">
                        <c:v>0.15588457268119896</c:v>
                      </c:pt>
                      <c:pt idx="1749">
                        <c:v>0.15588457268119896</c:v>
                      </c:pt>
                      <c:pt idx="1750">
                        <c:v>0.15588457268119896</c:v>
                      </c:pt>
                      <c:pt idx="1751">
                        <c:v>0.15588457268119896</c:v>
                      </c:pt>
                      <c:pt idx="1752">
                        <c:v>0.15588457268119896</c:v>
                      </c:pt>
                      <c:pt idx="1753">
                        <c:v>0.15588457268119896</c:v>
                      </c:pt>
                      <c:pt idx="1754">
                        <c:v>0.15588457268119896</c:v>
                      </c:pt>
                      <c:pt idx="1755">
                        <c:v>0.15588457268119896</c:v>
                      </c:pt>
                      <c:pt idx="1756">
                        <c:v>0.15588457268119896</c:v>
                      </c:pt>
                      <c:pt idx="1757">
                        <c:v>0.15588457268119896</c:v>
                      </c:pt>
                      <c:pt idx="1758">
                        <c:v>0.15588457268119896</c:v>
                      </c:pt>
                      <c:pt idx="1759">
                        <c:v>0.15588457268119896</c:v>
                      </c:pt>
                      <c:pt idx="1760">
                        <c:v>0.15588457268119896</c:v>
                      </c:pt>
                      <c:pt idx="1761">
                        <c:v>0.15588457268119896</c:v>
                      </c:pt>
                      <c:pt idx="1762">
                        <c:v>0.15588457268119896</c:v>
                      </c:pt>
                      <c:pt idx="1763">
                        <c:v>0.15588457268119896</c:v>
                      </c:pt>
                      <c:pt idx="1764">
                        <c:v>0.15588457268119896</c:v>
                      </c:pt>
                      <c:pt idx="1765">
                        <c:v>0.15588457268119896</c:v>
                      </c:pt>
                      <c:pt idx="1767">
                        <c:v>0.16454482671904336</c:v>
                      </c:pt>
                      <c:pt idx="1768">
                        <c:v>0.16454482671904336</c:v>
                      </c:pt>
                      <c:pt idx="1769">
                        <c:v>0.16454482671904336</c:v>
                      </c:pt>
                      <c:pt idx="1770">
                        <c:v>0.16454482671904336</c:v>
                      </c:pt>
                      <c:pt idx="1771">
                        <c:v>0.16454482671904336</c:v>
                      </c:pt>
                      <c:pt idx="1772">
                        <c:v>0.16454482671904336</c:v>
                      </c:pt>
                      <c:pt idx="1773">
                        <c:v>0.16454482671904336</c:v>
                      </c:pt>
                      <c:pt idx="1774">
                        <c:v>0.16454482671904336</c:v>
                      </c:pt>
                      <c:pt idx="1775">
                        <c:v>0.16454482671904336</c:v>
                      </c:pt>
                      <c:pt idx="1776">
                        <c:v>0.16454482671904336</c:v>
                      </c:pt>
                      <c:pt idx="1777">
                        <c:v>0.16454482671904336</c:v>
                      </c:pt>
                      <c:pt idx="1778">
                        <c:v>0.16454482671904336</c:v>
                      </c:pt>
                      <c:pt idx="1779">
                        <c:v>0.16454482671904336</c:v>
                      </c:pt>
                      <c:pt idx="1780">
                        <c:v>0.16454482671904336</c:v>
                      </c:pt>
                      <c:pt idx="1781">
                        <c:v>0.16454482671904336</c:v>
                      </c:pt>
                      <c:pt idx="1782">
                        <c:v>0.16454482671904336</c:v>
                      </c:pt>
                      <c:pt idx="1783">
                        <c:v>0.16454482671904336</c:v>
                      </c:pt>
                      <c:pt idx="1784">
                        <c:v>0.16454482671904336</c:v>
                      </c:pt>
                      <c:pt idx="1785">
                        <c:v>0.16454482671904336</c:v>
                      </c:pt>
                      <c:pt idx="1786">
                        <c:v>0.16454482671904336</c:v>
                      </c:pt>
                      <c:pt idx="1787">
                        <c:v>0.16454482671904336</c:v>
                      </c:pt>
                      <c:pt idx="1788">
                        <c:v>0.16454482671904336</c:v>
                      </c:pt>
                      <c:pt idx="1789">
                        <c:v>0.16454482671904336</c:v>
                      </c:pt>
                      <c:pt idx="1790">
                        <c:v>0.16454482671904336</c:v>
                      </c:pt>
                      <c:pt idx="1791">
                        <c:v>0.16454482671904336</c:v>
                      </c:pt>
                      <c:pt idx="1792">
                        <c:v>0.16454482671904336</c:v>
                      </c:pt>
                      <c:pt idx="1793">
                        <c:v>0.16454482671904336</c:v>
                      </c:pt>
                      <c:pt idx="1794">
                        <c:v>0.16454482671904336</c:v>
                      </c:pt>
                      <c:pt idx="1795">
                        <c:v>0.16454482671904336</c:v>
                      </c:pt>
                      <c:pt idx="1796">
                        <c:v>0.16454482671904336</c:v>
                      </c:pt>
                      <c:pt idx="1797">
                        <c:v>0.16454482671904336</c:v>
                      </c:pt>
                      <c:pt idx="1798">
                        <c:v>0.16454482671904336</c:v>
                      </c:pt>
                      <c:pt idx="1799">
                        <c:v>0.16454482671904336</c:v>
                      </c:pt>
                      <c:pt idx="1800">
                        <c:v>0.16454482671904336</c:v>
                      </c:pt>
                      <c:pt idx="1801">
                        <c:v>0.16454482671904336</c:v>
                      </c:pt>
                      <c:pt idx="1802">
                        <c:v>0.16454482671904336</c:v>
                      </c:pt>
                      <c:pt idx="1803">
                        <c:v>0.16454482671904336</c:v>
                      </c:pt>
                      <c:pt idx="1804">
                        <c:v>0.16454482671904336</c:v>
                      </c:pt>
                      <c:pt idx="1805">
                        <c:v>0.16454482671904336</c:v>
                      </c:pt>
                      <c:pt idx="1806">
                        <c:v>0.16454482671904336</c:v>
                      </c:pt>
                      <c:pt idx="1807">
                        <c:v>0.16454482671904336</c:v>
                      </c:pt>
                      <c:pt idx="1808">
                        <c:v>0.16454482671904336</c:v>
                      </c:pt>
                      <c:pt idx="1809">
                        <c:v>0.16454482671904336</c:v>
                      </c:pt>
                      <c:pt idx="1810">
                        <c:v>0.16454482671904336</c:v>
                      </c:pt>
                      <c:pt idx="1811">
                        <c:v>0.16454482671904336</c:v>
                      </c:pt>
                      <c:pt idx="1812">
                        <c:v>0.16454482671904336</c:v>
                      </c:pt>
                      <c:pt idx="1813">
                        <c:v>0.16454482671904336</c:v>
                      </c:pt>
                      <c:pt idx="1814">
                        <c:v>0.16454482671904336</c:v>
                      </c:pt>
                      <c:pt idx="1815">
                        <c:v>0.16454482671904336</c:v>
                      </c:pt>
                      <c:pt idx="1816">
                        <c:v>0.16454482671904336</c:v>
                      </c:pt>
                      <c:pt idx="1817">
                        <c:v>0.16454482671904336</c:v>
                      </c:pt>
                      <c:pt idx="1818">
                        <c:v>0.16454482671904336</c:v>
                      </c:pt>
                      <c:pt idx="1819">
                        <c:v>0.16454482671904336</c:v>
                      </c:pt>
                      <c:pt idx="1820">
                        <c:v>0.16454482671904336</c:v>
                      </c:pt>
                      <c:pt idx="1821">
                        <c:v>0.16454482671904336</c:v>
                      </c:pt>
                      <c:pt idx="1822">
                        <c:v>0.16454482671904336</c:v>
                      </c:pt>
                      <c:pt idx="1823">
                        <c:v>0.16454482671904336</c:v>
                      </c:pt>
                      <c:pt idx="1824">
                        <c:v>0.16454482671904336</c:v>
                      </c:pt>
                      <c:pt idx="1825">
                        <c:v>0.16454482671904336</c:v>
                      </c:pt>
                      <c:pt idx="1826">
                        <c:v>0.16454482671904336</c:v>
                      </c:pt>
                      <c:pt idx="1827">
                        <c:v>0.16454482671904336</c:v>
                      </c:pt>
                      <c:pt idx="1828">
                        <c:v>0.16454482671904336</c:v>
                      </c:pt>
                      <c:pt idx="1829">
                        <c:v>0.16454482671904336</c:v>
                      </c:pt>
                      <c:pt idx="1830">
                        <c:v>0.16454482671904336</c:v>
                      </c:pt>
                      <c:pt idx="1831">
                        <c:v>0.16454482671904336</c:v>
                      </c:pt>
                      <c:pt idx="1832">
                        <c:v>0.16454482671904336</c:v>
                      </c:pt>
                      <c:pt idx="1833">
                        <c:v>0.16454482671904336</c:v>
                      </c:pt>
                      <c:pt idx="1834">
                        <c:v>0.16454482671904336</c:v>
                      </c:pt>
                      <c:pt idx="1835">
                        <c:v>0.16454482671904336</c:v>
                      </c:pt>
                      <c:pt idx="1836">
                        <c:v>0.16454482671904336</c:v>
                      </c:pt>
                      <c:pt idx="1837">
                        <c:v>0.16454482671904336</c:v>
                      </c:pt>
                      <c:pt idx="1838">
                        <c:v>0.16454482671904336</c:v>
                      </c:pt>
                      <c:pt idx="1839">
                        <c:v>0.16454482671904336</c:v>
                      </c:pt>
                      <c:pt idx="1840">
                        <c:v>0.16454482671904336</c:v>
                      </c:pt>
                      <c:pt idx="1841">
                        <c:v>0.16454482671904336</c:v>
                      </c:pt>
                      <c:pt idx="1842">
                        <c:v>0.16454482671904336</c:v>
                      </c:pt>
                      <c:pt idx="1843">
                        <c:v>0.16454482671904336</c:v>
                      </c:pt>
                      <c:pt idx="1844">
                        <c:v>0.16454482671904336</c:v>
                      </c:pt>
                      <c:pt idx="1845">
                        <c:v>0.16454482671904336</c:v>
                      </c:pt>
                      <c:pt idx="1846">
                        <c:v>0.16454482671904336</c:v>
                      </c:pt>
                      <c:pt idx="1847">
                        <c:v>0.16454482671904336</c:v>
                      </c:pt>
                      <c:pt idx="1848">
                        <c:v>0.16454482671904336</c:v>
                      </c:pt>
                      <c:pt idx="1850">
                        <c:v>0.17320508075688776</c:v>
                      </c:pt>
                      <c:pt idx="1851">
                        <c:v>0.17320508075688776</c:v>
                      </c:pt>
                      <c:pt idx="1852">
                        <c:v>0.17320508075688776</c:v>
                      </c:pt>
                      <c:pt idx="1853">
                        <c:v>0.17320508075688776</c:v>
                      </c:pt>
                      <c:pt idx="1854">
                        <c:v>0.17320508075688776</c:v>
                      </c:pt>
                      <c:pt idx="1855">
                        <c:v>0.17320508075688776</c:v>
                      </c:pt>
                      <c:pt idx="1856">
                        <c:v>0.17320508075688776</c:v>
                      </c:pt>
                      <c:pt idx="1857">
                        <c:v>0.17320508075688776</c:v>
                      </c:pt>
                      <c:pt idx="1858">
                        <c:v>0.17320508075688776</c:v>
                      </c:pt>
                      <c:pt idx="1859">
                        <c:v>0.17320508075688776</c:v>
                      </c:pt>
                      <c:pt idx="1860">
                        <c:v>0.17320508075688776</c:v>
                      </c:pt>
                      <c:pt idx="1861">
                        <c:v>0.17320508075688776</c:v>
                      </c:pt>
                      <c:pt idx="1862">
                        <c:v>0.17320508075688776</c:v>
                      </c:pt>
                      <c:pt idx="1863">
                        <c:v>0.17320508075688776</c:v>
                      </c:pt>
                      <c:pt idx="1864">
                        <c:v>0.17320508075688776</c:v>
                      </c:pt>
                      <c:pt idx="1865">
                        <c:v>0.17320508075688776</c:v>
                      </c:pt>
                      <c:pt idx="1866">
                        <c:v>0.17320508075688776</c:v>
                      </c:pt>
                      <c:pt idx="1867">
                        <c:v>0.17320508075688776</c:v>
                      </c:pt>
                      <c:pt idx="1868">
                        <c:v>0.17320508075688776</c:v>
                      </c:pt>
                      <c:pt idx="1869">
                        <c:v>0.17320508075688776</c:v>
                      </c:pt>
                      <c:pt idx="1870">
                        <c:v>0.17320508075688776</c:v>
                      </c:pt>
                      <c:pt idx="1871">
                        <c:v>0.17320508075688776</c:v>
                      </c:pt>
                      <c:pt idx="1872">
                        <c:v>0.17320508075688776</c:v>
                      </c:pt>
                      <c:pt idx="1873">
                        <c:v>0.17320508075688776</c:v>
                      </c:pt>
                      <c:pt idx="1874">
                        <c:v>0.17320508075688776</c:v>
                      </c:pt>
                      <c:pt idx="1875">
                        <c:v>0.17320508075688776</c:v>
                      </c:pt>
                      <c:pt idx="1876">
                        <c:v>0.17320508075688776</c:v>
                      </c:pt>
                      <c:pt idx="1877">
                        <c:v>0.17320508075688776</c:v>
                      </c:pt>
                      <c:pt idx="1878">
                        <c:v>0.17320508075688776</c:v>
                      </c:pt>
                      <c:pt idx="1879">
                        <c:v>0.17320508075688776</c:v>
                      </c:pt>
                      <c:pt idx="1880">
                        <c:v>0.17320508075688776</c:v>
                      </c:pt>
                      <c:pt idx="1881">
                        <c:v>0.17320508075688776</c:v>
                      </c:pt>
                      <c:pt idx="1882">
                        <c:v>0.17320508075688776</c:v>
                      </c:pt>
                      <c:pt idx="1883">
                        <c:v>0.17320508075688776</c:v>
                      </c:pt>
                      <c:pt idx="1884">
                        <c:v>0.17320508075688776</c:v>
                      </c:pt>
                      <c:pt idx="1885">
                        <c:v>0.17320508075688776</c:v>
                      </c:pt>
                      <c:pt idx="1886">
                        <c:v>0.17320508075688776</c:v>
                      </c:pt>
                      <c:pt idx="1887">
                        <c:v>0.17320508075688776</c:v>
                      </c:pt>
                      <c:pt idx="1888">
                        <c:v>0.17320508075688776</c:v>
                      </c:pt>
                      <c:pt idx="1889">
                        <c:v>0.17320508075688776</c:v>
                      </c:pt>
                      <c:pt idx="1890">
                        <c:v>0.17320508075688776</c:v>
                      </c:pt>
                      <c:pt idx="1891">
                        <c:v>0.17320508075688776</c:v>
                      </c:pt>
                      <c:pt idx="1892">
                        <c:v>0.17320508075688776</c:v>
                      </c:pt>
                      <c:pt idx="1893">
                        <c:v>0.17320508075688776</c:v>
                      </c:pt>
                      <c:pt idx="1894">
                        <c:v>0.17320508075688776</c:v>
                      </c:pt>
                      <c:pt idx="1895">
                        <c:v>0.17320508075688776</c:v>
                      </c:pt>
                      <c:pt idx="1896">
                        <c:v>0.17320508075688776</c:v>
                      </c:pt>
                      <c:pt idx="1897">
                        <c:v>0.17320508075688776</c:v>
                      </c:pt>
                      <c:pt idx="1898">
                        <c:v>0.17320508075688776</c:v>
                      </c:pt>
                      <c:pt idx="1899">
                        <c:v>0.17320508075688776</c:v>
                      </c:pt>
                      <c:pt idx="1900">
                        <c:v>0.17320508075688776</c:v>
                      </c:pt>
                      <c:pt idx="1901">
                        <c:v>0.17320508075688776</c:v>
                      </c:pt>
                      <c:pt idx="1902">
                        <c:v>0.17320508075688776</c:v>
                      </c:pt>
                      <c:pt idx="1903">
                        <c:v>0.17320508075688776</c:v>
                      </c:pt>
                      <c:pt idx="1904">
                        <c:v>0.17320508075688776</c:v>
                      </c:pt>
                      <c:pt idx="1905">
                        <c:v>0.17320508075688776</c:v>
                      </c:pt>
                      <c:pt idx="1906">
                        <c:v>0.17320508075688776</c:v>
                      </c:pt>
                      <c:pt idx="1907">
                        <c:v>0.17320508075688776</c:v>
                      </c:pt>
                      <c:pt idx="1908">
                        <c:v>0.17320508075688776</c:v>
                      </c:pt>
                      <c:pt idx="1909">
                        <c:v>0.17320508075688776</c:v>
                      </c:pt>
                      <c:pt idx="1910">
                        <c:v>0.17320508075688776</c:v>
                      </c:pt>
                      <c:pt idx="1911">
                        <c:v>0.17320508075688776</c:v>
                      </c:pt>
                      <c:pt idx="1912">
                        <c:v>0.17320508075688776</c:v>
                      </c:pt>
                      <c:pt idx="1913">
                        <c:v>0.17320508075688776</c:v>
                      </c:pt>
                      <c:pt idx="1914">
                        <c:v>0.17320508075688776</c:v>
                      </c:pt>
                      <c:pt idx="1915">
                        <c:v>0.17320508075688776</c:v>
                      </c:pt>
                      <c:pt idx="1916">
                        <c:v>0.17320508075688776</c:v>
                      </c:pt>
                      <c:pt idx="1917">
                        <c:v>0.17320508075688776</c:v>
                      </c:pt>
                      <c:pt idx="1918">
                        <c:v>0.17320508075688776</c:v>
                      </c:pt>
                      <c:pt idx="1919">
                        <c:v>0.17320508075688776</c:v>
                      </c:pt>
                      <c:pt idx="1920">
                        <c:v>0.17320508075688776</c:v>
                      </c:pt>
                      <c:pt idx="1921">
                        <c:v>0.17320508075688776</c:v>
                      </c:pt>
                      <c:pt idx="1922">
                        <c:v>0.17320508075688776</c:v>
                      </c:pt>
                      <c:pt idx="1923">
                        <c:v>0.17320508075688776</c:v>
                      </c:pt>
                      <c:pt idx="1924">
                        <c:v>0.17320508075688776</c:v>
                      </c:pt>
                      <c:pt idx="1925">
                        <c:v>0.17320508075688776</c:v>
                      </c:pt>
                      <c:pt idx="1926">
                        <c:v>0.17320508075688776</c:v>
                      </c:pt>
                      <c:pt idx="1927">
                        <c:v>0.17320508075688776</c:v>
                      </c:pt>
                      <c:pt idx="1928">
                        <c:v>0.17320508075688776</c:v>
                      </c:pt>
                      <c:pt idx="1929">
                        <c:v>0.17320508075688776</c:v>
                      </c:pt>
                      <c:pt idx="1930">
                        <c:v>0.17320508075688776</c:v>
                      </c:pt>
                      <c:pt idx="1932">
                        <c:v>0.1818653347947321</c:v>
                      </c:pt>
                      <c:pt idx="1933">
                        <c:v>0.1818653347947321</c:v>
                      </c:pt>
                      <c:pt idx="1934">
                        <c:v>0.1818653347947321</c:v>
                      </c:pt>
                      <c:pt idx="1935">
                        <c:v>0.1818653347947321</c:v>
                      </c:pt>
                      <c:pt idx="1936">
                        <c:v>0.1818653347947321</c:v>
                      </c:pt>
                      <c:pt idx="1937">
                        <c:v>0.1818653347947321</c:v>
                      </c:pt>
                      <c:pt idx="1938">
                        <c:v>0.1818653347947321</c:v>
                      </c:pt>
                      <c:pt idx="1939">
                        <c:v>0.1818653347947321</c:v>
                      </c:pt>
                      <c:pt idx="1940">
                        <c:v>0.1818653347947321</c:v>
                      </c:pt>
                      <c:pt idx="1941">
                        <c:v>0.1818653347947321</c:v>
                      </c:pt>
                      <c:pt idx="1942">
                        <c:v>0.1818653347947321</c:v>
                      </c:pt>
                      <c:pt idx="1943">
                        <c:v>0.1818653347947321</c:v>
                      </c:pt>
                      <c:pt idx="1944">
                        <c:v>0.1818653347947321</c:v>
                      </c:pt>
                      <c:pt idx="1945">
                        <c:v>0.1818653347947321</c:v>
                      </c:pt>
                      <c:pt idx="1946">
                        <c:v>0.1818653347947321</c:v>
                      </c:pt>
                      <c:pt idx="1947">
                        <c:v>0.1818653347947321</c:v>
                      </c:pt>
                      <c:pt idx="1948">
                        <c:v>0.1818653347947321</c:v>
                      </c:pt>
                      <c:pt idx="1949">
                        <c:v>0.1818653347947321</c:v>
                      </c:pt>
                      <c:pt idx="1950">
                        <c:v>0.1818653347947321</c:v>
                      </c:pt>
                      <c:pt idx="1951">
                        <c:v>0.1818653347947321</c:v>
                      </c:pt>
                      <c:pt idx="1952">
                        <c:v>0.1818653347947321</c:v>
                      </c:pt>
                      <c:pt idx="1953">
                        <c:v>0.1818653347947321</c:v>
                      </c:pt>
                      <c:pt idx="1954">
                        <c:v>0.1818653347947321</c:v>
                      </c:pt>
                      <c:pt idx="1955">
                        <c:v>0.1818653347947321</c:v>
                      </c:pt>
                      <c:pt idx="1956">
                        <c:v>0.1818653347947321</c:v>
                      </c:pt>
                      <c:pt idx="1957">
                        <c:v>0.1818653347947321</c:v>
                      </c:pt>
                      <c:pt idx="1958">
                        <c:v>0.1818653347947321</c:v>
                      </c:pt>
                      <c:pt idx="1959">
                        <c:v>0.1818653347947321</c:v>
                      </c:pt>
                      <c:pt idx="1960">
                        <c:v>0.1818653347947321</c:v>
                      </c:pt>
                      <c:pt idx="1961">
                        <c:v>0.1818653347947321</c:v>
                      </c:pt>
                      <c:pt idx="1962">
                        <c:v>0.1818653347947321</c:v>
                      </c:pt>
                      <c:pt idx="1963">
                        <c:v>0.1818653347947321</c:v>
                      </c:pt>
                      <c:pt idx="1964">
                        <c:v>0.1818653347947321</c:v>
                      </c:pt>
                      <c:pt idx="1965">
                        <c:v>0.1818653347947321</c:v>
                      </c:pt>
                      <c:pt idx="1966">
                        <c:v>0.1818653347947321</c:v>
                      </c:pt>
                      <c:pt idx="1967">
                        <c:v>0.1818653347947321</c:v>
                      </c:pt>
                      <c:pt idx="1968">
                        <c:v>0.1818653347947321</c:v>
                      </c:pt>
                      <c:pt idx="1969">
                        <c:v>0.1818653347947321</c:v>
                      </c:pt>
                      <c:pt idx="1970">
                        <c:v>0.1818653347947321</c:v>
                      </c:pt>
                      <c:pt idx="1971">
                        <c:v>0.1818653347947321</c:v>
                      </c:pt>
                      <c:pt idx="1972">
                        <c:v>0.1818653347947321</c:v>
                      </c:pt>
                      <c:pt idx="1973">
                        <c:v>0.1818653347947321</c:v>
                      </c:pt>
                      <c:pt idx="1974">
                        <c:v>0.1818653347947321</c:v>
                      </c:pt>
                      <c:pt idx="1975">
                        <c:v>0.1818653347947321</c:v>
                      </c:pt>
                      <c:pt idx="1976">
                        <c:v>0.1818653347947321</c:v>
                      </c:pt>
                      <c:pt idx="1977">
                        <c:v>0.1818653347947321</c:v>
                      </c:pt>
                      <c:pt idx="1978">
                        <c:v>0.1818653347947321</c:v>
                      </c:pt>
                      <c:pt idx="1979">
                        <c:v>0.1818653347947321</c:v>
                      </c:pt>
                      <c:pt idx="1980">
                        <c:v>0.1818653347947321</c:v>
                      </c:pt>
                      <c:pt idx="1981">
                        <c:v>0.1818653347947321</c:v>
                      </c:pt>
                      <c:pt idx="1982">
                        <c:v>0.1818653347947321</c:v>
                      </c:pt>
                      <c:pt idx="1983">
                        <c:v>0.1818653347947321</c:v>
                      </c:pt>
                      <c:pt idx="1984">
                        <c:v>0.1818653347947321</c:v>
                      </c:pt>
                      <c:pt idx="1985">
                        <c:v>0.1818653347947321</c:v>
                      </c:pt>
                      <c:pt idx="1986">
                        <c:v>0.1818653347947321</c:v>
                      </c:pt>
                      <c:pt idx="1987">
                        <c:v>0.1818653347947321</c:v>
                      </c:pt>
                      <c:pt idx="1988">
                        <c:v>0.1818653347947321</c:v>
                      </c:pt>
                      <c:pt idx="1989">
                        <c:v>0.1818653347947321</c:v>
                      </c:pt>
                      <c:pt idx="1990">
                        <c:v>0.1818653347947321</c:v>
                      </c:pt>
                      <c:pt idx="1991">
                        <c:v>0.1818653347947321</c:v>
                      </c:pt>
                      <c:pt idx="1992">
                        <c:v>0.1818653347947321</c:v>
                      </c:pt>
                      <c:pt idx="1993">
                        <c:v>0.1818653347947321</c:v>
                      </c:pt>
                      <c:pt idx="1994">
                        <c:v>0.1818653347947321</c:v>
                      </c:pt>
                      <c:pt idx="1995">
                        <c:v>0.1818653347947321</c:v>
                      </c:pt>
                      <c:pt idx="1996">
                        <c:v>0.1818653347947321</c:v>
                      </c:pt>
                      <c:pt idx="1997">
                        <c:v>0.1818653347947321</c:v>
                      </c:pt>
                      <c:pt idx="1998">
                        <c:v>0.1818653347947321</c:v>
                      </c:pt>
                      <c:pt idx="1999">
                        <c:v>0.1818653347947321</c:v>
                      </c:pt>
                      <c:pt idx="2000">
                        <c:v>0.1818653347947321</c:v>
                      </c:pt>
                      <c:pt idx="2001">
                        <c:v>0.1818653347947321</c:v>
                      </c:pt>
                      <c:pt idx="2002">
                        <c:v>0.1818653347947321</c:v>
                      </c:pt>
                      <c:pt idx="2003">
                        <c:v>0.1818653347947321</c:v>
                      </c:pt>
                      <c:pt idx="2004">
                        <c:v>0.1818653347947321</c:v>
                      </c:pt>
                      <c:pt idx="2005">
                        <c:v>0.1818653347947321</c:v>
                      </c:pt>
                      <c:pt idx="2006">
                        <c:v>0.1818653347947321</c:v>
                      </c:pt>
                      <c:pt idx="2007">
                        <c:v>0.1818653347947321</c:v>
                      </c:pt>
                      <c:pt idx="2008">
                        <c:v>0.1818653347947321</c:v>
                      </c:pt>
                      <c:pt idx="2009">
                        <c:v>0.1818653347947321</c:v>
                      </c:pt>
                      <c:pt idx="2010">
                        <c:v>0.1818653347947321</c:v>
                      </c:pt>
                      <c:pt idx="2011">
                        <c:v>0.1818653347947321</c:v>
                      </c:pt>
                      <c:pt idx="2013">
                        <c:v>0.1905255888325765</c:v>
                      </c:pt>
                      <c:pt idx="2014">
                        <c:v>0.1905255888325765</c:v>
                      </c:pt>
                      <c:pt idx="2015">
                        <c:v>0.1905255888325765</c:v>
                      </c:pt>
                      <c:pt idx="2016">
                        <c:v>0.1905255888325765</c:v>
                      </c:pt>
                      <c:pt idx="2017">
                        <c:v>0.1905255888325765</c:v>
                      </c:pt>
                      <c:pt idx="2018">
                        <c:v>0.1905255888325765</c:v>
                      </c:pt>
                      <c:pt idx="2019">
                        <c:v>0.1905255888325765</c:v>
                      </c:pt>
                      <c:pt idx="2020">
                        <c:v>0.1905255888325765</c:v>
                      </c:pt>
                      <c:pt idx="2021">
                        <c:v>0.1905255888325765</c:v>
                      </c:pt>
                      <c:pt idx="2022">
                        <c:v>0.1905255888325765</c:v>
                      </c:pt>
                      <c:pt idx="2023">
                        <c:v>0.1905255888325765</c:v>
                      </c:pt>
                      <c:pt idx="2024">
                        <c:v>0.1905255888325765</c:v>
                      </c:pt>
                      <c:pt idx="2025">
                        <c:v>0.1905255888325765</c:v>
                      </c:pt>
                      <c:pt idx="2026">
                        <c:v>0.1905255888325765</c:v>
                      </c:pt>
                      <c:pt idx="2027">
                        <c:v>0.1905255888325765</c:v>
                      </c:pt>
                      <c:pt idx="2028">
                        <c:v>0.1905255888325765</c:v>
                      </c:pt>
                      <c:pt idx="2029">
                        <c:v>0.1905255888325765</c:v>
                      </c:pt>
                      <c:pt idx="2030">
                        <c:v>0.1905255888325765</c:v>
                      </c:pt>
                      <c:pt idx="2031">
                        <c:v>0.1905255888325765</c:v>
                      </c:pt>
                      <c:pt idx="2032">
                        <c:v>0.1905255888325765</c:v>
                      </c:pt>
                      <c:pt idx="2033">
                        <c:v>0.1905255888325765</c:v>
                      </c:pt>
                      <c:pt idx="2034">
                        <c:v>0.1905255888325765</c:v>
                      </c:pt>
                      <c:pt idx="2035">
                        <c:v>0.1905255888325765</c:v>
                      </c:pt>
                      <c:pt idx="2036">
                        <c:v>0.1905255888325765</c:v>
                      </c:pt>
                      <c:pt idx="2037">
                        <c:v>0.1905255888325765</c:v>
                      </c:pt>
                      <c:pt idx="2038">
                        <c:v>0.1905255888325765</c:v>
                      </c:pt>
                      <c:pt idx="2039">
                        <c:v>0.1905255888325765</c:v>
                      </c:pt>
                      <c:pt idx="2040">
                        <c:v>0.1905255888325765</c:v>
                      </c:pt>
                      <c:pt idx="2041">
                        <c:v>0.1905255888325765</c:v>
                      </c:pt>
                      <c:pt idx="2042">
                        <c:v>0.1905255888325765</c:v>
                      </c:pt>
                      <c:pt idx="2043">
                        <c:v>0.1905255888325765</c:v>
                      </c:pt>
                      <c:pt idx="2044">
                        <c:v>0.1905255888325765</c:v>
                      </c:pt>
                      <c:pt idx="2045">
                        <c:v>0.1905255888325765</c:v>
                      </c:pt>
                      <c:pt idx="2046">
                        <c:v>0.1905255888325765</c:v>
                      </c:pt>
                      <c:pt idx="2047">
                        <c:v>0.1905255888325765</c:v>
                      </c:pt>
                      <c:pt idx="2048">
                        <c:v>0.1905255888325765</c:v>
                      </c:pt>
                      <c:pt idx="2049">
                        <c:v>0.1905255888325765</c:v>
                      </c:pt>
                      <c:pt idx="2050">
                        <c:v>0.1905255888325765</c:v>
                      </c:pt>
                      <c:pt idx="2051">
                        <c:v>0.1905255888325765</c:v>
                      </c:pt>
                      <c:pt idx="2052">
                        <c:v>0.1905255888325765</c:v>
                      </c:pt>
                      <c:pt idx="2053">
                        <c:v>0.1905255888325765</c:v>
                      </c:pt>
                      <c:pt idx="2054">
                        <c:v>0.1905255888325765</c:v>
                      </c:pt>
                      <c:pt idx="2055">
                        <c:v>0.1905255888325765</c:v>
                      </c:pt>
                      <c:pt idx="2056">
                        <c:v>0.1905255888325765</c:v>
                      </c:pt>
                      <c:pt idx="2057">
                        <c:v>0.1905255888325765</c:v>
                      </c:pt>
                      <c:pt idx="2058">
                        <c:v>0.1905255888325765</c:v>
                      </c:pt>
                      <c:pt idx="2059">
                        <c:v>0.1905255888325765</c:v>
                      </c:pt>
                      <c:pt idx="2060">
                        <c:v>0.1905255888325765</c:v>
                      </c:pt>
                      <c:pt idx="2061">
                        <c:v>0.1905255888325765</c:v>
                      </c:pt>
                      <c:pt idx="2062">
                        <c:v>0.1905255888325765</c:v>
                      </c:pt>
                      <c:pt idx="2063">
                        <c:v>0.1905255888325765</c:v>
                      </c:pt>
                      <c:pt idx="2064">
                        <c:v>0.1905255888325765</c:v>
                      </c:pt>
                      <c:pt idx="2065">
                        <c:v>0.1905255888325765</c:v>
                      </c:pt>
                      <c:pt idx="2066">
                        <c:v>0.1905255888325765</c:v>
                      </c:pt>
                      <c:pt idx="2067">
                        <c:v>0.1905255888325765</c:v>
                      </c:pt>
                      <c:pt idx="2068">
                        <c:v>0.1905255888325765</c:v>
                      </c:pt>
                      <c:pt idx="2069">
                        <c:v>0.1905255888325765</c:v>
                      </c:pt>
                      <c:pt idx="2070">
                        <c:v>0.1905255888325765</c:v>
                      </c:pt>
                      <c:pt idx="2071">
                        <c:v>0.1905255888325765</c:v>
                      </c:pt>
                      <c:pt idx="2072">
                        <c:v>0.1905255888325765</c:v>
                      </c:pt>
                      <c:pt idx="2073">
                        <c:v>0.1905255888325765</c:v>
                      </c:pt>
                      <c:pt idx="2074">
                        <c:v>0.1905255888325765</c:v>
                      </c:pt>
                      <c:pt idx="2075">
                        <c:v>0.1905255888325765</c:v>
                      </c:pt>
                      <c:pt idx="2076">
                        <c:v>0.1905255888325765</c:v>
                      </c:pt>
                      <c:pt idx="2077">
                        <c:v>0.1905255888325765</c:v>
                      </c:pt>
                      <c:pt idx="2078">
                        <c:v>0.1905255888325765</c:v>
                      </c:pt>
                      <c:pt idx="2079">
                        <c:v>0.1905255888325765</c:v>
                      </c:pt>
                      <c:pt idx="2080">
                        <c:v>0.1905255888325765</c:v>
                      </c:pt>
                      <c:pt idx="2081">
                        <c:v>0.1905255888325765</c:v>
                      </c:pt>
                      <c:pt idx="2082">
                        <c:v>0.1905255888325765</c:v>
                      </c:pt>
                      <c:pt idx="2083">
                        <c:v>0.1905255888325765</c:v>
                      </c:pt>
                      <c:pt idx="2084">
                        <c:v>0.1905255888325765</c:v>
                      </c:pt>
                      <c:pt idx="2085">
                        <c:v>0.1905255888325765</c:v>
                      </c:pt>
                      <c:pt idx="2086">
                        <c:v>0.1905255888325765</c:v>
                      </c:pt>
                      <c:pt idx="2087">
                        <c:v>0.1905255888325765</c:v>
                      </c:pt>
                      <c:pt idx="2088">
                        <c:v>0.1905255888325765</c:v>
                      </c:pt>
                      <c:pt idx="2089">
                        <c:v>0.1905255888325765</c:v>
                      </c:pt>
                      <c:pt idx="2090">
                        <c:v>0.1905255888325765</c:v>
                      </c:pt>
                      <c:pt idx="2091">
                        <c:v>0.1905255888325765</c:v>
                      </c:pt>
                      <c:pt idx="2093">
                        <c:v>0.1991858428704209</c:v>
                      </c:pt>
                      <c:pt idx="2094">
                        <c:v>0.1991858428704209</c:v>
                      </c:pt>
                      <c:pt idx="2095">
                        <c:v>0.1991858428704209</c:v>
                      </c:pt>
                      <c:pt idx="2096">
                        <c:v>0.1991858428704209</c:v>
                      </c:pt>
                      <c:pt idx="2097">
                        <c:v>0.1991858428704209</c:v>
                      </c:pt>
                      <c:pt idx="2098">
                        <c:v>0.1991858428704209</c:v>
                      </c:pt>
                      <c:pt idx="2099">
                        <c:v>0.1991858428704209</c:v>
                      </c:pt>
                      <c:pt idx="2100">
                        <c:v>0.1991858428704209</c:v>
                      </c:pt>
                      <c:pt idx="2101">
                        <c:v>0.1991858428704209</c:v>
                      </c:pt>
                      <c:pt idx="2102">
                        <c:v>0.1991858428704209</c:v>
                      </c:pt>
                      <c:pt idx="2103">
                        <c:v>0.1991858428704209</c:v>
                      </c:pt>
                      <c:pt idx="2104">
                        <c:v>0.1991858428704209</c:v>
                      </c:pt>
                      <c:pt idx="2105">
                        <c:v>0.1991858428704209</c:v>
                      </c:pt>
                      <c:pt idx="2106">
                        <c:v>0.1991858428704209</c:v>
                      </c:pt>
                      <c:pt idx="2107">
                        <c:v>0.1991858428704209</c:v>
                      </c:pt>
                      <c:pt idx="2108">
                        <c:v>0.1991858428704209</c:v>
                      </c:pt>
                      <c:pt idx="2109">
                        <c:v>0.1991858428704209</c:v>
                      </c:pt>
                      <c:pt idx="2110">
                        <c:v>0.1991858428704209</c:v>
                      </c:pt>
                      <c:pt idx="2111">
                        <c:v>0.1991858428704209</c:v>
                      </c:pt>
                      <c:pt idx="2112">
                        <c:v>0.1991858428704209</c:v>
                      </c:pt>
                      <c:pt idx="2113">
                        <c:v>0.1991858428704209</c:v>
                      </c:pt>
                      <c:pt idx="2114">
                        <c:v>0.1991858428704209</c:v>
                      </c:pt>
                      <c:pt idx="2115">
                        <c:v>0.1991858428704209</c:v>
                      </c:pt>
                      <c:pt idx="2116">
                        <c:v>0.1991858428704209</c:v>
                      </c:pt>
                      <c:pt idx="2117">
                        <c:v>0.1991858428704209</c:v>
                      </c:pt>
                      <c:pt idx="2118">
                        <c:v>0.1991858428704209</c:v>
                      </c:pt>
                      <c:pt idx="2119">
                        <c:v>0.1991858428704209</c:v>
                      </c:pt>
                      <c:pt idx="2120">
                        <c:v>0.1991858428704209</c:v>
                      </c:pt>
                      <c:pt idx="2121">
                        <c:v>0.1991858428704209</c:v>
                      </c:pt>
                      <c:pt idx="2122">
                        <c:v>0.1991858428704209</c:v>
                      </c:pt>
                      <c:pt idx="2123">
                        <c:v>0.1991858428704209</c:v>
                      </c:pt>
                      <c:pt idx="2124">
                        <c:v>0.1991858428704209</c:v>
                      </c:pt>
                      <c:pt idx="2125">
                        <c:v>0.1991858428704209</c:v>
                      </c:pt>
                      <c:pt idx="2126">
                        <c:v>0.1991858428704209</c:v>
                      </c:pt>
                      <c:pt idx="2127">
                        <c:v>0.1991858428704209</c:v>
                      </c:pt>
                      <c:pt idx="2128">
                        <c:v>0.1991858428704209</c:v>
                      </c:pt>
                      <c:pt idx="2129">
                        <c:v>0.1991858428704209</c:v>
                      </c:pt>
                      <c:pt idx="2130">
                        <c:v>0.1991858428704209</c:v>
                      </c:pt>
                      <c:pt idx="2131">
                        <c:v>0.1991858428704209</c:v>
                      </c:pt>
                      <c:pt idx="2132">
                        <c:v>0.1991858428704209</c:v>
                      </c:pt>
                      <c:pt idx="2133">
                        <c:v>0.1991858428704209</c:v>
                      </c:pt>
                      <c:pt idx="2134">
                        <c:v>0.1991858428704209</c:v>
                      </c:pt>
                      <c:pt idx="2135">
                        <c:v>0.1991858428704209</c:v>
                      </c:pt>
                      <c:pt idx="2136">
                        <c:v>0.1991858428704209</c:v>
                      </c:pt>
                      <c:pt idx="2137">
                        <c:v>0.1991858428704209</c:v>
                      </c:pt>
                      <c:pt idx="2138">
                        <c:v>0.1991858428704209</c:v>
                      </c:pt>
                      <c:pt idx="2139">
                        <c:v>0.1991858428704209</c:v>
                      </c:pt>
                      <c:pt idx="2140">
                        <c:v>0.1991858428704209</c:v>
                      </c:pt>
                      <c:pt idx="2141">
                        <c:v>0.1991858428704209</c:v>
                      </c:pt>
                      <c:pt idx="2142">
                        <c:v>0.1991858428704209</c:v>
                      </c:pt>
                      <c:pt idx="2143">
                        <c:v>0.1991858428704209</c:v>
                      </c:pt>
                      <c:pt idx="2144">
                        <c:v>0.1991858428704209</c:v>
                      </c:pt>
                      <c:pt idx="2145">
                        <c:v>0.1991858428704209</c:v>
                      </c:pt>
                      <c:pt idx="2146">
                        <c:v>0.1991858428704209</c:v>
                      </c:pt>
                      <c:pt idx="2147">
                        <c:v>0.1991858428704209</c:v>
                      </c:pt>
                      <c:pt idx="2148">
                        <c:v>0.1991858428704209</c:v>
                      </c:pt>
                      <c:pt idx="2149">
                        <c:v>0.1991858428704209</c:v>
                      </c:pt>
                      <c:pt idx="2150">
                        <c:v>0.1991858428704209</c:v>
                      </c:pt>
                      <c:pt idx="2151">
                        <c:v>0.1991858428704209</c:v>
                      </c:pt>
                      <c:pt idx="2152">
                        <c:v>0.1991858428704209</c:v>
                      </c:pt>
                      <c:pt idx="2153">
                        <c:v>0.1991858428704209</c:v>
                      </c:pt>
                      <c:pt idx="2154">
                        <c:v>0.1991858428704209</c:v>
                      </c:pt>
                      <c:pt idx="2155">
                        <c:v>0.1991858428704209</c:v>
                      </c:pt>
                      <c:pt idx="2156">
                        <c:v>0.1991858428704209</c:v>
                      </c:pt>
                      <c:pt idx="2157">
                        <c:v>0.1991858428704209</c:v>
                      </c:pt>
                      <c:pt idx="2158">
                        <c:v>0.1991858428704209</c:v>
                      </c:pt>
                      <c:pt idx="2159">
                        <c:v>0.1991858428704209</c:v>
                      </c:pt>
                      <c:pt idx="2160">
                        <c:v>0.1991858428704209</c:v>
                      </c:pt>
                      <c:pt idx="2161">
                        <c:v>0.1991858428704209</c:v>
                      </c:pt>
                      <c:pt idx="2162">
                        <c:v>0.1991858428704209</c:v>
                      </c:pt>
                      <c:pt idx="2163">
                        <c:v>0.1991858428704209</c:v>
                      </c:pt>
                      <c:pt idx="2164">
                        <c:v>0.1991858428704209</c:v>
                      </c:pt>
                      <c:pt idx="2165">
                        <c:v>0.1991858428704209</c:v>
                      </c:pt>
                      <c:pt idx="2166">
                        <c:v>0.1991858428704209</c:v>
                      </c:pt>
                      <c:pt idx="2167">
                        <c:v>0.1991858428704209</c:v>
                      </c:pt>
                      <c:pt idx="2168">
                        <c:v>0.1991858428704209</c:v>
                      </c:pt>
                      <c:pt idx="2169">
                        <c:v>0.1991858428704209</c:v>
                      </c:pt>
                      <c:pt idx="2170">
                        <c:v>0.1991858428704209</c:v>
                      </c:pt>
                      <c:pt idx="2172">
                        <c:v>0.20784609690826528</c:v>
                      </c:pt>
                      <c:pt idx="2173">
                        <c:v>0.20784609690826528</c:v>
                      </c:pt>
                      <c:pt idx="2174">
                        <c:v>0.20784609690826528</c:v>
                      </c:pt>
                      <c:pt idx="2175">
                        <c:v>0.20784609690826528</c:v>
                      </c:pt>
                      <c:pt idx="2176">
                        <c:v>0.20784609690826528</c:v>
                      </c:pt>
                      <c:pt idx="2177">
                        <c:v>0.20784609690826528</c:v>
                      </c:pt>
                      <c:pt idx="2178">
                        <c:v>0.20784609690826528</c:v>
                      </c:pt>
                      <c:pt idx="2179">
                        <c:v>0.20784609690826528</c:v>
                      </c:pt>
                      <c:pt idx="2180">
                        <c:v>0.20784609690826528</c:v>
                      </c:pt>
                      <c:pt idx="2181">
                        <c:v>0.20784609690826528</c:v>
                      </c:pt>
                      <c:pt idx="2182">
                        <c:v>0.20784609690826528</c:v>
                      </c:pt>
                      <c:pt idx="2183">
                        <c:v>0.20784609690826528</c:v>
                      </c:pt>
                      <c:pt idx="2184">
                        <c:v>0.20784609690826528</c:v>
                      </c:pt>
                      <c:pt idx="2185">
                        <c:v>0.20784609690826528</c:v>
                      </c:pt>
                      <c:pt idx="2186">
                        <c:v>0.20784609690826528</c:v>
                      </c:pt>
                      <c:pt idx="2187">
                        <c:v>0.20784609690826528</c:v>
                      </c:pt>
                      <c:pt idx="2188">
                        <c:v>0.20784609690826528</c:v>
                      </c:pt>
                      <c:pt idx="2189">
                        <c:v>0.20784609690826528</c:v>
                      </c:pt>
                      <c:pt idx="2190">
                        <c:v>0.20784609690826528</c:v>
                      </c:pt>
                      <c:pt idx="2191">
                        <c:v>0.20784609690826528</c:v>
                      </c:pt>
                      <c:pt idx="2192">
                        <c:v>0.20784609690826528</c:v>
                      </c:pt>
                      <c:pt idx="2193">
                        <c:v>0.20784609690826528</c:v>
                      </c:pt>
                      <c:pt idx="2194">
                        <c:v>0.20784609690826528</c:v>
                      </c:pt>
                      <c:pt idx="2195">
                        <c:v>0.20784609690826528</c:v>
                      </c:pt>
                      <c:pt idx="2196">
                        <c:v>0.20784609690826528</c:v>
                      </c:pt>
                      <c:pt idx="2197">
                        <c:v>0.20784609690826528</c:v>
                      </c:pt>
                      <c:pt idx="2198">
                        <c:v>0.20784609690826528</c:v>
                      </c:pt>
                      <c:pt idx="2199">
                        <c:v>0.20784609690826528</c:v>
                      </c:pt>
                      <c:pt idx="2200">
                        <c:v>0.20784609690826528</c:v>
                      </c:pt>
                      <c:pt idx="2201">
                        <c:v>0.20784609690826528</c:v>
                      </c:pt>
                      <c:pt idx="2202">
                        <c:v>0.20784609690826528</c:v>
                      </c:pt>
                      <c:pt idx="2203">
                        <c:v>0.20784609690826528</c:v>
                      </c:pt>
                      <c:pt idx="2204">
                        <c:v>0.20784609690826528</c:v>
                      </c:pt>
                      <c:pt idx="2205">
                        <c:v>0.20784609690826528</c:v>
                      </c:pt>
                      <c:pt idx="2206">
                        <c:v>0.20784609690826528</c:v>
                      </c:pt>
                      <c:pt idx="2207">
                        <c:v>0.20784609690826528</c:v>
                      </c:pt>
                      <c:pt idx="2208">
                        <c:v>0.20784609690826528</c:v>
                      </c:pt>
                      <c:pt idx="2209">
                        <c:v>0.20784609690826528</c:v>
                      </c:pt>
                      <c:pt idx="2210">
                        <c:v>0.20784609690826528</c:v>
                      </c:pt>
                      <c:pt idx="2211">
                        <c:v>0.20784609690826528</c:v>
                      </c:pt>
                      <c:pt idx="2212">
                        <c:v>0.20784609690826528</c:v>
                      </c:pt>
                      <c:pt idx="2213">
                        <c:v>0.20784609690826528</c:v>
                      </c:pt>
                      <c:pt idx="2214">
                        <c:v>0.20784609690826528</c:v>
                      </c:pt>
                      <c:pt idx="2215">
                        <c:v>0.20784609690826528</c:v>
                      </c:pt>
                      <c:pt idx="2216">
                        <c:v>0.20784609690826528</c:v>
                      </c:pt>
                      <c:pt idx="2217">
                        <c:v>0.20784609690826528</c:v>
                      </c:pt>
                      <c:pt idx="2218">
                        <c:v>0.20784609690826528</c:v>
                      </c:pt>
                      <c:pt idx="2219">
                        <c:v>0.20784609690826528</c:v>
                      </c:pt>
                      <c:pt idx="2220">
                        <c:v>0.20784609690826528</c:v>
                      </c:pt>
                      <c:pt idx="2221">
                        <c:v>0.20784609690826528</c:v>
                      </c:pt>
                      <c:pt idx="2222">
                        <c:v>0.20784609690826528</c:v>
                      </c:pt>
                      <c:pt idx="2223">
                        <c:v>0.20784609690826528</c:v>
                      </c:pt>
                      <c:pt idx="2224">
                        <c:v>0.20784609690826528</c:v>
                      </c:pt>
                      <c:pt idx="2225">
                        <c:v>0.20784609690826528</c:v>
                      </c:pt>
                      <c:pt idx="2226">
                        <c:v>0.20784609690826528</c:v>
                      </c:pt>
                      <c:pt idx="2227">
                        <c:v>0.20784609690826528</c:v>
                      </c:pt>
                      <c:pt idx="2228">
                        <c:v>0.20784609690826528</c:v>
                      </c:pt>
                      <c:pt idx="2229">
                        <c:v>0.20784609690826528</c:v>
                      </c:pt>
                      <c:pt idx="2230">
                        <c:v>0.20784609690826528</c:v>
                      </c:pt>
                      <c:pt idx="2231">
                        <c:v>0.20784609690826528</c:v>
                      </c:pt>
                      <c:pt idx="2232">
                        <c:v>0.20784609690826528</c:v>
                      </c:pt>
                      <c:pt idx="2233">
                        <c:v>0.20784609690826528</c:v>
                      </c:pt>
                      <c:pt idx="2234">
                        <c:v>0.20784609690826528</c:v>
                      </c:pt>
                      <c:pt idx="2235">
                        <c:v>0.20784609690826528</c:v>
                      </c:pt>
                      <c:pt idx="2236">
                        <c:v>0.20784609690826528</c:v>
                      </c:pt>
                      <c:pt idx="2237">
                        <c:v>0.20784609690826528</c:v>
                      </c:pt>
                      <c:pt idx="2238">
                        <c:v>0.20784609690826528</c:v>
                      </c:pt>
                      <c:pt idx="2239">
                        <c:v>0.20784609690826528</c:v>
                      </c:pt>
                      <c:pt idx="2240">
                        <c:v>0.20784609690826528</c:v>
                      </c:pt>
                      <c:pt idx="2241">
                        <c:v>0.20784609690826528</c:v>
                      </c:pt>
                      <c:pt idx="2242">
                        <c:v>0.20784609690826528</c:v>
                      </c:pt>
                      <c:pt idx="2243">
                        <c:v>0.20784609690826528</c:v>
                      </c:pt>
                      <c:pt idx="2244">
                        <c:v>0.20784609690826528</c:v>
                      </c:pt>
                      <c:pt idx="2245">
                        <c:v>0.20784609690826528</c:v>
                      </c:pt>
                      <c:pt idx="2246">
                        <c:v>0.20784609690826528</c:v>
                      </c:pt>
                      <c:pt idx="2247">
                        <c:v>0.20784609690826528</c:v>
                      </c:pt>
                      <c:pt idx="2248">
                        <c:v>0.20784609690826528</c:v>
                      </c:pt>
                      <c:pt idx="2250">
                        <c:v>0.21650635094610965</c:v>
                      </c:pt>
                      <c:pt idx="2251">
                        <c:v>0.21650635094610965</c:v>
                      </c:pt>
                      <c:pt idx="2252">
                        <c:v>0.21650635094610965</c:v>
                      </c:pt>
                      <c:pt idx="2253">
                        <c:v>0.21650635094610965</c:v>
                      </c:pt>
                      <c:pt idx="2254">
                        <c:v>0.21650635094610965</c:v>
                      </c:pt>
                      <c:pt idx="2255">
                        <c:v>0.21650635094610965</c:v>
                      </c:pt>
                      <c:pt idx="2256">
                        <c:v>0.21650635094610965</c:v>
                      </c:pt>
                      <c:pt idx="2257">
                        <c:v>0.21650635094610965</c:v>
                      </c:pt>
                      <c:pt idx="2258">
                        <c:v>0.21650635094610965</c:v>
                      </c:pt>
                      <c:pt idx="2259">
                        <c:v>0.21650635094610965</c:v>
                      </c:pt>
                      <c:pt idx="2260">
                        <c:v>0.21650635094610965</c:v>
                      </c:pt>
                      <c:pt idx="2261">
                        <c:v>0.21650635094610965</c:v>
                      </c:pt>
                      <c:pt idx="2262">
                        <c:v>0.21650635094610965</c:v>
                      </c:pt>
                      <c:pt idx="2263">
                        <c:v>0.21650635094610965</c:v>
                      </c:pt>
                      <c:pt idx="2264">
                        <c:v>0.21650635094610965</c:v>
                      </c:pt>
                      <c:pt idx="2265">
                        <c:v>0.21650635094610965</c:v>
                      </c:pt>
                      <c:pt idx="2266">
                        <c:v>0.21650635094610965</c:v>
                      </c:pt>
                      <c:pt idx="2267">
                        <c:v>0.21650635094610965</c:v>
                      </c:pt>
                      <c:pt idx="2268">
                        <c:v>0.21650635094610965</c:v>
                      </c:pt>
                      <c:pt idx="2269">
                        <c:v>0.21650635094610965</c:v>
                      </c:pt>
                      <c:pt idx="2270">
                        <c:v>0.21650635094610965</c:v>
                      </c:pt>
                      <c:pt idx="2271">
                        <c:v>0.21650635094610965</c:v>
                      </c:pt>
                      <c:pt idx="2272">
                        <c:v>0.21650635094610965</c:v>
                      </c:pt>
                      <c:pt idx="2273">
                        <c:v>0.21650635094610965</c:v>
                      </c:pt>
                      <c:pt idx="2274">
                        <c:v>0.21650635094610965</c:v>
                      </c:pt>
                      <c:pt idx="2275">
                        <c:v>0.21650635094610965</c:v>
                      </c:pt>
                      <c:pt idx="2276">
                        <c:v>0.21650635094610965</c:v>
                      </c:pt>
                      <c:pt idx="2277">
                        <c:v>0.21650635094610965</c:v>
                      </c:pt>
                      <c:pt idx="2278">
                        <c:v>0.21650635094610965</c:v>
                      </c:pt>
                      <c:pt idx="2279">
                        <c:v>0.21650635094610965</c:v>
                      </c:pt>
                      <c:pt idx="2280">
                        <c:v>0.21650635094610965</c:v>
                      </c:pt>
                      <c:pt idx="2281">
                        <c:v>0.21650635094610965</c:v>
                      </c:pt>
                      <c:pt idx="2282">
                        <c:v>0.21650635094610965</c:v>
                      </c:pt>
                      <c:pt idx="2283">
                        <c:v>0.21650635094610965</c:v>
                      </c:pt>
                      <c:pt idx="2284">
                        <c:v>0.21650635094610965</c:v>
                      </c:pt>
                      <c:pt idx="2285">
                        <c:v>0.21650635094610965</c:v>
                      </c:pt>
                      <c:pt idx="2286">
                        <c:v>0.21650635094610965</c:v>
                      </c:pt>
                      <c:pt idx="2287">
                        <c:v>0.21650635094610965</c:v>
                      </c:pt>
                      <c:pt idx="2288">
                        <c:v>0.21650635094610965</c:v>
                      </c:pt>
                      <c:pt idx="2289">
                        <c:v>0.21650635094610965</c:v>
                      </c:pt>
                      <c:pt idx="2290">
                        <c:v>0.21650635094610965</c:v>
                      </c:pt>
                      <c:pt idx="2291">
                        <c:v>0.21650635094610965</c:v>
                      </c:pt>
                      <c:pt idx="2292">
                        <c:v>0.21650635094610965</c:v>
                      </c:pt>
                      <c:pt idx="2293">
                        <c:v>0.21650635094610965</c:v>
                      </c:pt>
                      <c:pt idx="2294">
                        <c:v>0.21650635094610965</c:v>
                      </c:pt>
                      <c:pt idx="2295">
                        <c:v>0.21650635094610965</c:v>
                      </c:pt>
                      <c:pt idx="2296">
                        <c:v>0.21650635094610965</c:v>
                      </c:pt>
                      <c:pt idx="2297">
                        <c:v>0.21650635094610965</c:v>
                      </c:pt>
                      <c:pt idx="2298">
                        <c:v>0.21650635094610965</c:v>
                      </c:pt>
                      <c:pt idx="2299">
                        <c:v>0.21650635094610965</c:v>
                      </c:pt>
                      <c:pt idx="2300">
                        <c:v>0.21650635094610965</c:v>
                      </c:pt>
                      <c:pt idx="2301">
                        <c:v>0.21650635094610965</c:v>
                      </c:pt>
                      <c:pt idx="2302">
                        <c:v>0.21650635094610965</c:v>
                      </c:pt>
                      <c:pt idx="2303">
                        <c:v>0.21650635094610965</c:v>
                      </c:pt>
                      <c:pt idx="2304">
                        <c:v>0.21650635094610965</c:v>
                      </c:pt>
                      <c:pt idx="2305">
                        <c:v>0.21650635094610965</c:v>
                      </c:pt>
                      <c:pt idx="2306">
                        <c:v>0.21650635094610965</c:v>
                      </c:pt>
                      <c:pt idx="2307">
                        <c:v>0.21650635094610965</c:v>
                      </c:pt>
                      <c:pt idx="2308">
                        <c:v>0.21650635094610965</c:v>
                      </c:pt>
                      <c:pt idx="2309">
                        <c:v>0.21650635094610965</c:v>
                      </c:pt>
                      <c:pt idx="2310">
                        <c:v>0.21650635094610965</c:v>
                      </c:pt>
                      <c:pt idx="2311">
                        <c:v>0.21650635094610965</c:v>
                      </c:pt>
                      <c:pt idx="2312">
                        <c:v>0.21650635094610965</c:v>
                      </c:pt>
                      <c:pt idx="2313">
                        <c:v>0.21650635094610965</c:v>
                      </c:pt>
                      <c:pt idx="2314">
                        <c:v>0.21650635094610965</c:v>
                      </c:pt>
                      <c:pt idx="2315">
                        <c:v>0.21650635094610965</c:v>
                      </c:pt>
                      <c:pt idx="2316">
                        <c:v>0.21650635094610965</c:v>
                      </c:pt>
                      <c:pt idx="2317">
                        <c:v>0.21650635094610965</c:v>
                      </c:pt>
                      <c:pt idx="2318">
                        <c:v>0.21650635094610965</c:v>
                      </c:pt>
                      <c:pt idx="2319">
                        <c:v>0.21650635094610965</c:v>
                      </c:pt>
                      <c:pt idx="2320">
                        <c:v>0.21650635094610965</c:v>
                      </c:pt>
                      <c:pt idx="2321">
                        <c:v>0.21650635094610965</c:v>
                      </c:pt>
                      <c:pt idx="2322">
                        <c:v>0.21650635094610965</c:v>
                      </c:pt>
                      <c:pt idx="2323">
                        <c:v>0.21650635094610965</c:v>
                      </c:pt>
                      <c:pt idx="2324">
                        <c:v>0.21650635094610965</c:v>
                      </c:pt>
                      <c:pt idx="2325">
                        <c:v>0.21650635094610965</c:v>
                      </c:pt>
                      <c:pt idx="2327">
                        <c:v>0.22516660498395408</c:v>
                      </c:pt>
                      <c:pt idx="2328">
                        <c:v>0.22516660498395408</c:v>
                      </c:pt>
                      <c:pt idx="2329">
                        <c:v>0.22516660498395408</c:v>
                      </c:pt>
                      <c:pt idx="2330">
                        <c:v>0.22516660498395408</c:v>
                      </c:pt>
                      <c:pt idx="2331">
                        <c:v>0.22516660498395408</c:v>
                      </c:pt>
                      <c:pt idx="2332">
                        <c:v>0.22516660498395408</c:v>
                      </c:pt>
                      <c:pt idx="2333">
                        <c:v>0.22516660498395408</c:v>
                      </c:pt>
                      <c:pt idx="2334">
                        <c:v>0.22516660498395408</c:v>
                      </c:pt>
                      <c:pt idx="2335">
                        <c:v>0.22516660498395408</c:v>
                      </c:pt>
                      <c:pt idx="2336">
                        <c:v>0.22516660498395408</c:v>
                      </c:pt>
                      <c:pt idx="2337">
                        <c:v>0.22516660498395408</c:v>
                      </c:pt>
                      <c:pt idx="2338">
                        <c:v>0.22516660498395408</c:v>
                      </c:pt>
                      <c:pt idx="2339">
                        <c:v>0.22516660498395408</c:v>
                      </c:pt>
                      <c:pt idx="2340">
                        <c:v>0.22516660498395408</c:v>
                      </c:pt>
                      <c:pt idx="2341">
                        <c:v>0.22516660498395408</c:v>
                      </c:pt>
                      <c:pt idx="2342">
                        <c:v>0.22516660498395408</c:v>
                      </c:pt>
                      <c:pt idx="2343">
                        <c:v>0.22516660498395408</c:v>
                      </c:pt>
                      <c:pt idx="2344">
                        <c:v>0.22516660498395408</c:v>
                      </c:pt>
                      <c:pt idx="2345">
                        <c:v>0.22516660498395408</c:v>
                      </c:pt>
                      <c:pt idx="2346">
                        <c:v>0.22516660498395408</c:v>
                      </c:pt>
                      <c:pt idx="2347">
                        <c:v>0.22516660498395408</c:v>
                      </c:pt>
                      <c:pt idx="2348">
                        <c:v>0.22516660498395408</c:v>
                      </c:pt>
                      <c:pt idx="2349">
                        <c:v>0.22516660498395408</c:v>
                      </c:pt>
                      <c:pt idx="2350">
                        <c:v>0.22516660498395408</c:v>
                      </c:pt>
                      <c:pt idx="2351">
                        <c:v>0.22516660498395408</c:v>
                      </c:pt>
                      <c:pt idx="2352">
                        <c:v>0.22516660498395408</c:v>
                      </c:pt>
                      <c:pt idx="2353">
                        <c:v>0.22516660498395408</c:v>
                      </c:pt>
                      <c:pt idx="2354">
                        <c:v>0.22516660498395408</c:v>
                      </c:pt>
                      <c:pt idx="2355">
                        <c:v>0.22516660498395408</c:v>
                      </c:pt>
                      <c:pt idx="2356">
                        <c:v>0.22516660498395408</c:v>
                      </c:pt>
                      <c:pt idx="2357">
                        <c:v>0.22516660498395408</c:v>
                      </c:pt>
                      <c:pt idx="2358">
                        <c:v>0.22516660498395408</c:v>
                      </c:pt>
                      <c:pt idx="2359">
                        <c:v>0.22516660498395408</c:v>
                      </c:pt>
                      <c:pt idx="2360">
                        <c:v>0.22516660498395408</c:v>
                      </c:pt>
                      <c:pt idx="2361">
                        <c:v>0.22516660498395408</c:v>
                      </c:pt>
                      <c:pt idx="2362">
                        <c:v>0.22516660498395408</c:v>
                      </c:pt>
                      <c:pt idx="2363">
                        <c:v>0.22516660498395408</c:v>
                      </c:pt>
                      <c:pt idx="2364">
                        <c:v>0.22516660498395408</c:v>
                      </c:pt>
                      <c:pt idx="2365">
                        <c:v>0.22516660498395408</c:v>
                      </c:pt>
                      <c:pt idx="2366">
                        <c:v>0.22516660498395408</c:v>
                      </c:pt>
                      <c:pt idx="2367">
                        <c:v>0.22516660498395408</c:v>
                      </c:pt>
                      <c:pt idx="2368">
                        <c:v>0.22516660498395408</c:v>
                      </c:pt>
                      <c:pt idx="2369">
                        <c:v>0.22516660498395408</c:v>
                      </c:pt>
                      <c:pt idx="2370">
                        <c:v>0.22516660498395408</c:v>
                      </c:pt>
                      <c:pt idx="2371">
                        <c:v>0.22516660498395408</c:v>
                      </c:pt>
                      <c:pt idx="2372">
                        <c:v>0.22516660498395408</c:v>
                      </c:pt>
                      <c:pt idx="2373">
                        <c:v>0.22516660498395408</c:v>
                      </c:pt>
                      <c:pt idx="2374">
                        <c:v>0.22516660498395408</c:v>
                      </c:pt>
                      <c:pt idx="2375">
                        <c:v>0.22516660498395408</c:v>
                      </c:pt>
                      <c:pt idx="2376">
                        <c:v>0.22516660498395408</c:v>
                      </c:pt>
                      <c:pt idx="2377">
                        <c:v>0.22516660498395408</c:v>
                      </c:pt>
                      <c:pt idx="2378">
                        <c:v>0.22516660498395408</c:v>
                      </c:pt>
                      <c:pt idx="2379">
                        <c:v>0.22516660498395408</c:v>
                      </c:pt>
                      <c:pt idx="2380">
                        <c:v>0.22516660498395408</c:v>
                      </c:pt>
                      <c:pt idx="2381">
                        <c:v>0.22516660498395408</c:v>
                      </c:pt>
                      <c:pt idx="2382">
                        <c:v>0.22516660498395408</c:v>
                      </c:pt>
                      <c:pt idx="2383">
                        <c:v>0.22516660498395408</c:v>
                      </c:pt>
                      <c:pt idx="2384">
                        <c:v>0.22516660498395408</c:v>
                      </c:pt>
                      <c:pt idx="2385">
                        <c:v>0.22516660498395408</c:v>
                      </c:pt>
                      <c:pt idx="2386">
                        <c:v>0.22516660498395408</c:v>
                      </c:pt>
                      <c:pt idx="2387">
                        <c:v>0.22516660498395408</c:v>
                      </c:pt>
                      <c:pt idx="2388">
                        <c:v>0.22516660498395408</c:v>
                      </c:pt>
                      <c:pt idx="2389">
                        <c:v>0.22516660498395408</c:v>
                      </c:pt>
                      <c:pt idx="2390">
                        <c:v>0.22516660498395408</c:v>
                      </c:pt>
                      <c:pt idx="2391">
                        <c:v>0.22516660498395408</c:v>
                      </c:pt>
                      <c:pt idx="2392">
                        <c:v>0.22516660498395408</c:v>
                      </c:pt>
                      <c:pt idx="2393">
                        <c:v>0.22516660498395408</c:v>
                      </c:pt>
                      <c:pt idx="2394">
                        <c:v>0.22516660498395408</c:v>
                      </c:pt>
                      <c:pt idx="2395">
                        <c:v>0.22516660498395408</c:v>
                      </c:pt>
                      <c:pt idx="2396">
                        <c:v>0.22516660498395408</c:v>
                      </c:pt>
                      <c:pt idx="2397">
                        <c:v>0.22516660498395408</c:v>
                      </c:pt>
                      <c:pt idx="2398">
                        <c:v>0.22516660498395408</c:v>
                      </c:pt>
                      <c:pt idx="2399">
                        <c:v>0.22516660498395408</c:v>
                      </c:pt>
                      <c:pt idx="2400">
                        <c:v>0.22516660498395408</c:v>
                      </c:pt>
                      <c:pt idx="2401">
                        <c:v>0.22516660498395408</c:v>
                      </c:pt>
                      <c:pt idx="2403">
                        <c:v>0.23382685902179845</c:v>
                      </c:pt>
                      <c:pt idx="2404">
                        <c:v>0.23382685902179845</c:v>
                      </c:pt>
                      <c:pt idx="2405">
                        <c:v>0.23382685902179845</c:v>
                      </c:pt>
                      <c:pt idx="2406">
                        <c:v>0.23382685902179845</c:v>
                      </c:pt>
                      <c:pt idx="2407">
                        <c:v>0.23382685902179845</c:v>
                      </c:pt>
                      <c:pt idx="2408">
                        <c:v>0.23382685902179845</c:v>
                      </c:pt>
                      <c:pt idx="2409">
                        <c:v>0.23382685902179845</c:v>
                      </c:pt>
                      <c:pt idx="2410">
                        <c:v>0.23382685902179845</c:v>
                      </c:pt>
                      <c:pt idx="2411">
                        <c:v>0.23382685902179845</c:v>
                      </c:pt>
                      <c:pt idx="2412">
                        <c:v>0.23382685902179845</c:v>
                      </c:pt>
                      <c:pt idx="2413">
                        <c:v>0.23382685902179845</c:v>
                      </c:pt>
                      <c:pt idx="2414">
                        <c:v>0.23382685902179845</c:v>
                      </c:pt>
                      <c:pt idx="2415">
                        <c:v>0.23382685902179845</c:v>
                      </c:pt>
                      <c:pt idx="2416">
                        <c:v>0.23382685902179845</c:v>
                      </c:pt>
                      <c:pt idx="2417">
                        <c:v>0.23382685902179845</c:v>
                      </c:pt>
                      <c:pt idx="2418">
                        <c:v>0.23382685902179845</c:v>
                      </c:pt>
                      <c:pt idx="2419">
                        <c:v>0.23382685902179845</c:v>
                      </c:pt>
                      <c:pt idx="2420">
                        <c:v>0.23382685902179845</c:v>
                      </c:pt>
                      <c:pt idx="2421">
                        <c:v>0.23382685902179845</c:v>
                      </c:pt>
                      <c:pt idx="2422">
                        <c:v>0.23382685902179845</c:v>
                      </c:pt>
                      <c:pt idx="2423">
                        <c:v>0.23382685902179845</c:v>
                      </c:pt>
                      <c:pt idx="2424">
                        <c:v>0.23382685902179845</c:v>
                      </c:pt>
                      <c:pt idx="2425">
                        <c:v>0.23382685902179845</c:v>
                      </c:pt>
                      <c:pt idx="2426">
                        <c:v>0.23382685902179845</c:v>
                      </c:pt>
                      <c:pt idx="2427">
                        <c:v>0.23382685902179845</c:v>
                      </c:pt>
                      <c:pt idx="2428">
                        <c:v>0.23382685902179845</c:v>
                      </c:pt>
                      <c:pt idx="2429">
                        <c:v>0.23382685902179845</c:v>
                      </c:pt>
                      <c:pt idx="2430">
                        <c:v>0.23382685902179845</c:v>
                      </c:pt>
                      <c:pt idx="2431">
                        <c:v>0.23382685902179845</c:v>
                      </c:pt>
                      <c:pt idx="2432">
                        <c:v>0.23382685902179845</c:v>
                      </c:pt>
                      <c:pt idx="2433">
                        <c:v>0.23382685902179845</c:v>
                      </c:pt>
                      <c:pt idx="2434">
                        <c:v>0.23382685902179845</c:v>
                      </c:pt>
                      <c:pt idx="2435">
                        <c:v>0.23382685902179845</c:v>
                      </c:pt>
                      <c:pt idx="2436">
                        <c:v>0.23382685902179845</c:v>
                      </c:pt>
                      <c:pt idx="2437">
                        <c:v>0.23382685902179845</c:v>
                      </c:pt>
                      <c:pt idx="2438">
                        <c:v>0.23382685902179845</c:v>
                      </c:pt>
                      <c:pt idx="2439">
                        <c:v>0.23382685902179845</c:v>
                      </c:pt>
                      <c:pt idx="2440">
                        <c:v>0.23382685902179845</c:v>
                      </c:pt>
                      <c:pt idx="2441">
                        <c:v>0.23382685902179845</c:v>
                      </c:pt>
                      <c:pt idx="2442">
                        <c:v>0.23382685902179845</c:v>
                      </c:pt>
                      <c:pt idx="2443">
                        <c:v>0.23382685902179845</c:v>
                      </c:pt>
                      <c:pt idx="2444">
                        <c:v>0.23382685902179845</c:v>
                      </c:pt>
                      <c:pt idx="2445">
                        <c:v>0.23382685902179845</c:v>
                      </c:pt>
                      <c:pt idx="2446">
                        <c:v>0.23382685902179845</c:v>
                      </c:pt>
                      <c:pt idx="2447">
                        <c:v>0.23382685902179845</c:v>
                      </c:pt>
                      <c:pt idx="2448">
                        <c:v>0.23382685902179845</c:v>
                      </c:pt>
                      <c:pt idx="2449">
                        <c:v>0.23382685902179845</c:v>
                      </c:pt>
                      <c:pt idx="2450">
                        <c:v>0.23382685902179845</c:v>
                      </c:pt>
                      <c:pt idx="2451">
                        <c:v>0.23382685902179845</c:v>
                      </c:pt>
                      <c:pt idx="2452">
                        <c:v>0.23382685902179845</c:v>
                      </c:pt>
                      <c:pt idx="2453">
                        <c:v>0.23382685902179845</c:v>
                      </c:pt>
                      <c:pt idx="2454">
                        <c:v>0.23382685902179845</c:v>
                      </c:pt>
                      <c:pt idx="2455">
                        <c:v>0.23382685902179845</c:v>
                      </c:pt>
                      <c:pt idx="2456">
                        <c:v>0.23382685902179845</c:v>
                      </c:pt>
                      <c:pt idx="2457">
                        <c:v>0.23382685902179845</c:v>
                      </c:pt>
                      <c:pt idx="2458">
                        <c:v>0.23382685902179845</c:v>
                      </c:pt>
                      <c:pt idx="2459">
                        <c:v>0.23382685902179845</c:v>
                      </c:pt>
                      <c:pt idx="2460">
                        <c:v>0.23382685902179845</c:v>
                      </c:pt>
                      <c:pt idx="2461">
                        <c:v>0.23382685902179845</c:v>
                      </c:pt>
                      <c:pt idx="2462">
                        <c:v>0.23382685902179845</c:v>
                      </c:pt>
                      <c:pt idx="2463">
                        <c:v>0.23382685902179845</c:v>
                      </c:pt>
                      <c:pt idx="2464">
                        <c:v>0.23382685902179845</c:v>
                      </c:pt>
                      <c:pt idx="2465">
                        <c:v>0.23382685902179845</c:v>
                      </c:pt>
                      <c:pt idx="2466">
                        <c:v>0.23382685902179845</c:v>
                      </c:pt>
                      <c:pt idx="2467">
                        <c:v>0.23382685902179845</c:v>
                      </c:pt>
                      <c:pt idx="2468">
                        <c:v>0.23382685902179845</c:v>
                      </c:pt>
                      <c:pt idx="2469">
                        <c:v>0.23382685902179845</c:v>
                      </c:pt>
                      <c:pt idx="2470">
                        <c:v>0.23382685902179845</c:v>
                      </c:pt>
                      <c:pt idx="2471">
                        <c:v>0.23382685902179845</c:v>
                      </c:pt>
                      <c:pt idx="2472">
                        <c:v>0.23382685902179845</c:v>
                      </c:pt>
                      <c:pt idx="2473">
                        <c:v>0.23382685902179845</c:v>
                      </c:pt>
                      <c:pt idx="2474">
                        <c:v>0.23382685902179845</c:v>
                      </c:pt>
                      <c:pt idx="2475">
                        <c:v>0.23382685902179845</c:v>
                      </c:pt>
                      <c:pt idx="2476">
                        <c:v>0.23382685902179845</c:v>
                      </c:pt>
                      <c:pt idx="2478">
                        <c:v>0.24248711305964282</c:v>
                      </c:pt>
                      <c:pt idx="2479">
                        <c:v>0.24248711305964282</c:v>
                      </c:pt>
                      <c:pt idx="2480">
                        <c:v>0.24248711305964282</c:v>
                      </c:pt>
                      <c:pt idx="2481">
                        <c:v>0.24248711305964282</c:v>
                      </c:pt>
                      <c:pt idx="2482">
                        <c:v>0.24248711305964282</c:v>
                      </c:pt>
                      <c:pt idx="2483">
                        <c:v>0.24248711305964282</c:v>
                      </c:pt>
                      <c:pt idx="2484">
                        <c:v>0.24248711305964282</c:v>
                      </c:pt>
                      <c:pt idx="2485">
                        <c:v>0.24248711305964282</c:v>
                      </c:pt>
                      <c:pt idx="2486">
                        <c:v>0.24248711305964282</c:v>
                      </c:pt>
                      <c:pt idx="2487">
                        <c:v>0.24248711305964282</c:v>
                      </c:pt>
                      <c:pt idx="2488">
                        <c:v>0.24248711305964282</c:v>
                      </c:pt>
                      <c:pt idx="2489">
                        <c:v>0.24248711305964282</c:v>
                      </c:pt>
                      <c:pt idx="2490">
                        <c:v>0.24248711305964282</c:v>
                      </c:pt>
                      <c:pt idx="2491">
                        <c:v>0.24248711305964282</c:v>
                      </c:pt>
                      <c:pt idx="2492">
                        <c:v>0.24248711305964282</c:v>
                      </c:pt>
                      <c:pt idx="2493">
                        <c:v>0.24248711305964282</c:v>
                      </c:pt>
                      <c:pt idx="2494">
                        <c:v>0.24248711305964282</c:v>
                      </c:pt>
                      <c:pt idx="2495">
                        <c:v>0.24248711305964282</c:v>
                      </c:pt>
                      <c:pt idx="2496">
                        <c:v>0.24248711305964282</c:v>
                      </c:pt>
                      <c:pt idx="2497">
                        <c:v>0.24248711305964282</c:v>
                      </c:pt>
                      <c:pt idx="2498">
                        <c:v>0.24248711305964282</c:v>
                      </c:pt>
                      <c:pt idx="2499">
                        <c:v>0.24248711305964282</c:v>
                      </c:pt>
                      <c:pt idx="2500">
                        <c:v>0.24248711305964282</c:v>
                      </c:pt>
                      <c:pt idx="2501">
                        <c:v>0.24248711305964282</c:v>
                      </c:pt>
                      <c:pt idx="2502">
                        <c:v>0.24248711305964282</c:v>
                      </c:pt>
                      <c:pt idx="2503">
                        <c:v>0.24248711305964282</c:v>
                      </c:pt>
                      <c:pt idx="2504">
                        <c:v>0.24248711305964282</c:v>
                      </c:pt>
                      <c:pt idx="2505">
                        <c:v>0.24248711305964282</c:v>
                      </c:pt>
                      <c:pt idx="2506">
                        <c:v>0.24248711305964282</c:v>
                      </c:pt>
                      <c:pt idx="2507">
                        <c:v>0.24248711305964282</c:v>
                      </c:pt>
                      <c:pt idx="2508">
                        <c:v>0.24248711305964282</c:v>
                      </c:pt>
                      <c:pt idx="2509">
                        <c:v>0.24248711305964282</c:v>
                      </c:pt>
                      <c:pt idx="2510">
                        <c:v>0.24248711305964282</c:v>
                      </c:pt>
                      <c:pt idx="2511">
                        <c:v>0.24248711305964282</c:v>
                      </c:pt>
                      <c:pt idx="2512">
                        <c:v>0.24248711305964282</c:v>
                      </c:pt>
                      <c:pt idx="2513">
                        <c:v>0.24248711305964282</c:v>
                      </c:pt>
                      <c:pt idx="2514">
                        <c:v>0.24248711305964282</c:v>
                      </c:pt>
                      <c:pt idx="2515">
                        <c:v>0.24248711305964282</c:v>
                      </c:pt>
                      <c:pt idx="2516">
                        <c:v>0.24248711305964282</c:v>
                      </c:pt>
                      <c:pt idx="2517">
                        <c:v>0.24248711305964282</c:v>
                      </c:pt>
                      <c:pt idx="2518">
                        <c:v>0.24248711305964282</c:v>
                      </c:pt>
                      <c:pt idx="2519">
                        <c:v>0.24248711305964282</c:v>
                      </c:pt>
                      <c:pt idx="2520">
                        <c:v>0.24248711305964282</c:v>
                      </c:pt>
                      <c:pt idx="2521">
                        <c:v>0.24248711305964282</c:v>
                      </c:pt>
                      <c:pt idx="2522">
                        <c:v>0.24248711305964282</c:v>
                      </c:pt>
                      <c:pt idx="2523">
                        <c:v>0.24248711305964282</c:v>
                      </c:pt>
                      <c:pt idx="2524">
                        <c:v>0.24248711305964282</c:v>
                      </c:pt>
                      <c:pt idx="2525">
                        <c:v>0.24248711305964282</c:v>
                      </c:pt>
                      <c:pt idx="2526">
                        <c:v>0.24248711305964282</c:v>
                      </c:pt>
                      <c:pt idx="2527">
                        <c:v>0.24248711305964282</c:v>
                      </c:pt>
                      <c:pt idx="2528">
                        <c:v>0.24248711305964282</c:v>
                      </c:pt>
                      <c:pt idx="2529">
                        <c:v>0.24248711305964282</c:v>
                      </c:pt>
                      <c:pt idx="2530">
                        <c:v>0.24248711305964282</c:v>
                      </c:pt>
                      <c:pt idx="2531">
                        <c:v>0.24248711305964282</c:v>
                      </c:pt>
                      <c:pt idx="2532">
                        <c:v>0.24248711305964282</c:v>
                      </c:pt>
                      <c:pt idx="2533">
                        <c:v>0.24248711305964282</c:v>
                      </c:pt>
                      <c:pt idx="2534">
                        <c:v>0.24248711305964282</c:v>
                      </c:pt>
                      <c:pt idx="2535">
                        <c:v>0.24248711305964282</c:v>
                      </c:pt>
                      <c:pt idx="2536">
                        <c:v>0.24248711305964282</c:v>
                      </c:pt>
                      <c:pt idx="2537">
                        <c:v>0.24248711305964282</c:v>
                      </c:pt>
                      <c:pt idx="2538">
                        <c:v>0.24248711305964282</c:v>
                      </c:pt>
                      <c:pt idx="2539">
                        <c:v>0.24248711305964282</c:v>
                      </c:pt>
                      <c:pt idx="2540">
                        <c:v>0.24248711305964282</c:v>
                      </c:pt>
                      <c:pt idx="2541">
                        <c:v>0.24248711305964282</c:v>
                      </c:pt>
                      <c:pt idx="2542">
                        <c:v>0.24248711305964282</c:v>
                      </c:pt>
                      <c:pt idx="2543">
                        <c:v>0.24248711305964282</c:v>
                      </c:pt>
                      <c:pt idx="2544">
                        <c:v>0.24248711305964282</c:v>
                      </c:pt>
                      <c:pt idx="2545">
                        <c:v>0.24248711305964282</c:v>
                      </c:pt>
                      <c:pt idx="2546">
                        <c:v>0.24248711305964282</c:v>
                      </c:pt>
                      <c:pt idx="2547">
                        <c:v>0.24248711305964282</c:v>
                      </c:pt>
                      <c:pt idx="2548">
                        <c:v>0.24248711305964282</c:v>
                      </c:pt>
                      <c:pt idx="2549">
                        <c:v>0.24248711305964282</c:v>
                      </c:pt>
                      <c:pt idx="2550">
                        <c:v>0.24248711305964282</c:v>
                      </c:pt>
                      <c:pt idx="2552">
                        <c:v>0.2511473670974872</c:v>
                      </c:pt>
                      <c:pt idx="2553">
                        <c:v>0.2511473670974872</c:v>
                      </c:pt>
                      <c:pt idx="2554">
                        <c:v>0.2511473670974872</c:v>
                      </c:pt>
                      <c:pt idx="2555">
                        <c:v>0.2511473670974872</c:v>
                      </c:pt>
                      <c:pt idx="2556">
                        <c:v>0.2511473670974872</c:v>
                      </c:pt>
                      <c:pt idx="2557">
                        <c:v>0.2511473670974872</c:v>
                      </c:pt>
                      <c:pt idx="2558">
                        <c:v>0.2511473670974872</c:v>
                      </c:pt>
                      <c:pt idx="2559">
                        <c:v>0.2511473670974872</c:v>
                      </c:pt>
                      <c:pt idx="2560">
                        <c:v>0.2511473670974872</c:v>
                      </c:pt>
                      <c:pt idx="2561">
                        <c:v>0.2511473670974872</c:v>
                      </c:pt>
                      <c:pt idx="2562">
                        <c:v>0.2511473670974872</c:v>
                      </c:pt>
                      <c:pt idx="2563">
                        <c:v>0.2511473670974872</c:v>
                      </c:pt>
                      <c:pt idx="2564">
                        <c:v>0.2511473670974872</c:v>
                      </c:pt>
                      <c:pt idx="2565">
                        <c:v>0.2511473670974872</c:v>
                      </c:pt>
                      <c:pt idx="2566">
                        <c:v>0.2511473670974872</c:v>
                      </c:pt>
                      <c:pt idx="2567">
                        <c:v>0.2511473670974872</c:v>
                      </c:pt>
                      <c:pt idx="2568">
                        <c:v>0.2511473670974872</c:v>
                      </c:pt>
                      <c:pt idx="2569">
                        <c:v>0.2511473670974872</c:v>
                      </c:pt>
                      <c:pt idx="2570">
                        <c:v>0.2511473670974872</c:v>
                      </c:pt>
                      <c:pt idx="2571">
                        <c:v>0.2511473670974872</c:v>
                      </c:pt>
                      <c:pt idx="2572">
                        <c:v>0.2511473670974872</c:v>
                      </c:pt>
                      <c:pt idx="2573">
                        <c:v>0.2511473670974872</c:v>
                      </c:pt>
                      <c:pt idx="2574">
                        <c:v>0.2511473670974872</c:v>
                      </c:pt>
                      <c:pt idx="2575">
                        <c:v>0.2511473670974872</c:v>
                      </c:pt>
                      <c:pt idx="2576">
                        <c:v>0.2511473670974872</c:v>
                      </c:pt>
                      <c:pt idx="2577">
                        <c:v>0.2511473670974872</c:v>
                      </c:pt>
                      <c:pt idx="2578">
                        <c:v>0.2511473670974872</c:v>
                      </c:pt>
                      <c:pt idx="2579">
                        <c:v>0.2511473670974872</c:v>
                      </c:pt>
                      <c:pt idx="2580">
                        <c:v>0.2511473670974872</c:v>
                      </c:pt>
                      <c:pt idx="2581">
                        <c:v>0.2511473670974872</c:v>
                      </c:pt>
                      <c:pt idx="2582">
                        <c:v>0.2511473670974872</c:v>
                      </c:pt>
                      <c:pt idx="2583">
                        <c:v>0.2511473670974872</c:v>
                      </c:pt>
                      <c:pt idx="2584">
                        <c:v>0.2511473670974872</c:v>
                      </c:pt>
                      <c:pt idx="2585">
                        <c:v>0.2511473670974872</c:v>
                      </c:pt>
                      <c:pt idx="2586">
                        <c:v>0.2511473670974872</c:v>
                      </c:pt>
                      <c:pt idx="2587">
                        <c:v>0.2511473670974872</c:v>
                      </c:pt>
                      <c:pt idx="2588">
                        <c:v>0.2511473670974872</c:v>
                      </c:pt>
                      <c:pt idx="2589">
                        <c:v>0.2511473670974872</c:v>
                      </c:pt>
                      <c:pt idx="2590">
                        <c:v>0.2511473670974872</c:v>
                      </c:pt>
                      <c:pt idx="2591">
                        <c:v>0.2511473670974872</c:v>
                      </c:pt>
                      <c:pt idx="2592">
                        <c:v>0.2511473670974872</c:v>
                      </c:pt>
                      <c:pt idx="2593">
                        <c:v>0.2511473670974872</c:v>
                      </c:pt>
                      <c:pt idx="2594">
                        <c:v>0.2511473670974872</c:v>
                      </c:pt>
                      <c:pt idx="2595">
                        <c:v>0.2511473670974872</c:v>
                      </c:pt>
                      <c:pt idx="2596">
                        <c:v>0.2511473670974872</c:v>
                      </c:pt>
                      <c:pt idx="2597">
                        <c:v>0.2511473670974872</c:v>
                      </c:pt>
                      <c:pt idx="2598">
                        <c:v>0.2511473670974872</c:v>
                      </c:pt>
                      <c:pt idx="2599">
                        <c:v>0.2511473670974872</c:v>
                      </c:pt>
                      <c:pt idx="2600">
                        <c:v>0.2511473670974872</c:v>
                      </c:pt>
                      <c:pt idx="2601">
                        <c:v>0.2511473670974872</c:v>
                      </c:pt>
                      <c:pt idx="2602">
                        <c:v>0.2511473670974872</c:v>
                      </c:pt>
                      <c:pt idx="2603">
                        <c:v>0.2511473670974872</c:v>
                      </c:pt>
                      <c:pt idx="2604">
                        <c:v>0.2511473670974872</c:v>
                      </c:pt>
                      <c:pt idx="2605">
                        <c:v>0.2511473670974872</c:v>
                      </c:pt>
                      <c:pt idx="2606">
                        <c:v>0.2511473670974872</c:v>
                      </c:pt>
                      <c:pt idx="2607">
                        <c:v>0.2511473670974872</c:v>
                      </c:pt>
                      <c:pt idx="2608">
                        <c:v>0.2511473670974872</c:v>
                      </c:pt>
                      <c:pt idx="2609">
                        <c:v>0.2511473670974872</c:v>
                      </c:pt>
                      <c:pt idx="2610">
                        <c:v>0.2511473670974872</c:v>
                      </c:pt>
                      <c:pt idx="2611">
                        <c:v>0.2511473670974872</c:v>
                      </c:pt>
                      <c:pt idx="2612">
                        <c:v>0.2511473670974872</c:v>
                      </c:pt>
                      <c:pt idx="2613">
                        <c:v>0.2511473670974872</c:v>
                      </c:pt>
                      <c:pt idx="2614">
                        <c:v>0.2511473670974872</c:v>
                      </c:pt>
                      <c:pt idx="2615">
                        <c:v>0.2511473670974872</c:v>
                      </c:pt>
                      <c:pt idx="2616">
                        <c:v>0.2511473670974872</c:v>
                      </c:pt>
                      <c:pt idx="2617">
                        <c:v>0.2511473670974872</c:v>
                      </c:pt>
                      <c:pt idx="2618">
                        <c:v>0.2511473670974872</c:v>
                      </c:pt>
                      <c:pt idx="2619">
                        <c:v>0.2511473670974872</c:v>
                      </c:pt>
                      <c:pt idx="2620">
                        <c:v>0.2511473670974872</c:v>
                      </c:pt>
                      <c:pt idx="2621">
                        <c:v>0.2511473670974872</c:v>
                      </c:pt>
                      <c:pt idx="2622">
                        <c:v>0.2511473670974872</c:v>
                      </c:pt>
                      <c:pt idx="2623">
                        <c:v>0.2511473670974872</c:v>
                      </c:pt>
                      <c:pt idx="2625">
                        <c:v>0.25980762113533162</c:v>
                      </c:pt>
                      <c:pt idx="2626">
                        <c:v>0.25980762113533162</c:v>
                      </c:pt>
                      <c:pt idx="2627">
                        <c:v>0.25980762113533162</c:v>
                      </c:pt>
                      <c:pt idx="2628">
                        <c:v>0.25980762113533162</c:v>
                      </c:pt>
                      <c:pt idx="2629">
                        <c:v>0.25980762113533162</c:v>
                      </c:pt>
                      <c:pt idx="2630">
                        <c:v>0.25980762113533162</c:v>
                      </c:pt>
                      <c:pt idx="2631">
                        <c:v>0.25980762113533162</c:v>
                      </c:pt>
                      <c:pt idx="2632">
                        <c:v>0.25980762113533162</c:v>
                      </c:pt>
                      <c:pt idx="2633">
                        <c:v>0.25980762113533162</c:v>
                      </c:pt>
                      <c:pt idx="2634">
                        <c:v>0.25980762113533162</c:v>
                      </c:pt>
                      <c:pt idx="2635">
                        <c:v>0.25980762113533162</c:v>
                      </c:pt>
                      <c:pt idx="2636">
                        <c:v>0.25980762113533162</c:v>
                      </c:pt>
                      <c:pt idx="2637">
                        <c:v>0.25980762113533162</c:v>
                      </c:pt>
                      <c:pt idx="2638">
                        <c:v>0.25980762113533162</c:v>
                      </c:pt>
                      <c:pt idx="2639">
                        <c:v>0.25980762113533162</c:v>
                      </c:pt>
                      <c:pt idx="2640">
                        <c:v>0.25980762113533162</c:v>
                      </c:pt>
                      <c:pt idx="2641">
                        <c:v>0.25980762113533162</c:v>
                      </c:pt>
                      <c:pt idx="2642">
                        <c:v>0.25980762113533162</c:v>
                      </c:pt>
                      <c:pt idx="2643">
                        <c:v>0.25980762113533162</c:v>
                      </c:pt>
                      <c:pt idx="2644">
                        <c:v>0.25980762113533162</c:v>
                      </c:pt>
                      <c:pt idx="2645">
                        <c:v>0.25980762113533162</c:v>
                      </c:pt>
                      <c:pt idx="2646">
                        <c:v>0.25980762113533162</c:v>
                      </c:pt>
                      <c:pt idx="2647">
                        <c:v>0.25980762113533162</c:v>
                      </c:pt>
                      <c:pt idx="2648">
                        <c:v>0.25980762113533162</c:v>
                      </c:pt>
                      <c:pt idx="2649">
                        <c:v>0.25980762113533162</c:v>
                      </c:pt>
                      <c:pt idx="2650">
                        <c:v>0.25980762113533162</c:v>
                      </c:pt>
                      <c:pt idx="2651">
                        <c:v>0.25980762113533162</c:v>
                      </c:pt>
                      <c:pt idx="2652">
                        <c:v>0.25980762113533162</c:v>
                      </c:pt>
                      <c:pt idx="2653">
                        <c:v>0.25980762113533162</c:v>
                      </c:pt>
                      <c:pt idx="2654">
                        <c:v>0.25980762113533162</c:v>
                      </c:pt>
                      <c:pt idx="2655">
                        <c:v>0.25980762113533162</c:v>
                      </c:pt>
                      <c:pt idx="2656">
                        <c:v>0.25980762113533162</c:v>
                      </c:pt>
                      <c:pt idx="2657">
                        <c:v>0.25980762113533162</c:v>
                      </c:pt>
                      <c:pt idx="2658">
                        <c:v>0.25980762113533162</c:v>
                      </c:pt>
                      <c:pt idx="2659">
                        <c:v>0.25980762113533162</c:v>
                      </c:pt>
                      <c:pt idx="2660">
                        <c:v>0.25980762113533162</c:v>
                      </c:pt>
                      <c:pt idx="2661">
                        <c:v>0.25980762113533162</c:v>
                      </c:pt>
                      <c:pt idx="2662">
                        <c:v>0.25980762113533162</c:v>
                      </c:pt>
                      <c:pt idx="2663">
                        <c:v>0.25980762113533162</c:v>
                      </c:pt>
                      <c:pt idx="2664">
                        <c:v>0.25980762113533162</c:v>
                      </c:pt>
                      <c:pt idx="2665">
                        <c:v>0.25980762113533162</c:v>
                      </c:pt>
                      <c:pt idx="2666">
                        <c:v>0.25980762113533162</c:v>
                      </c:pt>
                      <c:pt idx="2667">
                        <c:v>0.25980762113533162</c:v>
                      </c:pt>
                      <c:pt idx="2668">
                        <c:v>0.25980762113533162</c:v>
                      </c:pt>
                      <c:pt idx="2669">
                        <c:v>0.25980762113533162</c:v>
                      </c:pt>
                      <c:pt idx="2670">
                        <c:v>0.25980762113533162</c:v>
                      </c:pt>
                      <c:pt idx="2671">
                        <c:v>0.25980762113533162</c:v>
                      </c:pt>
                      <c:pt idx="2672">
                        <c:v>0.25980762113533162</c:v>
                      </c:pt>
                      <c:pt idx="2673">
                        <c:v>0.25980762113533162</c:v>
                      </c:pt>
                      <c:pt idx="2674">
                        <c:v>0.25980762113533162</c:v>
                      </c:pt>
                      <c:pt idx="2675">
                        <c:v>0.25980762113533162</c:v>
                      </c:pt>
                      <c:pt idx="2676">
                        <c:v>0.25980762113533162</c:v>
                      </c:pt>
                      <c:pt idx="2677">
                        <c:v>0.25980762113533162</c:v>
                      </c:pt>
                      <c:pt idx="2678">
                        <c:v>0.25980762113533162</c:v>
                      </c:pt>
                      <c:pt idx="2679">
                        <c:v>0.25980762113533162</c:v>
                      </c:pt>
                      <c:pt idx="2680">
                        <c:v>0.25980762113533162</c:v>
                      </c:pt>
                      <c:pt idx="2681">
                        <c:v>0.25980762113533162</c:v>
                      </c:pt>
                      <c:pt idx="2682">
                        <c:v>0.25980762113533162</c:v>
                      </c:pt>
                      <c:pt idx="2683">
                        <c:v>0.25980762113533162</c:v>
                      </c:pt>
                      <c:pt idx="2684">
                        <c:v>0.25980762113533162</c:v>
                      </c:pt>
                      <c:pt idx="2685">
                        <c:v>0.25980762113533162</c:v>
                      </c:pt>
                      <c:pt idx="2686">
                        <c:v>0.25980762113533162</c:v>
                      </c:pt>
                      <c:pt idx="2687">
                        <c:v>0.25980762113533162</c:v>
                      </c:pt>
                      <c:pt idx="2688">
                        <c:v>0.25980762113533162</c:v>
                      </c:pt>
                      <c:pt idx="2689">
                        <c:v>0.25980762113533162</c:v>
                      </c:pt>
                      <c:pt idx="2690">
                        <c:v>0.25980762113533162</c:v>
                      </c:pt>
                      <c:pt idx="2691">
                        <c:v>0.25980762113533162</c:v>
                      </c:pt>
                      <c:pt idx="2692">
                        <c:v>0.25980762113533162</c:v>
                      </c:pt>
                      <c:pt idx="2693">
                        <c:v>0.25980762113533162</c:v>
                      </c:pt>
                      <c:pt idx="2694">
                        <c:v>0.25980762113533162</c:v>
                      </c:pt>
                      <c:pt idx="2695">
                        <c:v>0.25980762113533162</c:v>
                      </c:pt>
                      <c:pt idx="2697">
                        <c:v>0.268467875173176</c:v>
                      </c:pt>
                      <c:pt idx="2698">
                        <c:v>0.268467875173176</c:v>
                      </c:pt>
                      <c:pt idx="2699">
                        <c:v>0.268467875173176</c:v>
                      </c:pt>
                      <c:pt idx="2700">
                        <c:v>0.268467875173176</c:v>
                      </c:pt>
                      <c:pt idx="2701">
                        <c:v>0.268467875173176</c:v>
                      </c:pt>
                      <c:pt idx="2702">
                        <c:v>0.268467875173176</c:v>
                      </c:pt>
                      <c:pt idx="2703">
                        <c:v>0.268467875173176</c:v>
                      </c:pt>
                      <c:pt idx="2704">
                        <c:v>0.268467875173176</c:v>
                      </c:pt>
                      <c:pt idx="2705">
                        <c:v>0.268467875173176</c:v>
                      </c:pt>
                      <c:pt idx="2706">
                        <c:v>0.268467875173176</c:v>
                      </c:pt>
                      <c:pt idx="2707">
                        <c:v>0.268467875173176</c:v>
                      </c:pt>
                      <c:pt idx="2708">
                        <c:v>0.268467875173176</c:v>
                      </c:pt>
                      <c:pt idx="2709">
                        <c:v>0.268467875173176</c:v>
                      </c:pt>
                      <c:pt idx="2710">
                        <c:v>0.268467875173176</c:v>
                      </c:pt>
                      <c:pt idx="2711">
                        <c:v>0.268467875173176</c:v>
                      </c:pt>
                      <c:pt idx="2712">
                        <c:v>0.268467875173176</c:v>
                      </c:pt>
                      <c:pt idx="2713">
                        <c:v>0.268467875173176</c:v>
                      </c:pt>
                      <c:pt idx="2714">
                        <c:v>0.268467875173176</c:v>
                      </c:pt>
                      <c:pt idx="2715">
                        <c:v>0.268467875173176</c:v>
                      </c:pt>
                      <c:pt idx="2716">
                        <c:v>0.268467875173176</c:v>
                      </c:pt>
                      <c:pt idx="2717">
                        <c:v>0.268467875173176</c:v>
                      </c:pt>
                      <c:pt idx="2718">
                        <c:v>0.268467875173176</c:v>
                      </c:pt>
                      <c:pt idx="2719">
                        <c:v>0.268467875173176</c:v>
                      </c:pt>
                      <c:pt idx="2720">
                        <c:v>0.268467875173176</c:v>
                      </c:pt>
                      <c:pt idx="2721">
                        <c:v>0.268467875173176</c:v>
                      </c:pt>
                      <c:pt idx="2722">
                        <c:v>0.268467875173176</c:v>
                      </c:pt>
                      <c:pt idx="2723">
                        <c:v>0.268467875173176</c:v>
                      </c:pt>
                      <c:pt idx="2724">
                        <c:v>0.268467875173176</c:v>
                      </c:pt>
                      <c:pt idx="2725">
                        <c:v>0.268467875173176</c:v>
                      </c:pt>
                      <c:pt idx="2726">
                        <c:v>0.268467875173176</c:v>
                      </c:pt>
                      <c:pt idx="2727">
                        <c:v>0.268467875173176</c:v>
                      </c:pt>
                      <c:pt idx="2728">
                        <c:v>0.268467875173176</c:v>
                      </c:pt>
                      <c:pt idx="2729">
                        <c:v>0.268467875173176</c:v>
                      </c:pt>
                      <c:pt idx="2730">
                        <c:v>0.268467875173176</c:v>
                      </c:pt>
                      <c:pt idx="2731">
                        <c:v>0.268467875173176</c:v>
                      </c:pt>
                      <c:pt idx="2732">
                        <c:v>0.268467875173176</c:v>
                      </c:pt>
                      <c:pt idx="2733">
                        <c:v>0.268467875173176</c:v>
                      </c:pt>
                      <c:pt idx="2734">
                        <c:v>0.268467875173176</c:v>
                      </c:pt>
                      <c:pt idx="2735">
                        <c:v>0.268467875173176</c:v>
                      </c:pt>
                      <c:pt idx="2736">
                        <c:v>0.268467875173176</c:v>
                      </c:pt>
                      <c:pt idx="2737">
                        <c:v>0.268467875173176</c:v>
                      </c:pt>
                      <c:pt idx="2738">
                        <c:v>0.268467875173176</c:v>
                      </c:pt>
                      <c:pt idx="2739">
                        <c:v>0.268467875173176</c:v>
                      </c:pt>
                      <c:pt idx="2740">
                        <c:v>0.268467875173176</c:v>
                      </c:pt>
                      <c:pt idx="2741">
                        <c:v>0.268467875173176</c:v>
                      </c:pt>
                      <c:pt idx="2742">
                        <c:v>0.268467875173176</c:v>
                      </c:pt>
                      <c:pt idx="2743">
                        <c:v>0.268467875173176</c:v>
                      </c:pt>
                      <c:pt idx="2744">
                        <c:v>0.268467875173176</c:v>
                      </c:pt>
                      <c:pt idx="2745">
                        <c:v>0.268467875173176</c:v>
                      </c:pt>
                      <c:pt idx="2746">
                        <c:v>0.268467875173176</c:v>
                      </c:pt>
                      <c:pt idx="2747">
                        <c:v>0.268467875173176</c:v>
                      </c:pt>
                      <c:pt idx="2748">
                        <c:v>0.268467875173176</c:v>
                      </c:pt>
                      <c:pt idx="2749">
                        <c:v>0.268467875173176</c:v>
                      </c:pt>
                      <c:pt idx="2750">
                        <c:v>0.268467875173176</c:v>
                      </c:pt>
                      <c:pt idx="2751">
                        <c:v>0.268467875173176</c:v>
                      </c:pt>
                      <c:pt idx="2752">
                        <c:v>0.268467875173176</c:v>
                      </c:pt>
                      <c:pt idx="2753">
                        <c:v>0.268467875173176</c:v>
                      </c:pt>
                      <c:pt idx="2754">
                        <c:v>0.268467875173176</c:v>
                      </c:pt>
                      <c:pt idx="2755">
                        <c:v>0.268467875173176</c:v>
                      </c:pt>
                      <c:pt idx="2756">
                        <c:v>0.268467875173176</c:v>
                      </c:pt>
                      <c:pt idx="2757">
                        <c:v>0.268467875173176</c:v>
                      </c:pt>
                      <c:pt idx="2758">
                        <c:v>0.268467875173176</c:v>
                      </c:pt>
                      <c:pt idx="2759">
                        <c:v>0.268467875173176</c:v>
                      </c:pt>
                      <c:pt idx="2760">
                        <c:v>0.268467875173176</c:v>
                      </c:pt>
                      <c:pt idx="2761">
                        <c:v>0.268467875173176</c:v>
                      </c:pt>
                      <c:pt idx="2762">
                        <c:v>0.268467875173176</c:v>
                      </c:pt>
                      <c:pt idx="2763">
                        <c:v>0.268467875173176</c:v>
                      </c:pt>
                      <c:pt idx="2764">
                        <c:v>0.268467875173176</c:v>
                      </c:pt>
                      <c:pt idx="2765">
                        <c:v>0.268467875173176</c:v>
                      </c:pt>
                      <c:pt idx="2766">
                        <c:v>0.268467875173176</c:v>
                      </c:pt>
                      <c:pt idx="2768">
                        <c:v>0.27712812921102037</c:v>
                      </c:pt>
                      <c:pt idx="2769">
                        <c:v>0.27712812921102037</c:v>
                      </c:pt>
                      <c:pt idx="2770">
                        <c:v>0.27712812921102037</c:v>
                      </c:pt>
                      <c:pt idx="2771">
                        <c:v>0.27712812921102037</c:v>
                      </c:pt>
                      <c:pt idx="2772">
                        <c:v>0.27712812921102037</c:v>
                      </c:pt>
                      <c:pt idx="2773">
                        <c:v>0.27712812921102037</c:v>
                      </c:pt>
                      <c:pt idx="2774">
                        <c:v>0.27712812921102037</c:v>
                      </c:pt>
                      <c:pt idx="2775">
                        <c:v>0.27712812921102037</c:v>
                      </c:pt>
                      <c:pt idx="2776">
                        <c:v>0.27712812921102037</c:v>
                      </c:pt>
                      <c:pt idx="2777">
                        <c:v>0.27712812921102037</c:v>
                      </c:pt>
                      <c:pt idx="2778">
                        <c:v>0.27712812921102037</c:v>
                      </c:pt>
                      <c:pt idx="2779">
                        <c:v>0.27712812921102037</c:v>
                      </c:pt>
                      <c:pt idx="2780">
                        <c:v>0.27712812921102037</c:v>
                      </c:pt>
                      <c:pt idx="2781">
                        <c:v>0.27712812921102037</c:v>
                      </c:pt>
                      <c:pt idx="2782">
                        <c:v>0.27712812921102037</c:v>
                      </c:pt>
                      <c:pt idx="2783">
                        <c:v>0.27712812921102037</c:v>
                      </c:pt>
                      <c:pt idx="2784">
                        <c:v>0.27712812921102037</c:v>
                      </c:pt>
                      <c:pt idx="2785">
                        <c:v>0.27712812921102037</c:v>
                      </c:pt>
                      <c:pt idx="2786">
                        <c:v>0.27712812921102037</c:v>
                      </c:pt>
                      <c:pt idx="2787">
                        <c:v>0.27712812921102037</c:v>
                      </c:pt>
                      <c:pt idx="2788">
                        <c:v>0.27712812921102037</c:v>
                      </c:pt>
                      <c:pt idx="2789">
                        <c:v>0.27712812921102037</c:v>
                      </c:pt>
                      <c:pt idx="2790">
                        <c:v>0.27712812921102037</c:v>
                      </c:pt>
                      <c:pt idx="2791">
                        <c:v>0.27712812921102037</c:v>
                      </c:pt>
                      <c:pt idx="2792">
                        <c:v>0.27712812921102037</c:v>
                      </c:pt>
                      <c:pt idx="2793">
                        <c:v>0.27712812921102037</c:v>
                      </c:pt>
                      <c:pt idx="2794">
                        <c:v>0.27712812921102037</c:v>
                      </c:pt>
                      <c:pt idx="2795">
                        <c:v>0.27712812921102037</c:v>
                      </c:pt>
                      <c:pt idx="2796">
                        <c:v>0.27712812921102037</c:v>
                      </c:pt>
                      <c:pt idx="2797">
                        <c:v>0.27712812921102037</c:v>
                      </c:pt>
                      <c:pt idx="2798">
                        <c:v>0.27712812921102037</c:v>
                      </c:pt>
                      <c:pt idx="2799">
                        <c:v>0.27712812921102037</c:v>
                      </c:pt>
                      <c:pt idx="2800">
                        <c:v>0.27712812921102037</c:v>
                      </c:pt>
                      <c:pt idx="2801">
                        <c:v>0.27712812921102037</c:v>
                      </c:pt>
                      <c:pt idx="2802">
                        <c:v>0.27712812921102037</c:v>
                      </c:pt>
                      <c:pt idx="2803">
                        <c:v>0.27712812921102037</c:v>
                      </c:pt>
                      <c:pt idx="2804">
                        <c:v>0.27712812921102037</c:v>
                      </c:pt>
                      <c:pt idx="2805">
                        <c:v>0.27712812921102037</c:v>
                      </c:pt>
                      <c:pt idx="2806">
                        <c:v>0.27712812921102037</c:v>
                      </c:pt>
                      <c:pt idx="2807">
                        <c:v>0.27712812921102037</c:v>
                      </c:pt>
                      <c:pt idx="2808">
                        <c:v>0.27712812921102037</c:v>
                      </c:pt>
                      <c:pt idx="2809">
                        <c:v>0.27712812921102037</c:v>
                      </c:pt>
                      <c:pt idx="2810">
                        <c:v>0.27712812921102037</c:v>
                      </c:pt>
                      <c:pt idx="2811">
                        <c:v>0.27712812921102037</c:v>
                      </c:pt>
                      <c:pt idx="2812">
                        <c:v>0.27712812921102037</c:v>
                      </c:pt>
                      <c:pt idx="2813">
                        <c:v>0.27712812921102037</c:v>
                      </c:pt>
                      <c:pt idx="2814">
                        <c:v>0.27712812921102037</c:v>
                      </c:pt>
                      <c:pt idx="2815">
                        <c:v>0.27712812921102037</c:v>
                      </c:pt>
                      <c:pt idx="2816">
                        <c:v>0.27712812921102037</c:v>
                      </c:pt>
                      <c:pt idx="2817">
                        <c:v>0.27712812921102037</c:v>
                      </c:pt>
                      <c:pt idx="2818">
                        <c:v>0.27712812921102037</c:v>
                      </c:pt>
                      <c:pt idx="2819">
                        <c:v>0.27712812921102037</c:v>
                      </c:pt>
                      <c:pt idx="2820">
                        <c:v>0.27712812921102037</c:v>
                      </c:pt>
                      <c:pt idx="2821">
                        <c:v>0.27712812921102037</c:v>
                      </c:pt>
                      <c:pt idx="2822">
                        <c:v>0.27712812921102037</c:v>
                      </c:pt>
                      <c:pt idx="2823">
                        <c:v>0.27712812921102037</c:v>
                      </c:pt>
                      <c:pt idx="2824">
                        <c:v>0.27712812921102037</c:v>
                      </c:pt>
                      <c:pt idx="2825">
                        <c:v>0.27712812921102037</c:v>
                      </c:pt>
                      <c:pt idx="2826">
                        <c:v>0.27712812921102037</c:v>
                      </c:pt>
                      <c:pt idx="2827">
                        <c:v>0.27712812921102037</c:v>
                      </c:pt>
                      <c:pt idx="2828">
                        <c:v>0.27712812921102037</c:v>
                      </c:pt>
                      <c:pt idx="2829">
                        <c:v>0.27712812921102037</c:v>
                      </c:pt>
                      <c:pt idx="2830">
                        <c:v>0.27712812921102037</c:v>
                      </c:pt>
                      <c:pt idx="2831">
                        <c:v>0.27712812921102037</c:v>
                      </c:pt>
                      <c:pt idx="2832">
                        <c:v>0.27712812921102037</c:v>
                      </c:pt>
                      <c:pt idx="2833">
                        <c:v>0.27712812921102037</c:v>
                      </c:pt>
                      <c:pt idx="2834">
                        <c:v>0.27712812921102037</c:v>
                      </c:pt>
                      <c:pt idx="2835">
                        <c:v>0.27712812921102037</c:v>
                      </c:pt>
                      <c:pt idx="2836">
                        <c:v>0.27712812921102037</c:v>
                      </c:pt>
                      <c:pt idx="2838">
                        <c:v>0.2857883832488648</c:v>
                      </c:pt>
                      <c:pt idx="2839">
                        <c:v>0.2857883832488648</c:v>
                      </c:pt>
                      <c:pt idx="2840">
                        <c:v>0.2857883832488648</c:v>
                      </c:pt>
                      <c:pt idx="2841">
                        <c:v>0.2857883832488648</c:v>
                      </c:pt>
                      <c:pt idx="2842">
                        <c:v>0.2857883832488648</c:v>
                      </c:pt>
                      <c:pt idx="2843">
                        <c:v>0.2857883832488648</c:v>
                      </c:pt>
                      <c:pt idx="2844">
                        <c:v>0.2857883832488648</c:v>
                      </c:pt>
                      <c:pt idx="2845">
                        <c:v>0.2857883832488648</c:v>
                      </c:pt>
                      <c:pt idx="2846">
                        <c:v>0.2857883832488648</c:v>
                      </c:pt>
                      <c:pt idx="2847">
                        <c:v>0.2857883832488648</c:v>
                      </c:pt>
                      <c:pt idx="2848">
                        <c:v>0.2857883832488648</c:v>
                      </c:pt>
                      <c:pt idx="2849">
                        <c:v>0.2857883832488648</c:v>
                      </c:pt>
                      <c:pt idx="2850">
                        <c:v>0.2857883832488648</c:v>
                      </c:pt>
                      <c:pt idx="2851">
                        <c:v>0.2857883832488648</c:v>
                      </c:pt>
                      <c:pt idx="2852">
                        <c:v>0.2857883832488648</c:v>
                      </c:pt>
                      <c:pt idx="2853">
                        <c:v>0.2857883832488648</c:v>
                      </c:pt>
                      <c:pt idx="2854">
                        <c:v>0.2857883832488648</c:v>
                      </c:pt>
                      <c:pt idx="2855">
                        <c:v>0.2857883832488648</c:v>
                      </c:pt>
                      <c:pt idx="2856">
                        <c:v>0.2857883832488648</c:v>
                      </c:pt>
                      <c:pt idx="2857">
                        <c:v>0.2857883832488648</c:v>
                      </c:pt>
                      <c:pt idx="2858">
                        <c:v>0.2857883832488648</c:v>
                      </c:pt>
                      <c:pt idx="2859">
                        <c:v>0.2857883832488648</c:v>
                      </c:pt>
                      <c:pt idx="2860">
                        <c:v>0.2857883832488648</c:v>
                      </c:pt>
                      <c:pt idx="2861">
                        <c:v>0.2857883832488648</c:v>
                      </c:pt>
                      <c:pt idx="2862">
                        <c:v>0.2857883832488648</c:v>
                      </c:pt>
                      <c:pt idx="2863">
                        <c:v>0.2857883832488648</c:v>
                      </c:pt>
                      <c:pt idx="2864">
                        <c:v>0.2857883832488648</c:v>
                      </c:pt>
                      <c:pt idx="2865">
                        <c:v>0.2857883832488648</c:v>
                      </c:pt>
                      <c:pt idx="2866">
                        <c:v>0.2857883832488648</c:v>
                      </c:pt>
                      <c:pt idx="2867">
                        <c:v>0.2857883832488648</c:v>
                      </c:pt>
                      <c:pt idx="2868">
                        <c:v>0.2857883832488648</c:v>
                      </c:pt>
                      <c:pt idx="2869">
                        <c:v>0.2857883832488648</c:v>
                      </c:pt>
                      <c:pt idx="2870">
                        <c:v>0.2857883832488648</c:v>
                      </c:pt>
                      <c:pt idx="2871">
                        <c:v>0.2857883832488648</c:v>
                      </c:pt>
                      <c:pt idx="2872">
                        <c:v>0.2857883832488648</c:v>
                      </c:pt>
                      <c:pt idx="2873">
                        <c:v>0.2857883832488648</c:v>
                      </c:pt>
                      <c:pt idx="2874">
                        <c:v>0.2857883832488648</c:v>
                      </c:pt>
                      <c:pt idx="2875">
                        <c:v>0.2857883832488648</c:v>
                      </c:pt>
                      <c:pt idx="2876">
                        <c:v>0.2857883832488648</c:v>
                      </c:pt>
                      <c:pt idx="2877">
                        <c:v>0.2857883832488648</c:v>
                      </c:pt>
                      <c:pt idx="2878">
                        <c:v>0.2857883832488648</c:v>
                      </c:pt>
                      <c:pt idx="2879">
                        <c:v>0.2857883832488648</c:v>
                      </c:pt>
                      <c:pt idx="2880">
                        <c:v>0.2857883832488648</c:v>
                      </c:pt>
                      <c:pt idx="2881">
                        <c:v>0.2857883832488648</c:v>
                      </c:pt>
                      <c:pt idx="2882">
                        <c:v>0.2857883832488648</c:v>
                      </c:pt>
                      <c:pt idx="2883">
                        <c:v>0.2857883832488648</c:v>
                      </c:pt>
                      <c:pt idx="2884">
                        <c:v>0.2857883832488648</c:v>
                      </c:pt>
                      <c:pt idx="2885">
                        <c:v>0.2857883832488648</c:v>
                      </c:pt>
                      <c:pt idx="2886">
                        <c:v>0.2857883832488648</c:v>
                      </c:pt>
                      <c:pt idx="2887">
                        <c:v>0.2857883832488648</c:v>
                      </c:pt>
                      <c:pt idx="2888">
                        <c:v>0.2857883832488648</c:v>
                      </c:pt>
                      <c:pt idx="2889">
                        <c:v>0.2857883832488648</c:v>
                      </c:pt>
                      <c:pt idx="2890">
                        <c:v>0.2857883832488648</c:v>
                      </c:pt>
                      <c:pt idx="2891">
                        <c:v>0.2857883832488648</c:v>
                      </c:pt>
                      <c:pt idx="2892">
                        <c:v>0.2857883832488648</c:v>
                      </c:pt>
                      <c:pt idx="2893">
                        <c:v>0.2857883832488648</c:v>
                      </c:pt>
                      <c:pt idx="2894">
                        <c:v>0.2857883832488648</c:v>
                      </c:pt>
                      <c:pt idx="2895">
                        <c:v>0.2857883832488648</c:v>
                      </c:pt>
                      <c:pt idx="2896">
                        <c:v>0.2857883832488648</c:v>
                      </c:pt>
                      <c:pt idx="2897">
                        <c:v>0.2857883832488648</c:v>
                      </c:pt>
                      <c:pt idx="2898">
                        <c:v>0.2857883832488648</c:v>
                      </c:pt>
                      <c:pt idx="2899">
                        <c:v>0.2857883832488648</c:v>
                      </c:pt>
                      <c:pt idx="2900">
                        <c:v>0.2857883832488648</c:v>
                      </c:pt>
                      <c:pt idx="2901">
                        <c:v>0.2857883832488648</c:v>
                      </c:pt>
                      <c:pt idx="2902">
                        <c:v>0.2857883832488648</c:v>
                      </c:pt>
                      <c:pt idx="2903">
                        <c:v>0.2857883832488648</c:v>
                      </c:pt>
                      <c:pt idx="2904">
                        <c:v>0.2857883832488648</c:v>
                      </c:pt>
                      <c:pt idx="2905">
                        <c:v>0.2857883832488648</c:v>
                      </c:pt>
                      <c:pt idx="2907">
                        <c:v>0.29444863728670917</c:v>
                      </c:pt>
                      <c:pt idx="2908">
                        <c:v>0.29444863728670917</c:v>
                      </c:pt>
                      <c:pt idx="2909">
                        <c:v>0.29444863728670917</c:v>
                      </c:pt>
                      <c:pt idx="2910">
                        <c:v>0.29444863728670917</c:v>
                      </c:pt>
                      <c:pt idx="2911">
                        <c:v>0.29444863728670917</c:v>
                      </c:pt>
                      <c:pt idx="2912">
                        <c:v>0.29444863728670917</c:v>
                      </c:pt>
                      <c:pt idx="2913">
                        <c:v>0.29444863728670917</c:v>
                      </c:pt>
                      <c:pt idx="2914">
                        <c:v>0.29444863728670917</c:v>
                      </c:pt>
                      <c:pt idx="2915">
                        <c:v>0.29444863728670917</c:v>
                      </c:pt>
                      <c:pt idx="2916">
                        <c:v>0.29444863728670917</c:v>
                      </c:pt>
                      <c:pt idx="2917">
                        <c:v>0.29444863728670917</c:v>
                      </c:pt>
                      <c:pt idx="2918">
                        <c:v>0.29444863728670917</c:v>
                      </c:pt>
                      <c:pt idx="2919">
                        <c:v>0.29444863728670917</c:v>
                      </c:pt>
                      <c:pt idx="2920">
                        <c:v>0.29444863728670917</c:v>
                      </c:pt>
                      <c:pt idx="2921">
                        <c:v>0.29444863728670917</c:v>
                      </c:pt>
                      <c:pt idx="2922">
                        <c:v>0.29444863728670917</c:v>
                      </c:pt>
                      <c:pt idx="2923">
                        <c:v>0.29444863728670917</c:v>
                      </c:pt>
                      <c:pt idx="2924">
                        <c:v>0.29444863728670917</c:v>
                      </c:pt>
                      <c:pt idx="2925">
                        <c:v>0.29444863728670917</c:v>
                      </c:pt>
                      <c:pt idx="2926">
                        <c:v>0.29444863728670917</c:v>
                      </c:pt>
                      <c:pt idx="2927">
                        <c:v>0.29444863728670917</c:v>
                      </c:pt>
                      <c:pt idx="2928">
                        <c:v>0.29444863728670917</c:v>
                      </c:pt>
                      <c:pt idx="2929">
                        <c:v>0.29444863728670917</c:v>
                      </c:pt>
                      <c:pt idx="2930">
                        <c:v>0.29444863728670917</c:v>
                      </c:pt>
                      <c:pt idx="2931">
                        <c:v>0.29444863728670917</c:v>
                      </c:pt>
                      <c:pt idx="2932">
                        <c:v>0.29444863728670917</c:v>
                      </c:pt>
                      <c:pt idx="2933">
                        <c:v>0.29444863728670917</c:v>
                      </c:pt>
                      <c:pt idx="2934">
                        <c:v>0.29444863728670917</c:v>
                      </c:pt>
                      <c:pt idx="2935">
                        <c:v>0.29444863728670917</c:v>
                      </c:pt>
                      <c:pt idx="2936">
                        <c:v>0.29444863728670917</c:v>
                      </c:pt>
                      <c:pt idx="2937">
                        <c:v>0.29444863728670917</c:v>
                      </c:pt>
                      <c:pt idx="2938">
                        <c:v>0.29444863728670917</c:v>
                      </c:pt>
                      <c:pt idx="2939">
                        <c:v>0.29444863728670917</c:v>
                      </c:pt>
                      <c:pt idx="2940">
                        <c:v>0.29444863728670917</c:v>
                      </c:pt>
                      <c:pt idx="2941">
                        <c:v>0.29444863728670917</c:v>
                      </c:pt>
                      <c:pt idx="2942">
                        <c:v>0.29444863728670917</c:v>
                      </c:pt>
                      <c:pt idx="2943">
                        <c:v>0.29444863728670917</c:v>
                      </c:pt>
                      <c:pt idx="2944">
                        <c:v>0.29444863728670917</c:v>
                      </c:pt>
                      <c:pt idx="2945">
                        <c:v>0.29444863728670917</c:v>
                      </c:pt>
                      <c:pt idx="2946">
                        <c:v>0.29444863728670917</c:v>
                      </c:pt>
                      <c:pt idx="2947">
                        <c:v>0.29444863728670917</c:v>
                      </c:pt>
                      <c:pt idx="2948">
                        <c:v>0.29444863728670917</c:v>
                      </c:pt>
                      <c:pt idx="2949">
                        <c:v>0.29444863728670917</c:v>
                      </c:pt>
                      <c:pt idx="2950">
                        <c:v>0.29444863728670917</c:v>
                      </c:pt>
                      <c:pt idx="2951">
                        <c:v>0.29444863728670917</c:v>
                      </c:pt>
                      <c:pt idx="2952">
                        <c:v>0.29444863728670917</c:v>
                      </c:pt>
                      <c:pt idx="2953">
                        <c:v>0.29444863728670917</c:v>
                      </c:pt>
                      <c:pt idx="2954">
                        <c:v>0.29444863728670917</c:v>
                      </c:pt>
                      <c:pt idx="2955">
                        <c:v>0.29444863728670917</c:v>
                      </c:pt>
                      <c:pt idx="2956">
                        <c:v>0.29444863728670917</c:v>
                      </c:pt>
                      <c:pt idx="2957">
                        <c:v>0.29444863728670917</c:v>
                      </c:pt>
                      <c:pt idx="2958">
                        <c:v>0.29444863728670917</c:v>
                      </c:pt>
                      <c:pt idx="2959">
                        <c:v>0.29444863728670917</c:v>
                      </c:pt>
                      <c:pt idx="2960">
                        <c:v>0.29444863728670917</c:v>
                      </c:pt>
                      <c:pt idx="2961">
                        <c:v>0.29444863728670917</c:v>
                      </c:pt>
                      <c:pt idx="2962">
                        <c:v>0.29444863728670917</c:v>
                      </c:pt>
                      <c:pt idx="2963">
                        <c:v>0.29444863728670917</c:v>
                      </c:pt>
                      <c:pt idx="2964">
                        <c:v>0.29444863728670917</c:v>
                      </c:pt>
                      <c:pt idx="2965">
                        <c:v>0.29444863728670917</c:v>
                      </c:pt>
                      <c:pt idx="2966">
                        <c:v>0.29444863728670917</c:v>
                      </c:pt>
                      <c:pt idx="2967">
                        <c:v>0.29444863728670917</c:v>
                      </c:pt>
                      <c:pt idx="2968">
                        <c:v>0.29444863728670917</c:v>
                      </c:pt>
                      <c:pt idx="2969">
                        <c:v>0.29444863728670917</c:v>
                      </c:pt>
                      <c:pt idx="2970">
                        <c:v>0.29444863728670917</c:v>
                      </c:pt>
                      <c:pt idx="2971">
                        <c:v>0.29444863728670917</c:v>
                      </c:pt>
                      <c:pt idx="2972">
                        <c:v>0.29444863728670917</c:v>
                      </c:pt>
                      <c:pt idx="2973">
                        <c:v>0.29444863728670917</c:v>
                      </c:pt>
                      <c:pt idx="2975">
                        <c:v>0.30310889132455349</c:v>
                      </c:pt>
                      <c:pt idx="2976">
                        <c:v>0.30310889132455349</c:v>
                      </c:pt>
                      <c:pt idx="2977">
                        <c:v>0.30310889132455349</c:v>
                      </c:pt>
                      <c:pt idx="2978">
                        <c:v>0.30310889132455349</c:v>
                      </c:pt>
                      <c:pt idx="2979">
                        <c:v>0.30310889132455349</c:v>
                      </c:pt>
                      <c:pt idx="2980">
                        <c:v>0.30310889132455349</c:v>
                      </c:pt>
                      <c:pt idx="2981">
                        <c:v>0.30310889132455349</c:v>
                      </c:pt>
                      <c:pt idx="2982">
                        <c:v>0.30310889132455349</c:v>
                      </c:pt>
                      <c:pt idx="2983">
                        <c:v>0.30310889132455349</c:v>
                      </c:pt>
                      <c:pt idx="2984">
                        <c:v>0.30310889132455349</c:v>
                      </c:pt>
                      <c:pt idx="2985">
                        <c:v>0.30310889132455349</c:v>
                      </c:pt>
                      <c:pt idx="2986">
                        <c:v>0.30310889132455349</c:v>
                      </c:pt>
                      <c:pt idx="2987">
                        <c:v>0.30310889132455349</c:v>
                      </c:pt>
                      <c:pt idx="2988">
                        <c:v>0.30310889132455349</c:v>
                      </c:pt>
                      <c:pt idx="2989">
                        <c:v>0.30310889132455349</c:v>
                      </c:pt>
                      <c:pt idx="2990">
                        <c:v>0.30310889132455349</c:v>
                      </c:pt>
                      <c:pt idx="2991">
                        <c:v>0.30310889132455349</c:v>
                      </c:pt>
                      <c:pt idx="2992">
                        <c:v>0.30310889132455349</c:v>
                      </c:pt>
                      <c:pt idx="2993">
                        <c:v>0.30310889132455349</c:v>
                      </c:pt>
                      <c:pt idx="2994">
                        <c:v>0.30310889132455349</c:v>
                      </c:pt>
                      <c:pt idx="2995">
                        <c:v>0.30310889132455349</c:v>
                      </c:pt>
                      <c:pt idx="2996">
                        <c:v>0.30310889132455349</c:v>
                      </c:pt>
                      <c:pt idx="2997">
                        <c:v>0.30310889132455349</c:v>
                      </c:pt>
                      <c:pt idx="2998">
                        <c:v>0.30310889132455349</c:v>
                      </c:pt>
                      <c:pt idx="2999">
                        <c:v>0.30310889132455349</c:v>
                      </c:pt>
                      <c:pt idx="3000">
                        <c:v>0.30310889132455349</c:v>
                      </c:pt>
                      <c:pt idx="3001">
                        <c:v>0.30310889132455349</c:v>
                      </c:pt>
                      <c:pt idx="3002">
                        <c:v>0.30310889132455349</c:v>
                      </c:pt>
                      <c:pt idx="3003">
                        <c:v>0.30310889132455349</c:v>
                      </c:pt>
                      <c:pt idx="3004">
                        <c:v>0.30310889132455349</c:v>
                      </c:pt>
                      <c:pt idx="3005">
                        <c:v>0.30310889132455349</c:v>
                      </c:pt>
                      <c:pt idx="3006">
                        <c:v>0.30310889132455349</c:v>
                      </c:pt>
                      <c:pt idx="3007">
                        <c:v>0.30310889132455349</c:v>
                      </c:pt>
                      <c:pt idx="3008">
                        <c:v>0.30310889132455349</c:v>
                      </c:pt>
                      <c:pt idx="3009">
                        <c:v>0.30310889132455349</c:v>
                      </c:pt>
                      <c:pt idx="3010">
                        <c:v>0.30310889132455349</c:v>
                      </c:pt>
                      <c:pt idx="3011">
                        <c:v>0.30310889132455349</c:v>
                      </c:pt>
                      <c:pt idx="3012">
                        <c:v>0.30310889132455349</c:v>
                      </c:pt>
                      <c:pt idx="3013">
                        <c:v>0.30310889132455349</c:v>
                      </c:pt>
                      <c:pt idx="3014">
                        <c:v>0.30310889132455349</c:v>
                      </c:pt>
                      <c:pt idx="3015">
                        <c:v>0.30310889132455349</c:v>
                      </c:pt>
                      <c:pt idx="3016">
                        <c:v>0.30310889132455349</c:v>
                      </c:pt>
                      <c:pt idx="3017">
                        <c:v>0.30310889132455349</c:v>
                      </c:pt>
                      <c:pt idx="3018">
                        <c:v>0.30310889132455349</c:v>
                      </c:pt>
                      <c:pt idx="3019">
                        <c:v>0.30310889132455349</c:v>
                      </c:pt>
                      <c:pt idx="3020">
                        <c:v>0.30310889132455349</c:v>
                      </c:pt>
                      <c:pt idx="3021">
                        <c:v>0.30310889132455349</c:v>
                      </c:pt>
                      <c:pt idx="3022">
                        <c:v>0.30310889132455349</c:v>
                      </c:pt>
                      <c:pt idx="3023">
                        <c:v>0.30310889132455349</c:v>
                      </c:pt>
                      <c:pt idx="3024">
                        <c:v>0.30310889132455349</c:v>
                      </c:pt>
                      <c:pt idx="3025">
                        <c:v>0.30310889132455349</c:v>
                      </c:pt>
                      <c:pt idx="3026">
                        <c:v>0.30310889132455349</c:v>
                      </c:pt>
                      <c:pt idx="3027">
                        <c:v>0.30310889132455349</c:v>
                      </c:pt>
                      <c:pt idx="3028">
                        <c:v>0.30310889132455349</c:v>
                      </c:pt>
                      <c:pt idx="3029">
                        <c:v>0.30310889132455349</c:v>
                      </c:pt>
                      <c:pt idx="3030">
                        <c:v>0.30310889132455349</c:v>
                      </c:pt>
                      <c:pt idx="3031">
                        <c:v>0.30310889132455349</c:v>
                      </c:pt>
                      <c:pt idx="3032">
                        <c:v>0.30310889132455349</c:v>
                      </c:pt>
                      <c:pt idx="3033">
                        <c:v>0.30310889132455349</c:v>
                      </c:pt>
                      <c:pt idx="3034">
                        <c:v>0.30310889132455349</c:v>
                      </c:pt>
                      <c:pt idx="3035">
                        <c:v>0.30310889132455349</c:v>
                      </c:pt>
                      <c:pt idx="3036">
                        <c:v>0.30310889132455349</c:v>
                      </c:pt>
                      <c:pt idx="3037">
                        <c:v>0.30310889132455349</c:v>
                      </c:pt>
                      <c:pt idx="3038">
                        <c:v>0.30310889132455349</c:v>
                      </c:pt>
                      <c:pt idx="3039">
                        <c:v>0.30310889132455349</c:v>
                      </c:pt>
                      <c:pt idx="3040">
                        <c:v>0.30310889132455349</c:v>
                      </c:pt>
                      <c:pt idx="3042">
                        <c:v>0.31176914536239791</c:v>
                      </c:pt>
                      <c:pt idx="3043">
                        <c:v>0.31176914536239791</c:v>
                      </c:pt>
                      <c:pt idx="3044">
                        <c:v>0.31176914536239791</c:v>
                      </c:pt>
                      <c:pt idx="3045">
                        <c:v>0.31176914536239791</c:v>
                      </c:pt>
                      <c:pt idx="3046">
                        <c:v>0.31176914536239791</c:v>
                      </c:pt>
                      <c:pt idx="3047">
                        <c:v>0.31176914536239791</c:v>
                      </c:pt>
                      <c:pt idx="3048">
                        <c:v>0.31176914536239791</c:v>
                      </c:pt>
                      <c:pt idx="3049">
                        <c:v>0.31176914536239791</c:v>
                      </c:pt>
                      <c:pt idx="3050">
                        <c:v>0.31176914536239791</c:v>
                      </c:pt>
                      <c:pt idx="3051">
                        <c:v>0.31176914536239791</c:v>
                      </c:pt>
                      <c:pt idx="3052">
                        <c:v>0.31176914536239791</c:v>
                      </c:pt>
                      <c:pt idx="3053">
                        <c:v>0.31176914536239791</c:v>
                      </c:pt>
                      <c:pt idx="3054">
                        <c:v>0.31176914536239791</c:v>
                      </c:pt>
                      <c:pt idx="3055">
                        <c:v>0.31176914536239791</c:v>
                      </c:pt>
                      <c:pt idx="3056">
                        <c:v>0.31176914536239791</c:v>
                      </c:pt>
                      <c:pt idx="3057">
                        <c:v>0.31176914536239791</c:v>
                      </c:pt>
                      <c:pt idx="3058">
                        <c:v>0.31176914536239791</c:v>
                      </c:pt>
                      <c:pt idx="3059">
                        <c:v>0.31176914536239791</c:v>
                      </c:pt>
                      <c:pt idx="3060">
                        <c:v>0.31176914536239791</c:v>
                      </c:pt>
                      <c:pt idx="3061">
                        <c:v>0.31176914536239791</c:v>
                      </c:pt>
                      <c:pt idx="3062">
                        <c:v>0.31176914536239791</c:v>
                      </c:pt>
                      <c:pt idx="3063">
                        <c:v>0.31176914536239791</c:v>
                      </c:pt>
                      <c:pt idx="3064">
                        <c:v>0.31176914536239791</c:v>
                      </c:pt>
                      <c:pt idx="3065">
                        <c:v>0.31176914536239791</c:v>
                      </c:pt>
                      <c:pt idx="3066">
                        <c:v>0.31176914536239791</c:v>
                      </c:pt>
                      <c:pt idx="3067">
                        <c:v>0.31176914536239791</c:v>
                      </c:pt>
                      <c:pt idx="3068">
                        <c:v>0.31176914536239791</c:v>
                      </c:pt>
                      <c:pt idx="3069">
                        <c:v>0.31176914536239791</c:v>
                      </c:pt>
                      <c:pt idx="3070">
                        <c:v>0.31176914536239791</c:v>
                      </c:pt>
                      <c:pt idx="3071">
                        <c:v>0.31176914536239791</c:v>
                      </c:pt>
                      <c:pt idx="3072">
                        <c:v>0.31176914536239791</c:v>
                      </c:pt>
                      <c:pt idx="3073">
                        <c:v>0.31176914536239791</c:v>
                      </c:pt>
                      <c:pt idx="3074">
                        <c:v>0.31176914536239791</c:v>
                      </c:pt>
                      <c:pt idx="3075">
                        <c:v>0.31176914536239791</c:v>
                      </c:pt>
                      <c:pt idx="3076">
                        <c:v>0.31176914536239791</c:v>
                      </c:pt>
                      <c:pt idx="3077">
                        <c:v>0.31176914536239791</c:v>
                      </c:pt>
                      <c:pt idx="3078">
                        <c:v>0.31176914536239791</c:v>
                      </c:pt>
                      <c:pt idx="3079">
                        <c:v>0.31176914536239791</c:v>
                      </c:pt>
                      <c:pt idx="3080">
                        <c:v>0.31176914536239791</c:v>
                      </c:pt>
                      <c:pt idx="3081">
                        <c:v>0.31176914536239791</c:v>
                      </c:pt>
                      <c:pt idx="3082">
                        <c:v>0.31176914536239791</c:v>
                      </c:pt>
                      <c:pt idx="3083">
                        <c:v>0.31176914536239791</c:v>
                      </c:pt>
                      <c:pt idx="3084">
                        <c:v>0.31176914536239791</c:v>
                      </c:pt>
                      <c:pt idx="3085">
                        <c:v>0.31176914536239791</c:v>
                      </c:pt>
                      <c:pt idx="3086">
                        <c:v>0.31176914536239791</c:v>
                      </c:pt>
                      <c:pt idx="3087">
                        <c:v>0.31176914536239791</c:v>
                      </c:pt>
                      <c:pt idx="3088">
                        <c:v>0.31176914536239791</c:v>
                      </c:pt>
                      <c:pt idx="3089">
                        <c:v>0.31176914536239791</c:v>
                      </c:pt>
                      <c:pt idx="3090">
                        <c:v>0.31176914536239791</c:v>
                      </c:pt>
                      <c:pt idx="3091">
                        <c:v>0.31176914536239791</c:v>
                      </c:pt>
                      <c:pt idx="3092">
                        <c:v>0.31176914536239791</c:v>
                      </c:pt>
                      <c:pt idx="3093">
                        <c:v>0.31176914536239791</c:v>
                      </c:pt>
                      <c:pt idx="3094">
                        <c:v>0.31176914536239791</c:v>
                      </c:pt>
                      <c:pt idx="3095">
                        <c:v>0.31176914536239791</c:v>
                      </c:pt>
                      <c:pt idx="3096">
                        <c:v>0.31176914536239791</c:v>
                      </c:pt>
                      <c:pt idx="3097">
                        <c:v>0.31176914536239791</c:v>
                      </c:pt>
                      <c:pt idx="3098">
                        <c:v>0.31176914536239791</c:v>
                      </c:pt>
                      <c:pt idx="3099">
                        <c:v>0.31176914536239791</c:v>
                      </c:pt>
                      <c:pt idx="3100">
                        <c:v>0.31176914536239791</c:v>
                      </c:pt>
                      <c:pt idx="3101">
                        <c:v>0.31176914536239791</c:v>
                      </c:pt>
                      <c:pt idx="3102">
                        <c:v>0.31176914536239791</c:v>
                      </c:pt>
                      <c:pt idx="3103">
                        <c:v>0.31176914536239791</c:v>
                      </c:pt>
                      <c:pt idx="3104">
                        <c:v>0.31176914536239791</c:v>
                      </c:pt>
                      <c:pt idx="3105">
                        <c:v>0.31176914536239791</c:v>
                      </c:pt>
                      <c:pt idx="3106">
                        <c:v>0.31176914536239791</c:v>
                      </c:pt>
                      <c:pt idx="3108">
                        <c:v>0.32042939940024229</c:v>
                      </c:pt>
                      <c:pt idx="3109">
                        <c:v>0.32042939940024229</c:v>
                      </c:pt>
                      <c:pt idx="3110">
                        <c:v>0.32042939940024229</c:v>
                      </c:pt>
                      <c:pt idx="3111">
                        <c:v>0.32042939940024229</c:v>
                      </c:pt>
                      <c:pt idx="3112">
                        <c:v>0.32042939940024229</c:v>
                      </c:pt>
                      <c:pt idx="3113">
                        <c:v>0.32042939940024229</c:v>
                      </c:pt>
                      <c:pt idx="3114">
                        <c:v>0.32042939940024229</c:v>
                      </c:pt>
                      <c:pt idx="3115">
                        <c:v>0.32042939940024229</c:v>
                      </c:pt>
                      <c:pt idx="3116">
                        <c:v>0.32042939940024229</c:v>
                      </c:pt>
                      <c:pt idx="3117">
                        <c:v>0.32042939940024229</c:v>
                      </c:pt>
                      <c:pt idx="3118">
                        <c:v>0.32042939940024229</c:v>
                      </c:pt>
                      <c:pt idx="3119">
                        <c:v>0.32042939940024229</c:v>
                      </c:pt>
                      <c:pt idx="3120">
                        <c:v>0.32042939940024229</c:v>
                      </c:pt>
                      <c:pt idx="3121">
                        <c:v>0.32042939940024229</c:v>
                      </c:pt>
                      <c:pt idx="3122">
                        <c:v>0.32042939940024229</c:v>
                      </c:pt>
                      <c:pt idx="3123">
                        <c:v>0.32042939940024229</c:v>
                      </c:pt>
                      <c:pt idx="3124">
                        <c:v>0.32042939940024229</c:v>
                      </c:pt>
                      <c:pt idx="3125">
                        <c:v>0.32042939940024229</c:v>
                      </c:pt>
                      <c:pt idx="3126">
                        <c:v>0.32042939940024229</c:v>
                      </c:pt>
                      <c:pt idx="3127">
                        <c:v>0.32042939940024229</c:v>
                      </c:pt>
                      <c:pt idx="3128">
                        <c:v>0.32042939940024229</c:v>
                      </c:pt>
                      <c:pt idx="3129">
                        <c:v>0.32042939940024229</c:v>
                      </c:pt>
                      <c:pt idx="3130">
                        <c:v>0.32042939940024229</c:v>
                      </c:pt>
                      <c:pt idx="3131">
                        <c:v>0.32042939940024229</c:v>
                      </c:pt>
                      <c:pt idx="3132">
                        <c:v>0.32042939940024229</c:v>
                      </c:pt>
                      <c:pt idx="3133">
                        <c:v>0.32042939940024229</c:v>
                      </c:pt>
                      <c:pt idx="3134">
                        <c:v>0.32042939940024229</c:v>
                      </c:pt>
                      <c:pt idx="3135">
                        <c:v>0.32042939940024229</c:v>
                      </c:pt>
                      <c:pt idx="3136">
                        <c:v>0.32042939940024229</c:v>
                      </c:pt>
                      <c:pt idx="3137">
                        <c:v>0.32042939940024229</c:v>
                      </c:pt>
                      <c:pt idx="3138">
                        <c:v>0.32042939940024229</c:v>
                      </c:pt>
                      <c:pt idx="3139">
                        <c:v>0.32042939940024229</c:v>
                      </c:pt>
                      <c:pt idx="3140">
                        <c:v>0.32042939940024229</c:v>
                      </c:pt>
                      <c:pt idx="3141">
                        <c:v>0.32042939940024229</c:v>
                      </c:pt>
                      <c:pt idx="3142">
                        <c:v>0.32042939940024229</c:v>
                      </c:pt>
                      <c:pt idx="3143">
                        <c:v>0.32042939940024229</c:v>
                      </c:pt>
                      <c:pt idx="3144">
                        <c:v>0.32042939940024229</c:v>
                      </c:pt>
                      <c:pt idx="3145">
                        <c:v>0.32042939940024229</c:v>
                      </c:pt>
                      <c:pt idx="3146">
                        <c:v>0.32042939940024229</c:v>
                      </c:pt>
                      <c:pt idx="3147">
                        <c:v>0.32042939940024229</c:v>
                      </c:pt>
                      <c:pt idx="3148">
                        <c:v>0.32042939940024229</c:v>
                      </c:pt>
                      <c:pt idx="3149">
                        <c:v>0.32042939940024229</c:v>
                      </c:pt>
                      <c:pt idx="3150">
                        <c:v>0.32042939940024229</c:v>
                      </c:pt>
                      <c:pt idx="3151">
                        <c:v>0.32042939940024229</c:v>
                      </c:pt>
                      <c:pt idx="3152">
                        <c:v>0.32042939940024229</c:v>
                      </c:pt>
                      <c:pt idx="3153">
                        <c:v>0.32042939940024229</c:v>
                      </c:pt>
                      <c:pt idx="3154">
                        <c:v>0.32042939940024229</c:v>
                      </c:pt>
                      <c:pt idx="3155">
                        <c:v>0.32042939940024229</c:v>
                      </c:pt>
                      <c:pt idx="3156">
                        <c:v>0.32042939940024229</c:v>
                      </c:pt>
                      <c:pt idx="3157">
                        <c:v>0.32042939940024229</c:v>
                      </c:pt>
                      <c:pt idx="3158">
                        <c:v>0.32042939940024229</c:v>
                      </c:pt>
                      <c:pt idx="3159">
                        <c:v>0.32042939940024229</c:v>
                      </c:pt>
                      <c:pt idx="3160">
                        <c:v>0.32042939940024229</c:v>
                      </c:pt>
                      <c:pt idx="3161">
                        <c:v>0.32042939940024229</c:v>
                      </c:pt>
                      <c:pt idx="3162">
                        <c:v>0.32042939940024229</c:v>
                      </c:pt>
                      <c:pt idx="3163">
                        <c:v>0.32042939940024229</c:v>
                      </c:pt>
                      <c:pt idx="3164">
                        <c:v>0.32042939940024229</c:v>
                      </c:pt>
                      <c:pt idx="3165">
                        <c:v>0.32042939940024229</c:v>
                      </c:pt>
                      <c:pt idx="3166">
                        <c:v>0.32042939940024229</c:v>
                      </c:pt>
                      <c:pt idx="3167">
                        <c:v>0.32042939940024229</c:v>
                      </c:pt>
                      <c:pt idx="3168">
                        <c:v>0.32042939940024229</c:v>
                      </c:pt>
                      <c:pt idx="3169">
                        <c:v>0.32042939940024229</c:v>
                      </c:pt>
                      <c:pt idx="3170">
                        <c:v>0.32042939940024229</c:v>
                      </c:pt>
                      <c:pt idx="3171">
                        <c:v>0.32042939940024229</c:v>
                      </c:pt>
                      <c:pt idx="3173">
                        <c:v>0.32908965343808672</c:v>
                      </c:pt>
                      <c:pt idx="3174">
                        <c:v>0.32908965343808672</c:v>
                      </c:pt>
                      <c:pt idx="3175">
                        <c:v>0.32908965343808672</c:v>
                      </c:pt>
                      <c:pt idx="3176">
                        <c:v>0.32908965343808672</c:v>
                      </c:pt>
                      <c:pt idx="3177">
                        <c:v>0.32908965343808672</c:v>
                      </c:pt>
                      <c:pt idx="3178">
                        <c:v>0.32908965343808672</c:v>
                      </c:pt>
                      <c:pt idx="3179">
                        <c:v>0.32908965343808672</c:v>
                      </c:pt>
                      <c:pt idx="3180">
                        <c:v>0.32908965343808672</c:v>
                      </c:pt>
                      <c:pt idx="3181">
                        <c:v>0.32908965343808672</c:v>
                      </c:pt>
                      <c:pt idx="3182">
                        <c:v>0.32908965343808672</c:v>
                      </c:pt>
                      <c:pt idx="3183">
                        <c:v>0.32908965343808672</c:v>
                      </c:pt>
                      <c:pt idx="3184">
                        <c:v>0.32908965343808672</c:v>
                      </c:pt>
                      <c:pt idx="3185">
                        <c:v>0.32908965343808672</c:v>
                      </c:pt>
                      <c:pt idx="3186">
                        <c:v>0.32908965343808672</c:v>
                      </c:pt>
                      <c:pt idx="3187">
                        <c:v>0.32908965343808672</c:v>
                      </c:pt>
                      <c:pt idx="3188">
                        <c:v>0.32908965343808672</c:v>
                      </c:pt>
                      <c:pt idx="3189">
                        <c:v>0.32908965343808672</c:v>
                      </c:pt>
                      <c:pt idx="3190">
                        <c:v>0.32908965343808672</c:v>
                      </c:pt>
                      <c:pt idx="3191">
                        <c:v>0.32908965343808672</c:v>
                      </c:pt>
                      <c:pt idx="3192">
                        <c:v>0.32908965343808672</c:v>
                      </c:pt>
                      <c:pt idx="3193">
                        <c:v>0.32908965343808672</c:v>
                      </c:pt>
                      <c:pt idx="3194">
                        <c:v>0.32908965343808672</c:v>
                      </c:pt>
                      <c:pt idx="3195">
                        <c:v>0.32908965343808672</c:v>
                      </c:pt>
                      <c:pt idx="3196">
                        <c:v>0.32908965343808672</c:v>
                      </c:pt>
                      <c:pt idx="3197">
                        <c:v>0.32908965343808672</c:v>
                      </c:pt>
                      <c:pt idx="3198">
                        <c:v>0.32908965343808672</c:v>
                      </c:pt>
                      <c:pt idx="3199">
                        <c:v>0.32908965343808672</c:v>
                      </c:pt>
                      <c:pt idx="3200">
                        <c:v>0.32908965343808672</c:v>
                      </c:pt>
                      <c:pt idx="3201">
                        <c:v>0.32908965343808672</c:v>
                      </c:pt>
                      <c:pt idx="3202">
                        <c:v>0.32908965343808672</c:v>
                      </c:pt>
                      <c:pt idx="3203">
                        <c:v>0.32908965343808672</c:v>
                      </c:pt>
                      <c:pt idx="3204">
                        <c:v>0.32908965343808672</c:v>
                      </c:pt>
                      <c:pt idx="3205">
                        <c:v>0.32908965343808672</c:v>
                      </c:pt>
                      <c:pt idx="3206">
                        <c:v>0.32908965343808672</c:v>
                      </c:pt>
                      <c:pt idx="3207">
                        <c:v>0.32908965343808672</c:v>
                      </c:pt>
                      <c:pt idx="3208">
                        <c:v>0.32908965343808672</c:v>
                      </c:pt>
                      <c:pt idx="3209">
                        <c:v>0.32908965343808672</c:v>
                      </c:pt>
                      <c:pt idx="3210">
                        <c:v>0.32908965343808672</c:v>
                      </c:pt>
                      <c:pt idx="3211">
                        <c:v>0.32908965343808672</c:v>
                      </c:pt>
                      <c:pt idx="3212">
                        <c:v>0.32908965343808672</c:v>
                      </c:pt>
                      <c:pt idx="3213">
                        <c:v>0.32908965343808672</c:v>
                      </c:pt>
                      <c:pt idx="3214">
                        <c:v>0.32908965343808672</c:v>
                      </c:pt>
                      <c:pt idx="3215">
                        <c:v>0.32908965343808672</c:v>
                      </c:pt>
                      <c:pt idx="3216">
                        <c:v>0.32908965343808672</c:v>
                      </c:pt>
                      <c:pt idx="3217">
                        <c:v>0.32908965343808672</c:v>
                      </c:pt>
                      <c:pt idx="3218">
                        <c:v>0.32908965343808672</c:v>
                      </c:pt>
                      <c:pt idx="3219">
                        <c:v>0.32908965343808672</c:v>
                      </c:pt>
                      <c:pt idx="3220">
                        <c:v>0.32908965343808672</c:v>
                      </c:pt>
                      <c:pt idx="3221">
                        <c:v>0.32908965343808672</c:v>
                      </c:pt>
                      <c:pt idx="3222">
                        <c:v>0.32908965343808672</c:v>
                      </c:pt>
                      <c:pt idx="3223">
                        <c:v>0.32908965343808672</c:v>
                      </c:pt>
                      <c:pt idx="3224">
                        <c:v>0.32908965343808672</c:v>
                      </c:pt>
                      <c:pt idx="3225">
                        <c:v>0.32908965343808672</c:v>
                      </c:pt>
                      <c:pt idx="3226">
                        <c:v>0.32908965343808672</c:v>
                      </c:pt>
                      <c:pt idx="3227">
                        <c:v>0.32908965343808672</c:v>
                      </c:pt>
                      <c:pt idx="3228">
                        <c:v>0.32908965343808672</c:v>
                      </c:pt>
                      <c:pt idx="3229">
                        <c:v>0.32908965343808672</c:v>
                      </c:pt>
                      <c:pt idx="3230">
                        <c:v>0.32908965343808672</c:v>
                      </c:pt>
                      <c:pt idx="3231">
                        <c:v>0.32908965343808672</c:v>
                      </c:pt>
                      <c:pt idx="3232">
                        <c:v>0.32908965343808672</c:v>
                      </c:pt>
                      <c:pt idx="3233">
                        <c:v>0.32908965343808672</c:v>
                      </c:pt>
                      <c:pt idx="3234">
                        <c:v>0.32908965343808672</c:v>
                      </c:pt>
                      <c:pt idx="3235">
                        <c:v>0.32908965343808672</c:v>
                      </c:pt>
                      <c:pt idx="3237">
                        <c:v>0.33774990747593109</c:v>
                      </c:pt>
                      <c:pt idx="3238">
                        <c:v>0.33774990747593109</c:v>
                      </c:pt>
                      <c:pt idx="3239">
                        <c:v>0.33774990747593109</c:v>
                      </c:pt>
                      <c:pt idx="3240">
                        <c:v>0.33774990747593109</c:v>
                      </c:pt>
                      <c:pt idx="3241">
                        <c:v>0.33774990747593109</c:v>
                      </c:pt>
                      <c:pt idx="3242">
                        <c:v>0.33774990747593109</c:v>
                      </c:pt>
                      <c:pt idx="3243">
                        <c:v>0.33774990747593109</c:v>
                      </c:pt>
                      <c:pt idx="3244">
                        <c:v>0.33774990747593109</c:v>
                      </c:pt>
                      <c:pt idx="3245">
                        <c:v>0.33774990747593109</c:v>
                      </c:pt>
                      <c:pt idx="3246">
                        <c:v>0.33774990747593109</c:v>
                      </c:pt>
                      <c:pt idx="3247">
                        <c:v>0.33774990747593109</c:v>
                      </c:pt>
                      <c:pt idx="3248">
                        <c:v>0.33774990747593109</c:v>
                      </c:pt>
                      <c:pt idx="3249">
                        <c:v>0.33774990747593109</c:v>
                      </c:pt>
                      <c:pt idx="3250">
                        <c:v>0.33774990747593109</c:v>
                      </c:pt>
                      <c:pt idx="3251">
                        <c:v>0.33774990747593109</c:v>
                      </c:pt>
                      <c:pt idx="3252">
                        <c:v>0.33774990747593109</c:v>
                      </c:pt>
                      <c:pt idx="3253">
                        <c:v>0.33774990747593109</c:v>
                      </c:pt>
                      <c:pt idx="3254">
                        <c:v>0.33774990747593109</c:v>
                      </c:pt>
                      <c:pt idx="3255">
                        <c:v>0.33774990747593109</c:v>
                      </c:pt>
                      <c:pt idx="3256">
                        <c:v>0.33774990747593109</c:v>
                      </c:pt>
                      <c:pt idx="3257">
                        <c:v>0.33774990747593109</c:v>
                      </c:pt>
                      <c:pt idx="3258">
                        <c:v>0.33774990747593109</c:v>
                      </c:pt>
                      <c:pt idx="3259">
                        <c:v>0.33774990747593109</c:v>
                      </c:pt>
                      <c:pt idx="3260">
                        <c:v>0.33774990747593109</c:v>
                      </c:pt>
                      <c:pt idx="3261">
                        <c:v>0.33774990747593109</c:v>
                      </c:pt>
                      <c:pt idx="3262">
                        <c:v>0.33774990747593109</c:v>
                      </c:pt>
                      <c:pt idx="3263">
                        <c:v>0.33774990747593109</c:v>
                      </c:pt>
                      <c:pt idx="3264">
                        <c:v>0.33774990747593109</c:v>
                      </c:pt>
                      <c:pt idx="3265">
                        <c:v>0.33774990747593109</c:v>
                      </c:pt>
                      <c:pt idx="3266">
                        <c:v>0.33774990747593109</c:v>
                      </c:pt>
                      <c:pt idx="3267">
                        <c:v>0.33774990747593109</c:v>
                      </c:pt>
                      <c:pt idx="3268">
                        <c:v>0.33774990747593109</c:v>
                      </c:pt>
                      <c:pt idx="3269">
                        <c:v>0.33774990747593109</c:v>
                      </c:pt>
                      <c:pt idx="3270">
                        <c:v>0.33774990747593109</c:v>
                      </c:pt>
                      <c:pt idx="3271">
                        <c:v>0.33774990747593109</c:v>
                      </c:pt>
                      <c:pt idx="3272">
                        <c:v>0.33774990747593109</c:v>
                      </c:pt>
                      <c:pt idx="3273">
                        <c:v>0.33774990747593109</c:v>
                      </c:pt>
                      <c:pt idx="3274">
                        <c:v>0.33774990747593109</c:v>
                      </c:pt>
                      <c:pt idx="3275">
                        <c:v>0.33774990747593109</c:v>
                      </c:pt>
                      <c:pt idx="3276">
                        <c:v>0.33774990747593109</c:v>
                      </c:pt>
                      <c:pt idx="3277">
                        <c:v>0.33774990747593109</c:v>
                      </c:pt>
                      <c:pt idx="3278">
                        <c:v>0.33774990747593109</c:v>
                      </c:pt>
                      <c:pt idx="3279">
                        <c:v>0.33774990747593109</c:v>
                      </c:pt>
                      <c:pt idx="3280">
                        <c:v>0.33774990747593109</c:v>
                      </c:pt>
                      <c:pt idx="3281">
                        <c:v>0.33774990747593109</c:v>
                      </c:pt>
                      <c:pt idx="3282">
                        <c:v>0.33774990747593109</c:v>
                      </c:pt>
                      <c:pt idx="3283">
                        <c:v>0.33774990747593109</c:v>
                      </c:pt>
                      <c:pt idx="3284">
                        <c:v>0.33774990747593109</c:v>
                      </c:pt>
                      <c:pt idx="3285">
                        <c:v>0.33774990747593109</c:v>
                      </c:pt>
                      <c:pt idx="3286">
                        <c:v>0.33774990747593109</c:v>
                      </c:pt>
                      <c:pt idx="3287">
                        <c:v>0.33774990747593109</c:v>
                      </c:pt>
                      <c:pt idx="3288">
                        <c:v>0.33774990747593109</c:v>
                      </c:pt>
                      <c:pt idx="3289">
                        <c:v>0.33774990747593109</c:v>
                      </c:pt>
                      <c:pt idx="3290">
                        <c:v>0.33774990747593109</c:v>
                      </c:pt>
                      <c:pt idx="3291">
                        <c:v>0.33774990747593109</c:v>
                      </c:pt>
                      <c:pt idx="3292">
                        <c:v>0.33774990747593109</c:v>
                      </c:pt>
                      <c:pt idx="3293">
                        <c:v>0.33774990747593109</c:v>
                      </c:pt>
                      <c:pt idx="3294">
                        <c:v>0.33774990747593109</c:v>
                      </c:pt>
                      <c:pt idx="3295">
                        <c:v>0.33774990747593109</c:v>
                      </c:pt>
                      <c:pt idx="3296">
                        <c:v>0.33774990747593109</c:v>
                      </c:pt>
                      <c:pt idx="3297">
                        <c:v>0.33774990747593109</c:v>
                      </c:pt>
                      <c:pt idx="3298">
                        <c:v>0.33774990747593109</c:v>
                      </c:pt>
                      <c:pt idx="3300">
                        <c:v>0.34641016151377552</c:v>
                      </c:pt>
                      <c:pt idx="3301">
                        <c:v>0.34641016151377552</c:v>
                      </c:pt>
                      <c:pt idx="3302">
                        <c:v>0.34641016151377552</c:v>
                      </c:pt>
                      <c:pt idx="3303">
                        <c:v>0.34641016151377552</c:v>
                      </c:pt>
                      <c:pt idx="3304">
                        <c:v>0.34641016151377552</c:v>
                      </c:pt>
                      <c:pt idx="3305">
                        <c:v>0.34641016151377552</c:v>
                      </c:pt>
                      <c:pt idx="3306">
                        <c:v>0.34641016151377552</c:v>
                      </c:pt>
                      <c:pt idx="3307">
                        <c:v>0.34641016151377552</c:v>
                      </c:pt>
                      <c:pt idx="3308">
                        <c:v>0.34641016151377552</c:v>
                      </c:pt>
                      <c:pt idx="3309">
                        <c:v>0.34641016151377552</c:v>
                      </c:pt>
                      <c:pt idx="3310">
                        <c:v>0.34641016151377552</c:v>
                      </c:pt>
                      <c:pt idx="3311">
                        <c:v>0.34641016151377552</c:v>
                      </c:pt>
                      <c:pt idx="3312">
                        <c:v>0.34641016151377552</c:v>
                      </c:pt>
                      <c:pt idx="3313">
                        <c:v>0.34641016151377552</c:v>
                      </c:pt>
                      <c:pt idx="3314">
                        <c:v>0.34641016151377552</c:v>
                      </c:pt>
                      <c:pt idx="3315">
                        <c:v>0.34641016151377552</c:v>
                      </c:pt>
                      <c:pt idx="3316">
                        <c:v>0.34641016151377552</c:v>
                      </c:pt>
                      <c:pt idx="3317">
                        <c:v>0.34641016151377552</c:v>
                      </c:pt>
                      <c:pt idx="3318">
                        <c:v>0.34641016151377552</c:v>
                      </c:pt>
                      <c:pt idx="3319">
                        <c:v>0.34641016151377552</c:v>
                      </c:pt>
                      <c:pt idx="3320">
                        <c:v>0.34641016151377552</c:v>
                      </c:pt>
                      <c:pt idx="3321">
                        <c:v>0.34641016151377552</c:v>
                      </c:pt>
                      <c:pt idx="3322">
                        <c:v>0.34641016151377552</c:v>
                      </c:pt>
                      <c:pt idx="3323">
                        <c:v>0.34641016151377552</c:v>
                      </c:pt>
                      <c:pt idx="3324">
                        <c:v>0.34641016151377552</c:v>
                      </c:pt>
                      <c:pt idx="3325">
                        <c:v>0.34641016151377552</c:v>
                      </c:pt>
                      <c:pt idx="3326">
                        <c:v>0.34641016151377552</c:v>
                      </c:pt>
                      <c:pt idx="3327">
                        <c:v>0.34641016151377552</c:v>
                      </c:pt>
                      <c:pt idx="3328">
                        <c:v>0.34641016151377552</c:v>
                      </c:pt>
                      <c:pt idx="3329">
                        <c:v>0.34641016151377552</c:v>
                      </c:pt>
                      <c:pt idx="3330">
                        <c:v>0.34641016151377552</c:v>
                      </c:pt>
                      <c:pt idx="3331">
                        <c:v>0.34641016151377552</c:v>
                      </c:pt>
                      <c:pt idx="3332">
                        <c:v>0.34641016151377552</c:v>
                      </c:pt>
                      <c:pt idx="3333">
                        <c:v>0.34641016151377552</c:v>
                      </c:pt>
                      <c:pt idx="3334">
                        <c:v>0.34641016151377552</c:v>
                      </c:pt>
                      <c:pt idx="3335">
                        <c:v>0.34641016151377552</c:v>
                      </c:pt>
                      <c:pt idx="3336">
                        <c:v>0.34641016151377552</c:v>
                      </c:pt>
                      <c:pt idx="3337">
                        <c:v>0.34641016151377552</c:v>
                      </c:pt>
                      <c:pt idx="3338">
                        <c:v>0.34641016151377552</c:v>
                      </c:pt>
                      <c:pt idx="3339">
                        <c:v>0.34641016151377552</c:v>
                      </c:pt>
                      <c:pt idx="3340">
                        <c:v>0.34641016151377552</c:v>
                      </c:pt>
                      <c:pt idx="3341">
                        <c:v>0.34641016151377552</c:v>
                      </c:pt>
                      <c:pt idx="3342">
                        <c:v>0.34641016151377552</c:v>
                      </c:pt>
                      <c:pt idx="3343">
                        <c:v>0.34641016151377552</c:v>
                      </c:pt>
                      <c:pt idx="3344">
                        <c:v>0.34641016151377552</c:v>
                      </c:pt>
                      <c:pt idx="3345">
                        <c:v>0.34641016151377552</c:v>
                      </c:pt>
                      <c:pt idx="3346">
                        <c:v>0.34641016151377552</c:v>
                      </c:pt>
                      <c:pt idx="3347">
                        <c:v>0.34641016151377552</c:v>
                      </c:pt>
                      <c:pt idx="3348">
                        <c:v>0.34641016151377552</c:v>
                      </c:pt>
                      <c:pt idx="3349">
                        <c:v>0.34641016151377552</c:v>
                      </c:pt>
                      <c:pt idx="3350">
                        <c:v>0.34641016151377552</c:v>
                      </c:pt>
                      <c:pt idx="3351">
                        <c:v>0.34641016151377552</c:v>
                      </c:pt>
                      <c:pt idx="3352">
                        <c:v>0.34641016151377552</c:v>
                      </c:pt>
                      <c:pt idx="3353">
                        <c:v>0.34641016151377552</c:v>
                      </c:pt>
                      <c:pt idx="3354">
                        <c:v>0.34641016151377552</c:v>
                      </c:pt>
                      <c:pt idx="3355">
                        <c:v>0.34641016151377552</c:v>
                      </c:pt>
                      <c:pt idx="3356">
                        <c:v>0.34641016151377552</c:v>
                      </c:pt>
                      <c:pt idx="3357">
                        <c:v>0.34641016151377552</c:v>
                      </c:pt>
                      <c:pt idx="3358">
                        <c:v>0.34641016151377552</c:v>
                      </c:pt>
                      <c:pt idx="3359">
                        <c:v>0.34641016151377552</c:v>
                      </c:pt>
                      <c:pt idx="3360">
                        <c:v>0.34641016151377552</c:v>
                      </c:pt>
                      <c:pt idx="3362">
                        <c:v>0.35507041555161983</c:v>
                      </c:pt>
                      <c:pt idx="3363">
                        <c:v>0.35507041555161983</c:v>
                      </c:pt>
                      <c:pt idx="3364">
                        <c:v>0.35507041555161983</c:v>
                      </c:pt>
                      <c:pt idx="3365">
                        <c:v>0.35507041555161983</c:v>
                      </c:pt>
                      <c:pt idx="3366">
                        <c:v>0.35507041555161983</c:v>
                      </c:pt>
                      <c:pt idx="3367">
                        <c:v>0.35507041555161983</c:v>
                      </c:pt>
                      <c:pt idx="3368">
                        <c:v>0.35507041555161983</c:v>
                      </c:pt>
                      <c:pt idx="3369">
                        <c:v>0.35507041555161983</c:v>
                      </c:pt>
                      <c:pt idx="3370">
                        <c:v>0.35507041555161983</c:v>
                      </c:pt>
                      <c:pt idx="3371">
                        <c:v>0.35507041555161983</c:v>
                      </c:pt>
                      <c:pt idx="3372">
                        <c:v>0.35507041555161983</c:v>
                      </c:pt>
                      <c:pt idx="3373">
                        <c:v>0.35507041555161983</c:v>
                      </c:pt>
                      <c:pt idx="3374">
                        <c:v>0.35507041555161983</c:v>
                      </c:pt>
                      <c:pt idx="3375">
                        <c:v>0.35507041555161983</c:v>
                      </c:pt>
                      <c:pt idx="3376">
                        <c:v>0.35507041555161983</c:v>
                      </c:pt>
                      <c:pt idx="3377">
                        <c:v>0.35507041555161983</c:v>
                      </c:pt>
                      <c:pt idx="3378">
                        <c:v>0.35507041555161983</c:v>
                      </c:pt>
                      <c:pt idx="3379">
                        <c:v>0.35507041555161983</c:v>
                      </c:pt>
                      <c:pt idx="3380">
                        <c:v>0.35507041555161983</c:v>
                      </c:pt>
                      <c:pt idx="3381">
                        <c:v>0.35507041555161983</c:v>
                      </c:pt>
                      <c:pt idx="3382">
                        <c:v>0.35507041555161983</c:v>
                      </c:pt>
                      <c:pt idx="3383">
                        <c:v>0.35507041555161983</c:v>
                      </c:pt>
                      <c:pt idx="3384">
                        <c:v>0.35507041555161983</c:v>
                      </c:pt>
                      <c:pt idx="3385">
                        <c:v>0.35507041555161983</c:v>
                      </c:pt>
                      <c:pt idx="3386">
                        <c:v>0.35507041555161983</c:v>
                      </c:pt>
                      <c:pt idx="3387">
                        <c:v>0.35507041555161983</c:v>
                      </c:pt>
                      <c:pt idx="3388">
                        <c:v>0.35507041555161983</c:v>
                      </c:pt>
                      <c:pt idx="3389">
                        <c:v>0.35507041555161983</c:v>
                      </c:pt>
                      <c:pt idx="3390">
                        <c:v>0.35507041555161983</c:v>
                      </c:pt>
                      <c:pt idx="3391">
                        <c:v>0.35507041555161983</c:v>
                      </c:pt>
                      <c:pt idx="3392">
                        <c:v>0.35507041555161983</c:v>
                      </c:pt>
                      <c:pt idx="3393">
                        <c:v>0.35507041555161983</c:v>
                      </c:pt>
                      <c:pt idx="3394">
                        <c:v>0.35507041555161983</c:v>
                      </c:pt>
                      <c:pt idx="3395">
                        <c:v>0.35507041555161983</c:v>
                      </c:pt>
                      <c:pt idx="3396">
                        <c:v>0.35507041555161983</c:v>
                      </c:pt>
                      <c:pt idx="3397">
                        <c:v>0.35507041555161983</c:v>
                      </c:pt>
                      <c:pt idx="3398">
                        <c:v>0.35507041555161983</c:v>
                      </c:pt>
                      <c:pt idx="3399">
                        <c:v>0.35507041555161983</c:v>
                      </c:pt>
                      <c:pt idx="3400">
                        <c:v>0.35507041555161983</c:v>
                      </c:pt>
                      <c:pt idx="3401">
                        <c:v>0.35507041555161983</c:v>
                      </c:pt>
                      <c:pt idx="3402">
                        <c:v>0.35507041555161983</c:v>
                      </c:pt>
                      <c:pt idx="3403">
                        <c:v>0.35507041555161983</c:v>
                      </c:pt>
                      <c:pt idx="3404">
                        <c:v>0.35507041555161983</c:v>
                      </c:pt>
                      <c:pt idx="3405">
                        <c:v>0.35507041555161983</c:v>
                      </c:pt>
                      <c:pt idx="3406">
                        <c:v>0.35507041555161983</c:v>
                      </c:pt>
                      <c:pt idx="3407">
                        <c:v>0.35507041555161983</c:v>
                      </c:pt>
                      <c:pt idx="3408">
                        <c:v>0.35507041555161983</c:v>
                      </c:pt>
                      <c:pt idx="3409">
                        <c:v>0.35507041555161983</c:v>
                      </c:pt>
                      <c:pt idx="3410">
                        <c:v>0.35507041555161983</c:v>
                      </c:pt>
                      <c:pt idx="3411">
                        <c:v>0.35507041555161983</c:v>
                      </c:pt>
                      <c:pt idx="3412">
                        <c:v>0.35507041555161983</c:v>
                      </c:pt>
                      <c:pt idx="3413">
                        <c:v>0.35507041555161983</c:v>
                      </c:pt>
                      <c:pt idx="3414">
                        <c:v>0.35507041555161983</c:v>
                      </c:pt>
                      <c:pt idx="3415">
                        <c:v>0.35507041555161983</c:v>
                      </c:pt>
                      <c:pt idx="3416">
                        <c:v>0.35507041555161983</c:v>
                      </c:pt>
                      <c:pt idx="3417">
                        <c:v>0.35507041555161983</c:v>
                      </c:pt>
                      <c:pt idx="3418">
                        <c:v>0.35507041555161983</c:v>
                      </c:pt>
                      <c:pt idx="3419">
                        <c:v>0.35507041555161983</c:v>
                      </c:pt>
                      <c:pt idx="3420">
                        <c:v>0.35507041555161983</c:v>
                      </c:pt>
                      <c:pt idx="3421">
                        <c:v>0.35507041555161983</c:v>
                      </c:pt>
                      <c:pt idx="3423">
                        <c:v>0.36373066958946421</c:v>
                      </c:pt>
                      <c:pt idx="3424">
                        <c:v>0.36373066958946421</c:v>
                      </c:pt>
                      <c:pt idx="3425">
                        <c:v>0.36373066958946421</c:v>
                      </c:pt>
                      <c:pt idx="3426">
                        <c:v>0.36373066958946421</c:v>
                      </c:pt>
                      <c:pt idx="3427">
                        <c:v>0.36373066958946421</c:v>
                      </c:pt>
                      <c:pt idx="3428">
                        <c:v>0.36373066958946421</c:v>
                      </c:pt>
                      <c:pt idx="3429">
                        <c:v>0.36373066958946421</c:v>
                      </c:pt>
                      <c:pt idx="3430">
                        <c:v>0.36373066958946421</c:v>
                      </c:pt>
                      <c:pt idx="3431">
                        <c:v>0.36373066958946421</c:v>
                      </c:pt>
                      <c:pt idx="3432">
                        <c:v>0.36373066958946421</c:v>
                      </c:pt>
                      <c:pt idx="3433">
                        <c:v>0.36373066958946421</c:v>
                      </c:pt>
                      <c:pt idx="3434">
                        <c:v>0.36373066958946421</c:v>
                      </c:pt>
                      <c:pt idx="3435">
                        <c:v>0.36373066958946421</c:v>
                      </c:pt>
                      <c:pt idx="3436">
                        <c:v>0.36373066958946421</c:v>
                      </c:pt>
                      <c:pt idx="3437">
                        <c:v>0.36373066958946421</c:v>
                      </c:pt>
                      <c:pt idx="3438">
                        <c:v>0.36373066958946421</c:v>
                      </c:pt>
                      <c:pt idx="3439">
                        <c:v>0.36373066958946421</c:v>
                      </c:pt>
                      <c:pt idx="3440">
                        <c:v>0.36373066958946421</c:v>
                      </c:pt>
                      <c:pt idx="3441">
                        <c:v>0.36373066958946421</c:v>
                      </c:pt>
                      <c:pt idx="3442">
                        <c:v>0.36373066958946421</c:v>
                      </c:pt>
                      <c:pt idx="3443">
                        <c:v>0.36373066958946421</c:v>
                      </c:pt>
                      <c:pt idx="3444">
                        <c:v>0.36373066958946421</c:v>
                      </c:pt>
                      <c:pt idx="3445">
                        <c:v>0.36373066958946421</c:v>
                      </c:pt>
                      <c:pt idx="3446">
                        <c:v>0.36373066958946421</c:v>
                      </c:pt>
                      <c:pt idx="3447">
                        <c:v>0.36373066958946421</c:v>
                      </c:pt>
                      <c:pt idx="3448">
                        <c:v>0.36373066958946421</c:v>
                      </c:pt>
                      <c:pt idx="3449">
                        <c:v>0.36373066958946421</c:v>
                      </c:pt>
                      <c:pt idx="3450">
                        <c:v>0.36373066958946421</c:v>
                      </c:pt>
                      <c:pt idx="3451">
                        <c:v>0.36373066958946421</c:v>
                      </c:pt>
                      <c:pt idx="3452">
                        <c:v>0.36373066958946421</c:v>
                      </c:pt>
                      <c:pt idx="3453">
                        <c:v>0.36373066958946421</c:v>
                      </c:pt>
                      <c:pt idx="3454">
                        <c:v>0.36373066958946421</c:v>
                      </c:pt>
                      <c:pt idx="3455">
                        <c:v>0.36373066958946421</c:v>
                      </c:pt>
                      <c:pt idx="3456">
                        <c:v>0.36373066958946421</c:v>
                      </c:pt>
                      <c:pt idx="3457">
                        <c:v>0.36373066958946421</c:v>
                      </c:pt>
                      <c:pt idx="3458">
                        <c:v>0.36373066958946421</c:v>
                      </c:pt>
                      <c:pt idx="3459">
                        <c:v>0.36373066958946421</c:v>
                      </c:pt>
                      <c:pt idx="3460">
                        <c:v>0.36373066958946421</c:v>
                      </c:pt>
                      <c:pt idx="3461">
                        <c:v>0.36373066958946421</c:v>
                      </c:pt>
                      <c:pt idx="3462">
                        <c:v>0.36373066958946421</c:v>
                      </c:pt>
                      <c:pt idx="3463">
                        <c:v>0.36373066958946421</c:v>
                      </c:pt>
                      <c:pt idx="3464">
                        <c:v>0.36373066958946421</c:v>
                      </c:pt>
                      <c:pt idx="3465">
                        <c:v>0.36373066958946421</c:v>
                      </c:pt>
                      <c:pt idx="3466">
                        <c:v>0.36373066958946421</c:v>
                      </c:pt>
                      <c:pt idx="3467">
                        <c:v>0.36373066958946421</c:v>
                      </c:pt>
                      <c:pt idx="3468">
                        <c:v>0.36373066958946421</c:v>
                      </c:pt>
                      <c:pt idx="3469">
                        <c:v>0.36373066958946421</c:v>
                      </c:pt>
                      <c:pt idx="3470">
                        <c:v>0.36373066958946421</c:v>
                      </c:pt>
                      <c:pt idx="3471">
                        <c:v>0.36373066958946421</c:v>
                      </c:pt>
                      <c:pt idx="3472">
                        <c:v>0.36373066958946421</c:v>
                      </c:pt>
                      <c:pt idx="3473">
                        <c:v>0.36373066958946421</c:v>
                      </c:pt>
                      <c:pt idx="3474">
                        <c:v>0.36373066958946421</c:v>
                      </c:pt>
                      <c:pt idx="3475">
                        <c:v>0.36373066958946421</c:v>
                      </c:pt>
                      <c:pt idx="3476">
                        <c:v>0.36373066958946421</c:v>
                      </c:pt>
                      <c:pt idx="3477">
                        <c:v>0.36373066958946421</c:v>
                      </c:pt>
                      <c:pt idx="3478">
                        <c:v>0.36373066958946421</c:v>
                      </c:pt>
                      <c:pt idx="3479">
                        <c:v>0.36373066958946421</c:v>
                      </c:pt>
                      <c:pt idx="3480">
                        <c:v>0.36373066958946421</c:v>
                      </c:pt>
                      <c:pt idx="3481">
                        <c:v>0.36373066958946421</c:v>
                      </c:pt>
                      <c:pt idx="3483">
                        <c:v>0.37239092362730863</c:v>
                      </c:pt>
                      <c:pt idx="3484">
                        <c:v>0.37239092362730863</c:v>
                      </c:pt>
                      <c:pt idx="3485">
                        <c:v>0.37239092362730863</c:v>
                      </c:pt>
                      <c:pt idx="3486">
                        <c:v>0.37239092362730863</c:v>
                      </c:pt>
                      <c:pt idx="3487">
                        <c:v>0.37239092362730863</c:v>
                      </c:pt>
                      <c:pt idx="3488">
                        <c:v>0.37239092362730863</c:v>
                      </c:pt>
                      <c:pt idx="3489">
                        <c:v>0.37239092362730863</c:v>
                      </c:pt>
                      <c:pt idx="3490">
                        <c:v>0.37239092362730863</c:v>
                      </c:pt>
                      <c:pt idx="3491">
                        <c:v>0.37239092362730863</c:v>
                      </c:pt>
                      <c:pt idx="3492">
                        <c:v>0.37239092362730863</c:v>
                      </c:pt>
                      <c:pt idx="3493">
                        <c:v>0.37239092362730863</c:v>
                      </c:pt>
                      <c:pt idx="3494">
                        <c:v>0.37239092362730863</c:v>
                      </c:pt>
                      <c:pt idx="3495">
                        <c:v>0.37239092362730863</c:v>
                      </c:pt>
                      <c:pt idx="3496">
                        <c:v>0.37239092362730863</c:v>
                      </c:pt>
                      <c:pt idx="3497">
                        <c:v>0.37239092362730863</c:v>
                      </c:pt>
                      <c:pt idx="3498">
                        <c:v>0.37239092362730863</c:v>
                      </c:pt>
                      <c:pt idx="3499">
                        <c:v>0.37239092362730863</c:v>
                      </c:pt>
                      <c:pt idx="3500">
                        <c:v>0.37239092362730863</c:v>
                      </c:pt>
                      <c:pt idx="3501">
                        <c:v>0.37239092362730863</c:v>
                      </c:pt>
                      <c:pt idx="3502">
                        <c:v>0.37239092362730863</c:v>
                      </c:pt>
                      <c:pt idx="3503">
                        <c:v>0.37239092362730863</c:v>
                      </c:pt>
                      <c:pt idx="3504">
                        <c:v>0.37239092362730863</c:v>
                      </c:pt>
                      <c:pt idx="3505">
                        <c:v>0.37239092362730863</c:v>
                      </c:pt>
                      <c:pt idx="3506">
                        <c:v>0.37239092362730863</c:v>
                      </c:pt>
                      <c:pt idx="3507">
                        <c:v>0.37239092362730863</c:v>
                      </c:pt>
                      <c:pt idx="3508">
                        <c:v>0.37239092362730863</c:v>
                      </c:pt>
                      <c:pt idx="3509">
                        <c:v>0.37239092362730863</c:v>
                      </c:pt>
                      <c:pt idx="3510">
                        <c:v>0.37239092362730863</c:v>
                      </c:pt>
                      <c:pt idx="3511">
                        <c:v>0.37239092362730863</c:v>
                      </c:pt>
                      <c:pt idx="3512">
                        <c:v>0.37239092362730863</c:v>
                      </c:pt>
                      <c:pt idx="3513">
                        <c:v>0.37239092362730863</c:v>
                      </c:pt>
                      <c:pt idx="3514">
                        <c:v>0.37239092362730863</c:v>
                      </c:pt>
                      <c:pt idx="3515">
                        <c:v>0.37239092362730863</c:v>
                      </c:pt>
                      <c:pt idx="3516">
                        <c:v>0.37239092362730863</c:v>
                      </c:pt>
                      <c:pt idx="3517">
                        <c:v>0.37239092362730863</c:v>
                      </c:pt>
                      <c:pt idx="3518">
                        <c:v>0.37239092362730863</c:v>
                      </c:pt>
                      <c:pt idx="3519">
                        <c:v>0.37239092362730863</c:v>
                      </c:pt>
                      <c:pt idx="3520">
                        <c:v>0.37239092362730863</c:v>
                      </c:pt>
                      <c:pt idx="3521">
                        <c:v>0.37239092362730863</c:v>
                      </c:pt>
                      <c:pt idx="3522">
                        <c:v>0.37239092362730863</c:v>
                      </c:pt>
                      <c:pt idx="3523">
                        <c:v>0.37239092362730863</c:v>
                      </c:pt>
                      <c:pt idx="3524">
                        <c:v>0.37239092362730863</c:v>
                      </c:pt>
                      <c:pt idx="3525">
                        <c:v>0.37239092362730863</c:v>
                      </c:pt>
                      <c:pt idx="3526">
                        <c:v>0.37239092362730863</c:v>
                      </c:pt>
                      <c:pt idx="3527">
                        <c:v>0.37239092362730863</c:v>
                      </c:pt>
                      <c:pt idx="3528">
                        <c:v>0.37239092362730863</c:v>
                      </c:pt>
                      <c:pt idx="3529">
                        <c:v>0.37239092362730863</c:v>
                      </c:pt>
                      <c:pt idx="3530">
                        <c:v>0.37239092362730863</c:v>
                      </c:pt>
                      <c:pt idx="3531">
                        <c:v>0.37239092362730863</c:v>
                      </c:pt>
                      <c:pt idx="3532">
                        <c:v>0.37239092362730863</c:v>
                      </c:pt>
                      <c:pt idx="3533">
                        <c:v>0.37239092362730863</c:v>
                      </c:pt>
                      <c:pt idx="3534">
                        <c:v>0.37239092362730863</c:v>
                      </c:pt>
                      <c:pt idx="3535">
                        <c:v>0.37239092362730863</c:v>
                      </c:pt>
                      <c:pt idx="3536">
                        <c:v>0.37239092362730863</c:v>
                      </c:pt>
                      <c:pt idx="3537">
                        <c:v>0.37239092362730863</c:v>
                      </c:pt>
                      <c:pt idx="3538">
                        <c:v>0.37239092362730863</c:v>
                      </c:pt>
                      <c:pt idx="3539">
                        <c:v>0.37239092362730863</c:v>
                      </c:pt>
                      <c:pt idx="3540">
                        <c:v>0.37239092362730863</c:v>
                      </c:pt>
                      <c:pt idx="3542">
                        <c:v>0.38105117766515301</c:v>
                      </c:pt>
                      <c:pt idx="3543">
                        <c:v>0.38105117766515301</c:v>
                      </c:pt>
                      <c:pt idx="3544">
                        <c:v>0.38105117766515301</c:v>
                      </c:pt>
                      <c:pt idx="3545">
                        <c:v>0.38105117766515301</c:v>
                      </c:pt>
                      <c:pt idx="3546">
                        <c:v>0.38105117766515301</c:v>
                      </c:pt>
                      <c:pt idx="3547">
                        <c:v>0.38105117766515301</c:v>
                      </c:pt>
                      <c:pt idx="3548">
                        <c:v>0.38105117766515301</c:v>
                      </c:pt>
                      <c:pt idx="3549">
                        <c:v>0.38105117766515301</c:v>
                      </c:pt>
                      <c:pt idx="3550">
                        <c:v>0.38105117766515301</c:v>
                      </c:pt>
                      <c:pt idx="3551">
                        <c:v>0.38105117766515301</c:v>
                      </c:pt>
                      <c:pt idx="3552">
                        <c:v>0.38105117766515301</c:v>
                      </c:pt>
                      <c:pt idx="3553">
                        <c:v>0.38105117766515301</c:v>
                      </c:pt>
                      <c:pt idx="3554">
                        <c:v>0.38105117766515301</c:v>
                      </c:pt>
                      <c:pt idx="3555">
                        <c:v>0.38105117766515301</c:v>
                      </c:pt>
                      <c:pt idx="3556">
                        <c:v>0.38105117766515301</c:v>
                      </c:pt>
                      <c:pt idx="3557">
                        <c:v>0.38105117766515301</c:v>
                      </c:pt>
                      <c:pt idx="3558">
                        <c:v>0.38105117766515301</c:v>
                      </c:pt>
                      <c:pt idx="3559">
                        <c:v>0.38105117766515301</c:v>
                      </c:pt>
                      <c:pt idx="3560">
                        <c:v>0.38105117766515301</c:v>
                      </c:pt>
                      <c:pt idx="3561">
                        <c:v>0.38105117766515301</c:v>
                      </c:pt>
                      <c:pt idx="3562">
                        <c:v>0.38105117766515301</c:v>
                      </c:pt>
                      <c:pt idx="3563">
                        <c:v>0.38105117766515301</c:v>
                      </c:pt>
                      <c:pt idx="3564">
                        <c:v>0.38105117766515301</c:v>
                      </c:pt>
                      <c:pt idx="3565">
                        <c:v>0.38105117766515301</c:v>
                      </c:pt>
                      <c:pt idx="3566">
                        <c:v>0.38105117766515301</c:v>
                      </c:pt>
                      <c:pt idx="3567">
                        <c:v>0.38105117766515301</c:v>
                      </c:pt>
                      <c:pt idx="3568">
                        <c:v>0.38105117766515301</c:v>
                      </c:pt>
                      <c:pt idx="3569">
                        <c:v>0.38105117766515301</c:v>
                      </c:pt>
                      <c:pt idx="3570">
                        <c:v>0.38105117766515301</c:v>
                      </c:pt>
                      <c:pt idx="3571">
                        <c:v>0.38105117766515301</c:v>
                      </c:pt>
                      <c:pt idx="3572">
                        <c:v>0.38105117766515301</c:v>
                      </c:pt>
                      <c:pt idx="3573">
                        <c:v>0.38105117766515301</c:v>
                      </c:pt>
                      <c:pt idx="3574">
                        <c:v>0.38105117766515301</c:v>
                      </c:pt>
                      <c:pt idx="3575">
                        <c:v>0.38105117766515301</c:v>
                      </c:pt>
                      <c:pt idx="3576">
                        <c:v>0.38105117766515301</c:v>
                      </c:pt>
                      <c:pt idx="3577">
                        <c:v>0.38105117766515301</c:v>
                      </c:pt>
                      <c:pt idx="3578">
                        <c:v>0.38105117766515301</c:v>
                      </c:pt>
                      <c:pt idx="3579">
                        <c:v>0.38105117766515301</c:v>
                      </c:pt>
                      <c:pt idx="3580">
                        <c:v>0.38105117766515301</c:v>
                      </c:pt>
                      <c:pt idx="3581">
                        <c:v>0.38105117766515301</c:v>
                      </c:pt>
                      <c:pt idx="3582">
                        <c:v>0.38105117766515301</c:v>
                      </c:pt>
                      <c:pt idx="3583">
                        <c:v>0.38105117766515301</c:v>
                      </c:pt>
                      <c:pt idx="3584">
                        <c:v>0.38105117766515301</c:v>
                      </c:pt>
                      <c:pt idx="3585">
                        <c:v>0.38105117766515301</c:v>
                      </c:pt>
                      <c:pt idx="3586">
                        <c:v>0.38105117766515301</c:v>
                      </c:pt>
                      <c:pt idx="3587">
                        <c:v>0.38105117766515301</c:v>
                      </c:pt>
                      <c:pt idx="3588">
                        <c:v>0.38105117766515301</c:v>
                      </c:pt>
                      <c:pt idx="3589">
                        <c:v>0.38105117766515301</c:v>
                      </c:pt>
                      <c:pt idx="3590">
                        <c:v>0.38105117766515301</c:v>
                      </c:pt>
                      <c:pt idx="3591">
                        <c:v>0.38105117766515301</c:v>
                      </c:pt>
                      <c:pt idx="3592">
                        <c:v>0.38105117766515301</c:v>
                      </c:pt>
                      <c:pt idx="3593">
                        <c:v>0.38105117766515301</c:v>
                      </c:pt>
                      <c:pt idx="3594">
                        <c:v>0.38105117766515301</c:v>
                      </c:pt>
                      <c:pt idx="3595">
                        <c:v>0.38105117766515301</c:v>
                      </c:pt>
                      <c:pt idx="3596">
                        <c:v>0.38105117766515301</c:v>
                      </c:pt>
                      <c:pt idx="3597">
                        <c:v>0.38105117766515301</c:v>
                      </c:pt>
                      <c:pt idx="3598">
                        <c:v>0.38105117766515301</c:v>
                      </c:pt>
                      <c:pt idx="3600">
                        <c:v>0.38971143170299738</c:v>
                      </c:pt>
                      <c:pt idx="3601">
                        <c:v>0.38971143170299738</c:v>
                      </c:pt>
                      <c:pt idx="3602">
                        <c:v>0.38971143170299738</c:v>
                      </c:pt>
                      <c:pt idx="3603">
                        <c:v>0.38971143170299738</c:v>
                      </c:pt>
                      <c:pt idx="3604">
                        <c:v>0.38971143170299738</c:v>
                      </c:pt>
                      <c:pt idx="3605">
                        <c:v>0.38971143170299738</c:v>
                      </c:pt>
                      <c:pt idx="3606">
                        <c:v>0.38971143170299738</c:v>
                      </c:pt>
                      <c:pt idx="3607">
                        <c:v>0.38971143170299738</c:v>
                      </c:pt>
                      <c:pt idx="3608">
                        <c:v>0.38971143170299738</c:v>
                      </c:pt>
                      <c:pt idx="3609">
                        <c:v>0.38971143170299738</c:v>
                      </c:pt>
                      <c:pt idx="3610">
                        <c:v>0.38971143170299738</c:v>
                      </c:pt>
                      <c:pt idx="3611">
                        <c:v>0.38971143170299738</c:v>
                      </c:pt>
                      <c:pt idx="3612">
                        <c:v>0.38971143170299738</c:v>
                      </c:pt>
                      <c:pt idx="3613">
                        <c:v>0.38971143170299738</c:v>
                      </c:pt>
                      <c:pt idx="3614">
                        <c:v>0.38971143170299738</c:v>
                      </c:pt>
                      <c:pt idx="3615">
                        <c:v>0.38971143170299738</c:v>
                      </c:pt>
                      <c:pt idx="3616">
                        <c:v>0.38971143170299738</c:v>
                      </c:pt>
                      <c:pt idx="3617">
                        <c:v>0.38971143170299738</c:v>
                      </c:pt>
                      <c:pt idx="3618">
                        <c:v>0.38971143170299738</c:v>
                      </c:pt>
                      <c:pt idx="3619">
                        <c:v>0.38971143170299738</c:v>
                      </c:pt>
                      <c:pt idx="3620">
                        <c:v>0.38971143170299738</c:v>
                      </c:pt>
                      <c:pt idx="3621">
                        <c:v>0.38971143170299738</c:v>
                      </c:pt>
                      <c:pt idx="3622">
                        <c:v>0.38971143170299738</c:v>
                      </c:pt>
                      <c:pt idx="3623">
                        <c:v>0.38971143170299738</c:v>
                      </c:pt>
                      <c:pt idx="3624">
                        <c:v>0.38971143170299738</c:v>
                      </c:pt>
                      <c:pt idx="3625">
                        <c:v>0.38971143170299738</c:v>
                      </c:pt>
                      <c:pt idx="3626">
                        <c:v>0.38971143170299738</c:v>
                      </c:pt>
                      <c:pt idx="3627">
                        <c:v>0.38971143170299738</c:v>
                      </c:pt>
                      <c:pt idx="3628">
                        <c:v>0.38971143170299738</c:v>
                      </c:pt>
                      <c:pt idx="3629">
                        <c:v>0.38971143170299738</c:v>
                      </c:pt>
                      <c:pt idx="3630">
                        <c:v>0.38971143170299738</c:v>
                      </c:pt>
                      <c:pt idx="3631">
                        <c:v>0.38971143170299738</c:v>
                      </c:pt>
                      <c:pt idx="3632">
                        <c:v>0.38971143170299738</c:v>
                      </c:pt>
                      <c:pt idx="3633">
                        <c:v>0.38971143170299738</c:v>
                      </c:pt>
                      <c:pt idx="3634">
                        <c:v>0.38971143170299738</c:v>
                      </c:pt>
                      <c:pt idx="3635">
                        <c:v>0.38971143170299738</c:v>
                      </c:pt>
                      <c:pt idx="3636">
                        <c:v>0.38971143170299738</c:v>
                      </c:pt>
                      <c:pt idx="3637">
                        <c:v>0.38971143170299738</c:v>
                      </c:pt>
                      <c:pt idx="3638">
                        <c:v>0.38971143170299738</c:v>
                      </c:pt>
                      <c:pt idx="3639">
                        <c:v>0.38971143170299738</c:v>
                      </c:pt>
                      <c:pt idx="3640">
                        <c:v>0.38971143170299738</c:v>
                      </c:pt>
                      <c:pt idx="3641">
                        <c:v>0.38971143170299738</c:v>
                      </c:pt>
                      <c:pt idx="3642">
                        <c:v>0.38971143170299738</c:v>
                      </c:pt>
                      <c:pt idx="3643">
                        <c:v>0.38971143170299738</c:v>
                      </c:pt>
                      <c:pt idx="3644">
                        <c:v>0.38971143170299738</c:v>
                      </c:pt>
                      <c:pt idx="3645">
                        <c:v>0.38971143170299738</c:v>
                      </c:pt>
                      <c:pt idx="3646">
                        <c:v>0.38971143170299738</c:v>
                      </c:pt>
                      <c:pt idx="3647">
                        <c:v>0.38971143170299738</c:v>
                      </c:pt>
                      <c:pt idx="3648">
                        <c:v>0.38971143170299738</c:v>
                      </c:pt>
                      <c:pt idx="3649">
                        <c:v>0.38971143170299738</c:v>
                      </c:pt>
                      <c:pt idx="3650">
                        <c:v>0.38971143170299738</c:v>
                      </c:pt>
                      <c:pt idx="3651">
                        <c:v>0.38971143170299738</c:v>
                      </c:pt>
                      <c:pt idx="3652">
                        <c:v>0.38971143170299738</c:v>
                      </c:pt>
                      <c:pt idx="3653">
                        <c:v>0.38971143170299738</c:v>
                      </c:pt>
                      <c:pt idx="3654">
                        <c:v>0.38971143170299738</c:v>
                      </c:pt>
                      <c:pt idx="3655">
                        <c:v>0.38971143170299738</c:v>
                      </c:pt>
                      <c:pt idx="3657">
                        <c:v>0.39837168574084181</c:v>
                      </c:pt>
                      <c:pt idx="3658">
                        <c:v>0.39837168574084181</c:v>
                      </c:pt>
                      <c:pt idx="3659">
                        <c:v>0.39837168574084181</c:v>
                      </c:pt>
                      <c:pt idx="3660">
                        <c:v>0.39837168574084181</c:v>
                      </c:pt>
                      <c:pt idx="3661">
                        <c:v>0.39837168574084181</c:v>
                      </c:pt>
                      <c:pt idx="3662">
                        <c:v>0.39837168574084181</c:v>
                      </c:pt>
                      <c:pt idx="3663">
                        <c:v>0.39837168574084181</c:v>
                      </c:pt>
                      <c:pt idx="3664">
                        <c:v>0.39837168574084181</c:v>
                      </c:pt>
                      <c:pt idx="3665">
                        <c:v>0.39837168574084181</c:v>
                      </c:pt>
                      <c:pt idx="3666">
                        <c:v>0.39837168574084181</c:v>
                      </c:pt>
                      <c:pt idx="3667">
                        <c:v>0.39837168574084181</c:v>
                      </c:pt>
                      <c:pt idx="3668">
                        <c:v>0.39837168574084181</c:v>
                      </c:pt>
                      <c:pt idx="3669">
                        <c:v>0.39837168574084181</c:v>
                      </c:pt>
                      <c:pt idx="3670">
                        <c:v>0.39837168574084181</c:v>
                      </c:pt>
                      <c:pt idx="3671">
                        <c:v>0.39837168574084181</c:v>
                      </c:pt>
                      <c:pt idx="3672">
                        <c:v>0.39837168574084181</c:v>
                      </c:pt>
                      <c:pt idx="3673">
                        <c:v>0.39837168574084181</c:v>
                      </c:pt>
                      <c:pt idx="3674">
                        <c:v>0.39837168574084181</c:v>
                      </c:pt>
                      <c:pt idx="3675">
                        <c:v>0.39837168574084181</c:v>
                      </c:pt>
                      <c:pt idx="3676">
                        <c:v>0.39837168574084181</c:v>
                      </c:pt>
                      <c:pt idx="3677">
                        <c:v>0.39837168574084181</c:v>
                      </c:pt>
                      <c:pt idx="3678">
                        <c:v>0.39837168574084181</c:v>
                      </c:pt>
                      <c:pt idx="3679">
                        <c:v>0.39837168574084181</c:v>
                      </c:pt>
                      <c:pt idx="3680">
                        <c:v>0.39837168574084181</c:v>
                      </c:pt>
                      <c:pt idx="3681">
                        <c:v>0.39837168574084181</c:v>
                      </c:pt>
                      <c:pt idx="3682">
                        <c:v>0.39837168574084181</c:v>
                      </c:pt>
                      <c:pt idx="3683">
                        <c:v>0.39837168574084181</c:v>
                      </c:pt>
                      <c:pt idx="3684">
                        <c:v>0.39837168574084181</c:v>
                      </c:pt>
                      <c:pt idx="3685">
                        <c:v>0.39837168574084181</c:v>
                      </c:pt>
                      <c:pt idx="3686">
                        <c:v>0.39837168574084181</c:v>
                      </c:pt>
                      <c:pt idx="3687">
                        <c:v>0.39837168574084181</c:v>
                      </c:pt>
                      <c:pt idx="3688">
                        <c:v>0.39837168574084181</c:v>
                      </c:pt>
                      <c:pt idx="3689">
                        <c:v>0.39837168574084181</c:v>
                      </c:pt>
                      <c:pt idx="3690">
                        <c:v>0.39837168574084181</c:v>
                      </c:pt>
                      <c:pt idx="3691">
                        <c:v>0.39837168574084181</c:v>
                      </c:pt>
                      <c:pt idx="3692">
                        <c:v>0.39837168574084181</c:v>
                      </c:pt>
                      <c:pt idx="3693">
                        <c:v>0.39837168574084181</c:v>
                      </c:pt>
                      <c:pt idx="3694">
                        <c:v>0.39837168574084181</c:v>
                      </c:pt>
                      <c:pt idx="3695">
                        <c:v>0.39837168574084181</c:v>
                      </c:pt>
                      <c:pt idx="3696">
                        <c:v>0.39837168574084181</c:v>
                      </c:pt>
                      <c:pt idx="3697">
                        <c:v>0.39837168574084181</c:v>
                      </c:pt>
                      <c:pt idx="3698">
                        <c:v>0.39837168574084181</c:v>
                      </c:pt>
                      <c:pt idx="3699">
                        <c:v>0.39837168574084181</c:v>
                      </c:pt>
                      <c:pt idx="3700">
                        <c:v>0.39837168574084181</c:v>
                      </c:pt>
                      <c:pt idx="3701">
                        <c:v>0.39837168574084181</c:v>
                      </c:pt>
                      <c:pt idx="3702">
                        <c:v>0.39837168574084181</c:v>
                      </c:pt>
                      <c:pt idx="3703">
                        <c:v>0.39837168574084181</c:v>
                      </c:pt>
                      <c:pt idx="3704">
                        <c:v>0.39837168574084181</c:v>
                      </c:pt>
                      <c:pt idx="3705">
                        <c:v>0.39837168574084181</c:v>
                      </c:pt>
                      <c:pt idx="3706">
                        <c:v>0.39837168574084181</c:v>
                      </c:pt>
                      <c:pt idx="3707">
                        <c:v>0.39837168574084181</c:v>
                      </c:pt>
                      <c:pt idx="3708">
                        <c:v>0.39837168574084181</c:v>
                      </c:pt>
                      <c:pt idx="3709">
                        <c:v>0.39837168574084181</c:v>
                      </c:pt>
                      <c:pt idx="3710">
                        <c:v>0.39837168574084181</c:v>
                      </c:pt>
                      <c:pt idx="3711">
                        <c:v>0.39837168574084181</c:v>
                      </c:pt>
                      <c:pt idx="3713">
                        <c:v>0.40703193977868612</c:v>
                      </c:pt>
                      <c:pt idx="3714">
                        <c:v>0.40703193977868612</c:v>
                      </c:pt>
                      <c:pt idx="3715">
                        <c:v>0.40703193977868612</c:v>
                      </c:pt>
                      <c:pt idx="3716">
                        <c:v>0.40703193977868612</c:v>
                      </c:pt>
                      <c:pt idx="3717">
                        <c:v>0.40703193977868612</c:v>
                      </c:pt>
                      <c:pt idx="3718">
                        <c:v>0.40703193977868612</c:v>
                      </c:pt>
                      <c:pt idx="3719">
                        <c:v>0.40703193977868612</c:v>
                      </c:pt>
                      <c:pt idx="3720">
                        <c:v>0.40703193977868612</c:v>
                      </c:pt>
                      <c:pt idx="3721">
                        <c:v>0.40703193977868612</c:v>
                      </c:pt>
                      <c:pt idx="3722">
                        <c:v>0.40703193977868612</c:v>
                      </c:pt>
                      <c:pt idx="3723">
                        <c:v>0.40703193977868612</c:v>
                      </c:pt>
                      <c:pt idx="3724">
                        <c:v>0.40703193977868612</c:v>
                      </c:pt>
                      <c:pt idx="3725">
                        <c:v>0.40703193977868612</c:v>
                      </c:pt>
                      <c:pt idx="3726">
                        <c:v>0.40703193977868612</c:v>
                      </c:pt>
                      <c:pt idx="3727">
                        <c:v>0.40703193977868612</c:v>
                      </c:pt>
                      <c:pt idx="3728">
                        <c:v>0.40703193977868612</c:v>
                      </c:pt>
                      <c:pt idx="3729">
                        <c:v>0.40703193977868612</c:v>
                      </c:pt>
                      <c:pt idx="3730">
                        <c:v>0.40703193977868612</c:v>
                      </c:pt>
                      <c:pt idx="3731">
                        <c:v>0.40703193977868612</c:v>
                      </c:pt>
                      <c:pt idx="3732">
                        <c:v>0.40703193977868612</c:v>
                      </c:pt>
                      <c:pt idx="3733">
                        <c:v>0.40703193977868612</c:v>
                      </c:pt>
                      <c:pt idx="3734">
                        <c:v>0.40703193977868612</c:v>
                      </c:pt>
                      <c:pt idx="3735">
                        <c:v>0.40703193977868612</c:v>
                      </c:pt>
                      <c:pt idx="3736">
                        <c:v>0.40703193977868612</c:v>
                      </c:pt>
                      <c:pt idx="3737">
                        <c:v>0.40703193977868612</c:v>
                      </c:pt>
                      <c:pt idx="3738">
                        <c:v>0.40703193977868612</c:v>
                      </c:pt>
                      <c:pt idx="3739">
                        <c:v>0.40703193977868612</c:v>
                      </c:pt>
                      <c:pt idx="3740">
                        <c:v>0.40703193977868612</c:v>
                      </c:pt>
                      <c:pt idx="3741">
                        <c:v>0.40703193977868612</c:v>
                      </c:pt>
                      <c:pt idx="3742">
                        <c:v>0.40703193977868612</c:v>
                      </c:pt>
                      <c:pt idx="3743">
                        <c:v>0.40703193977868612</c:v>
                      </c:pt>
                      <c:pt idx="3744">
                        <c:v>0.40703193977868612</c:v>
                      </c:pt>
                      <c:pt idx="3745">
                        <c:v>0.40703193977868612</c:v>
                      </c:pt>
                      <c:pt idx="3746">
                        <c:v>0.40703193977868612</c:v>
                      </c:pt>
                      <c:pt idx="3747">
                        <c:v>0.40703193977868612</c:v>
                      </c:pt>
                      <c:pt idx="3748">
                        <c:v>0.40703193977868612</c:v>
                      </c:pt>
                      <c:pt idx="3749">
                        <c:v>0.40703193977868612</c:v>
                      </c:pt>
                      <c:pt idx="3750">
                        <c:v>0.40703193977868612</c:v>
                      </c:pt>
                      <c:pt idx="3751">
                        <c:v>0.40703193977868612</c:v>
                      </c:pt>
                      <c:pt idx="3752">
                        <c:v>0.40703193977868612</c:v>
                      </c:pt>
                      <c:pt idx="3753">
                        <c:v>0.40703193977868612</c:v>
                      </c:pt>
                      <c:pt idx="3754">
                        <c:v>0.40703193977868612</c:v>
                      </c:pt>
                      <c:pt idx="3755">
                        <c:v>0.40703193977868612</c:v>
                      </c:pt>
                      <c:pt idx="3756">
                        <c:v>0.40703193977868612</c:v>
                      </c:pt>
                      <c:pt idx="3757">
                        <c:v>0.40703193977868612</c:v>
                      </c:pt>
                      <c:pt idx="3758">
                        <c:v>0.40703193977868612</c:v>
                      </c:pt>
                      <c:pt idx="3759">
                        <c:v>0.40703193977868612</c:v>
                      </c:pt>
                      <c:pt idx="3760">
                        <c:v>0.40703193977868612</c:v>
                      </c:pt>
                      <c:pt idx="3761">
                        <c:v>0.40703193977868612</c:v>
                      </c:pt>
                      <c:pt idx="3762">
                        <c:v>0.40703193977868612</c:v>
                      </c:pt>
                      <c:pt idx="3763">
                        <c:v>0.40703193977868612</c:v>
                      </c:pt>
                      <c:pt idx="3764">
                        <c:v>0.40703193977868612</c:v>
                      </c:pt>
                      <c:pt idx="3765">
                        <c:v>0.40703193977868612</c:v>
                      </c:pt>
                      <c:pt idx="3766">
                        <c:v>0.40703193977868612</c:v>
                      </c:pt>
                      <c:pt idx="3768">
                        <c:v>0.41569219381653055</c:v>
                      </c:pt>
                      <c:pt idx="3769">
                        <c:v>0.41569219381653055</c:v>
                      </c:pt>
                      <c:pt idx="3770">
                        <c:v>0.41569219381653055</c:v>
                      </c:pt>
                      <c:pt idx="3771">
                        <c:v>0.41569219381653055</c:v>
                      </c:pt>
                      <c:pt idx="3772">
                        <c:v>0.41569219381653055</c:v>
                      </c:pt>
                      <c:pt idx="3773">
                        <c:v>0.41569219381653055</c:v>
                      </c:pt>
                      <c:pt idx="3774">
                        <c:v>0.41569219381653055</c:v>
                      </c:pt>
                      <c:pt idx="3775">
                        <c:v>0.41569219381653055</c:v>
                      </c:pt>
                      <c:pt idx="3776">
                        <c:v>0.41569219381653055</c:v>
                      </c:pt>
                      <c:pt idx="3777">
                        <c:v>0.41569219381653055</c:v>
                      </c:pt>
                      <c:pt idx="3778">
                        <c:v>0.41569219381653055</c:v>
                      </c:pt>
                      <c:pt idx="3779">
                        <c:v>0.41569219381653055</c:v>
                      </c:pt>
                      <c:pt idx="3780">
                        <c:v>0.41569219381653055</c:v>
                      </c:pt>
                      <c:pt idx="3781">
                        <c:v>0.41569219381653055</c:v>
                      </c:pt>
                      <c:pt idx="3782">
                        <c:v>0.41569219381653055</c:v>
                      </c:pt>
                      <c:pt idx="3783">
                        <c:v>0.41569219381653055</c:v>
                      </c:pt>
                      <c:pt idx="3784">
                        <c:v>0.41569219381653055</c:v>
                      </c:pt>
                      <c:pt idx="3785">
                        <c:v>0.41569219381653055</c:v>
                      </c:pt>
                      <c:pt idx="3786">
                        <c:v>0.41569219381653055</c:v>
                      </c:pt>
                      <c:pt idx="3787">
                        <c:v>0.41569219381653055</c:v>
                      </c:pt>
                      <c:pt idx="3788">
                        <c:v>0.41569219381653055</c:v>
                      </c:pt>
                      <c:pt idx="3789">
                        <c:v>0.41569219381653055</c:v>
                      </c:pt>
                      <c:pt idx="3790">
                        <c:v>0.41569219381653055</c:v>
                      </c:pt>
                      <c:pt idx="3791">
                        <c:v>0.41569219381653055</c:v>
                      </c:pt>
                      <c:pt idx="3792">
                        <c:v>0.41569219381653055</c:v>
                      </c:pt>
                      <c:pt idx="3793">
                        <c:v>0.41569219381653055</c:v>
                      </c:pt>
                      <c:pt idx="3794">
                        <c:v>0.41569219381653055</c:v>
                      </c:pt>
                      <c:pt idx="3795">
                        <c:v>0.41569219381653055</c:v>
                      </c:pt>
                      <c:pt idx="3796">
                        <c:v>0.41569219381653055</c:v>
                      </c:pt>
                      <c:pt idx="3797">
                        <c:v>0.41569219381653055</c:v>
                      </c:pt>
                      <c:pt idx="3798">
                        <c:v>0.41569219381653055</c:v>
                      </c:pt>
                      <c:pt idx="3799">
                        <c:v>0.41569219381653055</c:v>
                      </c:pt>
                      <c:pt idx="3800">
                        <c:v>0.41569219381653055</c:v>
                      </c:pt>
                      <c:pt idx="3801">
                        <c:v>0.41569219381653055</c:v>
                      </c:pt>
                      <c:pt idx="3802">
                        <c:v>0.41569219381653055</c:v>
                      </c:pt>
                      <c:pt idx="3803">
                        <c:v>0.41569219381653055</c:v>
                      </c:pt>
                      <c:pt idx="3804">
                        <c:v>0.41569219381653055</c:v>
                      </c:pt>
                      <c:pt idx="3805">
                        <c:v>0.41569219381653055</c:v>
                      </c:pt>
                      <c:pt idx="3806">
                        <c:v>0.41569219381653055</c:v>
                      </c:pt>
                      <c:pt idx="3807">
                        <c:v>0.41569219381653055</c:v>
                      </c:pt>
                      <c:pt idx="3808">
                        <c:v>0.41569219381653055</c:v>
                      </c:pt>
                      <c:pt idx="3809">
                        <c:v>0.41569219381653055</c:v>
                      </c:pt>
                      <c:pt idx="3810">
                        <c:v>0.41569219381653055</c:v>
                      </c:pt>
                      <c:pt idx="3811">
                        <c:v>0.41569219381653055</c:v>
                      </c:pt>
                      <c:pt idx="3812">
                        <c:v>0.41569219381653055</c:v>
                      </c:pt>
                      <c:pt idx="3813">
                        <c:v>0.41569219381653055</c:v>
                      </c:pt>
                      <c:pt idx="3814">
                        <c:v>0.41569219381653055</c:v>
                      </c:pt>
                      <c:pt idx="3815">
                        <c:v>0.41569219381653055</c:v>
                      </c:pt>
                      <c:pt idx="3816">
                        <c:v>0.41569219381653055</c:v>
                      </c:pt>
                      <c:pt idx="3817">
                        <c:v>0.41569219381653055</c:v>
                      </c:pt>
                      <c:pt idx="3818">
                        <c:v>0.41569219381653055</c:v>
                      </c:pt>
                      <c:pt idx="3819">
                        <c:v>0.41569219381653055</c:v>
                      </c:pt>
                      <c:pt idx="3820">
                        <c:v>0.41569219381653055</c:v>
                      </c:pt>
                      <c:pt idx="3822">
                        <c:v>0.42435244785437493</c:v>
                      </c:pt>
                      <c:pt idx="3823">
                        <c:v>0.42435244785437493</c:v>
                      </c:pt>
                      <c:pt idx="3824">
                        <c:v>0.42435244785437493</c:v>
                      </c:pt>
                      <c:pt idx="3825">
                        <c:v>0.42435244785437493</c:v>
                      </c:pt>
                      <c:pt idx="3826">
                        <c:v>0.42435244785437493</c:v>
                      </c:pt>
                      <c:pt idx="3827">
                        <c:v>0.42435244785437493</c:v>
                      </c:pt>
                      <c:pt idx="3828">
                        <c:v>0.42435244785437493</c:v>
                      </c:pt>
                      <c:pt idx="3829">
                        <c:v>0.42435244785437493</c:v>
                      </c:pt>
                      <c:pt idx="3830">
                        <c:v>0.42435244785437493</c:v>
                      </c:pt>
                      <c:pt idx="3831">
                        <c:v>0.42435244785437493</c:v>
                      </c:pt>
                      <c:pt idx="3832">
                        <c:v>0.42435244785437493</c:v>
                      </c:pt>
                      <c:pt idx="3833">
                        <c:v>0.42435244785437493</c:v>
                      </c:pt>
                      <c:pt idx="3834">
                        <c:v>0.42435244785437493</c:v>
                      </c:pt>
                      <c:pt idx="3835">
                        <c:v>0.42435244785437493</c:v>
                      </c:pt>
                      <c:pt idx="3836">
                        <c:v>0.42435244785437493</c:v>
                      </c:pt>
                      <c:pt idx="3837">
                        <c:v>0.42435244785437493</c:v>
                      </c:pt>
                      <c:pt idx="3838">
                        <c:v>0.42435244785437493</c:v>
                      </c:pt>
                      <c:pt idx="3839">
                        <c:v>0.42435244785437493</c:v>
                      </c:pt>
                      <c:pt idx="3840">
                        <c:v>0.42435244785437493</c:v>
                      </c:pt>
                      <c:pt idx="3841">
                        <c:v>0.42435244785437493</c:v>
                      </c:pt>
                      <c:pt idx="3842">
                        <c:v>0.42435244785437493</c:v>
                      </c:pt>
                      <c:pt idx="3843">
                        <c:v>0.42435244785437493</c:v>
                      </c:pt>
                      <c:pt idx="3844">
                        <c:v>0.42435244785437493</c:v>
                      </c:pt>
                      <c:pt idx="3845">
                        <c:v>0.42435244785437493</c:v>
                      </c:pt>
                      <c:pt idx="3846">
                        <c:v>0.42435244785437493</c:v>
                      </c:pt>
                      <c:pt idx="3847">
                        <c:v>0.42435244785437493</c:v>
                      </c:pt>
                      <c:pt idx="3848">
                        <c:v>0.42435244785437493</c:v>
                      </c:pt>
                      <c:pt idx="3849">
                        <c:v>0.42435244785437493</c:v>
                      </c:pt>
                      <c:pt idx="3850">
                        <c:v>0.42435244785437493</c:v>
                      </c:pt>
                      <c:pt idx="3851">
                        <c:v>0.42435244785437493</c:v>
                      </c:pt>
                      <c:pt idx="3852">
                        <c:v>0.42435244785437493</c:v>
                      </c:pt>
                      <c:pt idx="3853">
                        <c:v>0.42435244785437493</c:v>
                      </c:pt>
                      <c:pt idx="3854">
                        <c:v>0.42435244785437493</c:v>
                      </c:pt>
                      <c:pt idx="3855">
                        <c:v>0.42435244785437493</c:v>
                      </c:pt>
                      <c:pt idx="3856">
                        <c:v>0.42435244785437493</c:v>
                      </c:pt>
                      <c:pt idx="3857">
                        <c:v>0.42435244785437493</c:v>
                      </c:pt>
                      <c:pt idx="3858">
                        <c:v>0.42435244785437493</c:v>
                      </c:pt>
                      <c:pt idx="3859">
                        <c:v>0.42435244785437493</c:v>
                      </c:pt>
                      <c:pt idx="3860">
                        <c:v>0.42435244785437493</c:v>
                      </c:pt>
                      <c:pt idx="3861">
                        <c:v>0.42435244785437493</c:v>
                      </c:pt>
                      <c:pt idx="3862">
                        <c:v>0.42435244785437493</c:v>
                      </c:pt>
                      <c:pt idx="3863">
                        <c:v>0.42435244785437493</c:v>
                      </c:pt>
                      <c:pt idx="3864">
                        <c:v>0.42435244785437493</c:v>
                      </c:pt>
                      <c:pt idx="3865">
                        <c:v>0.42435244785437493</c:v>
                      </c:pt>
                      <c:pt idx="3866">
                        <c:v>0.42435244785437493</c:v>
                      </c:pt>
                      <c:pt idx="3867">
                        <c:v>0.42435244785437493</c:v>
                      </c:pt>
                      <c:pt idx="3868">
                        <c:v>0.42435244785437493</c:v>
                      </c:pt>
                      <c:pt idx="3869">
                        <c:v>0.42435244785437493</c:v>
                      </c:pt>
                      <c:pt idx="3870">
                        <c:v>0.42435244785437493</c:v>
                      </c:pt>
                      <c:pt idx="3871">
                        <c:v>0.42435244785437493</c:v>
                      </c:pt>
                      <c:pt idx="3872">
                        <c:v>0.42435244785437493</c:v>
                      </c:pt>
                      <c:pt idx="3873">
                        <c:v>0.42435244785437493</c:v>
                      </c:pt>
                      <c:pt idx="3875">
                        <c:v>0.4330127018922193</c:v>
                      </c:pt>
                      <c:pt idx="3876">
                        <c:v>0.4330127018922193</c:v>
                      </c:pt>
                      <c:pt idx="3877">
                        <c:v>0.4330127018922193</c:v>
                      </c:pt>
                      <c:pt idx="3878">
                        <c:v>0.4330127018922193</c:v>
                      </c:pt>
                      <c:pt idx="3879">
                        <c:v>0.4330127018922193</c:v>
                      </c:pt>
                      <c:pt idx="3880">
                        <c:v>0.4330127018922193</c:v>
                      </c:pt>
                      <c:pt idx="3881">
                        <c:v>0.4330127018922193</c:v>
                      </c:pt>
                      <c:pt idx="3882">
                        <c:v>0.4330127018922193</c:v>
                      </c:pt>
                      <c:pt idx="3883">
                        <c:v>0.4330127018922193</c:v>
                      </c:pt>
                      <c:pt idx="3884">
                        <c:v>0.4330127018922193</c:v>
                      </c:pt>
                      <c:pt idx="3885">
                        <c:v>0.4330127018922193</c:v>
                      </c:pt>
                      <c:pt idx="3886">
                        <c:v>0.4330127018922193</c:v>
                      </c:pt>
                      <c:pt idx="3887">
                        <c:v>0.4330127018922193</c:v>
                      </c:pt>
                      <c:pt idx="3888">
                        <c:v>0.4330127018922193</c:v>
                      </c:pt>
                      <c:pt idx="3889">
                        <c:v>0.4330127018922193</c:v>
                      </c:pt>
                      <c:pt idx="3890">
                        <c:v>0.4330127018922193</c:v>
                      </c:pt>
                      <c:pt idx="3891">
                        <c:v>0.4330127018922193</c:v>
                      </c:pt>
                      <c:pt idx="3892">
                        <c:v>0.4330127018922193</c:v>
                      </c:pt>
                      <c:pt idx="3893">
                        <c:v>0.4330127018922193</c:v>
                      </c:pt>
                      <c:pt idx="3894">
                        <c:v>0.4330127018922193</c:v>
                      </c:pt>
                      <c:pt idx="3895">
                        <c:v>0.4330127018922193</c:v>
                      </c:pt>
                      <c:pt idx="3896">
                        <c:v>0.4330127018922193</c:v>
                      </c:pt>
                      <c:pt idx="3897">
                        <c:v>0.4330127018922193</c:v>
                      </c:pt>
                      <c:pt idx="3898">
                        <c:v>0.4330127018922193</c:v>
                      </c:pt>
                      <c:pt idx="3899">
                        <c:v>0.4330127018922193</c:v>
                      </c:pt>
                      <c:pt idx="3900">
                        <c:v>0.4330127018922193</c:v>
                      </c:pt>
                      <c:pt idx="3901">
                        <c:v>0.4330127018922193</c:v>
                      </c:pt>
                      <c:pt idx="3902">
                        <c:v>0.4330127018922193</c:v>
                      </c:pt>
                      <c:pt idx="3903">
                        <c:v>0.4330127018922193</c:v>
                      </c:pt>
                      <c:pt idx="3904">
                        <c:v>0.4330127018922193</c:v>
                      </c:pt>
                      <c:pt idx="3905">
                        <c:v>0.4330127018922193</c:v>
                      </c:pt>
                      <c:pt idx="3906">
                        <c:v>0.4330127018922193</c:v>
                      </c:pt>
                      <c:pt idx="3907">
                        <c:v>0.4330127018922193</c:v>
                      </c:pt>
                      <c:pt idx="3908">
                        <c:v>0.4330127018922193</c:v>
                      </c:pt>
                      <c:pt idx="3909">
                        <c:v>0.4330127018922193</c:v>
                      </c:pt>
                      <c:pt idx="3910">
                        <c:v>0.4330127018922193</c:v>
                      </c:pt>
                      <c:pt idx="3911">
                        <c:v>0.4330127018922193</c:v>
                      </c:pt>
                      <c:pt idx="3912">
                        <c:v>0.4330127018922193</c:v>
                      </c:pt>
                      <c:pt idx="3913">
                        <c:v>0.4330127018922193</c:v>
                      </c:pt>
                      <c:pt idx="3914">
                        <c:v>0.4330127018922193</c:v>
                      </c:pt>
                      <c:pt idx="3915">
                        <c:v>0.4330127018922193</c:v>
                      </c:pt>
                      <c:pt idx="3916">
                        <c:v>0.4330127018922193</c:v>
                      </c:pt>
                      <c:pt idx="3917">
                        <c:v>0.4330127018922193</c:v>
                      </c:pt>
                      <c:pt idx="3918">
                        <c:v>0.4330127018922193</c:v>
                      </c:pt>
                      <c:pt idx="3919">
                        <c:v>0.4330127018922193</c:v>
                      </c:pt>
                      <c:pt idx="3920">
                        <c:v>0.4330127018922193</c:v>
                      </c:pt>
                      <c:pt idx="3921">
                        <c:v>0.4330127018922193</c:v>
                      </c:pt>
                      <c:pt idx="3922">
                        <c:v>0.4330127018922193</c:v>
                      </c:pt>
                      <c:pt idx="3923">
                        <c:v>0.4330127018922193</c:v>
                      </c:pt>
                      <c:pt idx="3924">
                        <c:v>0.4330127018922193</c:v>
                      </c:pt>
                      <c:pt idx="3925">
                        <c:v>0.4330127018922193</c:v>
                      </c:pt>
                      <c:pt idx="3927">
                        <c:v>0.44167295593006373</c:v>
                      </c:pt>
                      <c:pt idx="3928">
                        <c:v>0.44167295593006373</c:v>
                      </c:pt>
                      <c:pt idx="3929">
                        <c:v>0.44167295593006373</c:v>
                      </c:pt>
                      <c:pt idx="3930">
                        <c:v>0.44167295593006373</c:v>
                      </c:pt>
                      <c:pt idx="3931">
                        <c:v>0.44167295593006373</c:v>
                      </c:pt>
                      <c:pt idx="3932">
                        <c:v>0.44167295593006373</c:v>
                      </c:pt>
                      <c:pt idx="3933">
                        <c:v>0.44167295593006373</c:v>
                      </c:pt>
                      <c:pt idx="3934">
                        <c:v>0.44167295593006373</c:v>
                      </c:pt>
                      <c:pt idx="3935">
                        <c:v>0.44167295593006373</c:v>
                      </c:pt>
                      <c:pt idx="3936">
                        <c:v>0.44167295593006373</c:v>
                      </c:pt>
                      <c:pt idx="3937">
                        <c:v>0.44167295593006373</c:v>
                      </c:pt>
                      <c:pt idx="3938">
                        <c:v>0.44167295593006373</c:v>
                      </c:pt>
                      <c:pt idx="3939">
                        <c:v>0.44167295593006373</c:v>
                      </c:pt>
                      <c:pt idx="3940">
                        <c:v>0.44167295593006373</c:v>
                      </c:pt>
                      <c:pt idx="3941">
                        <c:v>0.44167295593006373</c:v>
                      </c:pt>
                      <c:pt idx="3942">
                        <c:v>0.44167295593006373</c:v>
                      </c:pt>
                      <c:pt idx="3943">
                        <c:v>0.44167295593006373</c:v>
                      </c:pt>
                      <c:pt idx="3944">
                        <c:v>0.44167295593006373</c:v>
                      </c:pt>
                      <c:pt idx="3945">
                        <c:v>0.44167295593006373</c:v>
                      </c:pt>
                      <c:pt idx="3946">
                        <c:v>0.44167295593006373</c:v>
                      </c:pt>
                      <c:pt idx="3947">
                        <c:v>0.44167295593006373</c:v>
                      </c:pt>
                      <c:pt idx="3948">
                        <c:v>0.44167295593006373</c:v>
                      </c:pt>
                      <c:pt idx="3949">
                        <c:v>0.44167295593006373</c:v>
                      </c:pt>
                      <c:pt idx="3950">
                        <c:v>0.44167295593006373</c:v>
                      </c:pt>
                      <c:pt idx="3951">
                        <c:v>0.44167295593006373</c:v>
                      </c:pt>
                      <c:pt idx="3952">
                        <c:v>0.44167295593006373</c:v>
                      </c:pt>
                      <c:pt idx="3953">
                        <c:v>0.44167295593006373</c:v>
                      </c:pt>
                      <c:pt idx="3954">
                        <c:v>0.44167295593006373</c:v>
                      </c:pt>
                      <c:pt idx="3955">
                        <c:v>0.44167295593006373</c:v>
                      </c:pt>
                      <c:pt idx="3956">
                        <c:v>0.44167295593006373</c:v>
                      </c:pt>
                      <c:pt idx="3957">
                        <c:v>0.44167295593006373</c:v>
                      </c:pt>
                      <c:pt idx="3958">
                        <c:v>0.44167295593006373</c:v>
                      </c:pt>
                      <c:pt idx="3959">
                        <c:v>0.44167295593006373</c:v>
                      </c:pt>
                      <c:pt idx="3960">
                        <c:v>0.44167295593006373</c:v>
                      </c:pt>
                      <c:pt idx="3961">
                        <c:v>0.44167295593006373</c:v>
                      </c:pt>
                      <c:pt idx="3962">
                        <c:v>0.44167295593006373</c:v>
                      </c:pt>
                      <c:pt idx="3963">
                        <c:v>0.44167295593006373</c:v>
                      </c:pt>
                      <c:pt idx="3964">
                        <c:v>0.44167295593006373</c:v>
                      </c:pt>
                      <c:pt idx="3965">
                        <c:v>0.44167295593006373</c:v>
                      </c:pt>
                      <c:pt idx="3966">
                        <c:v>0.44167295593006373</c:v>
                      </c:pt>
                      <c:pt idx="3967">
                        <c:v>0.44167295593006373</c:v>
                      </c:pt>
                      <c:pt idx="3968">
                        <c:v>0.44167295593006373</c:v>
                      </c:pt>
                      <c:pt idx="3969">
                        <c:v>0.44167295593006373</c:v>
                      </c:pt>
                      <c:pt idx="3970">
                        <c:v>0.44167295593006373</c:v>
                      </c:pt>
                      <c:pt idx="3971">
                        <c:v>0.44167295593006373</c:v>
                      </c:pt>
                      <c:pt idx="3972">
                        <c:v>0.44167295593006373</c:v>
                      </c:pt>
                      <c:pt idx="3973">
                        <c:v>0.44167295593006373</c:v>
                      </c:pt>
                      <c:pt idx="3974">
                        <c:v>0.44167295593006373</c:v>
                      </c:pt>
                      <c:pt idx="3975">
                        <c:v>0.44167295593006373</c:v>
                      </c:pt>
                      <c:pt idx="3976">
                        <c:v>0.44167295593006373</c:v>
                      </c:pt>
                      <c:pt idx="3978">
                        <c:v>0.45033320996790815</c:v>
                      </c:pt>
                      <c:pt idx="3979">
                        <c:v>0.45033320996790815</c:v>
                      </c:pt>
                      <c:pt idx="3980">
                        <c:v>0.45033320996790815</c:v>
                      </c:pt>
                      <c:pt idx="3981">
                        <c:v>0.45033320996790815</c:v>
                      </c:pt>
                      <c:pt idx="3982">
                        <c:v>0.45033320996790815</c:v>
                      </c:pt>
                      <c:pt idx="3983">
                        <c:v>0.45033320996790815</c:v>
                      </c:pt>
                      <c:pt idx="3984">
                        <c:v>0.45033320996790815</c:v>
                      </c:pt>
                      <c:pt idx="3985">
                        <c:v>0.45033320996790815</c:v>
                      </c:pt>
                      <c:pt idx="3986">
                        <c:v>0.45033320996790815</c:v>
                      </c:pt>
                      <c:pt idx="3987">
                        <c:v>0.45033320996790815</c:v>
                      </c:pt>
                      <c:pt idx="3988">
                        <c:v>0.45033320996790815</c:v>
                      </c:pt>
                      <c:pt idx="3989">
                        <c:v>0.45033320996790815</c:v>
                      </c:pt>
                      <c:pt idx="3990">
                        <c:v>0.45033320996790815</c:v>
                      </c:pt>
                      <c:pt idx="3991">
                        <c:v>0.45033320996790815</c:v>
                      </c:pt>
                      <c:pt idx="3992">
                        <c:v>0.45033320996790815</c:v>
                      </c:pt>
                      <c:pt idx="3993">
                        <c:v>0.45033320996790815</c:v>
                      </c:pt>
                      <c:pt idx="3994">
                        <c:v>0.45033320996790815</c:v>
                      </c:pt>
                      <c:pt idx="3995">
                        <c:v>0.45033320996790815</c:v>
                      </c:pt>
                      <c:pt idx="3996">
                        <c:v>0.45033320996790815</c:v>
                      </c:pt>
                      <c:pt idx="3997">
                        <c:v>0.45033320996790815</c:v>
                      </c:pt>
                      <c:pt idx="3998">
                        <c:v>0.45033320996790815</c:v>
                      </c:pt>
                      <c:pt idx="3999">
                        <c:v>0.45033320996790815</c:v>
                      </c:pt>
                      <c:pt idx="4000">
                        <c:v>0.45033320996790815</c:v>
                      </c:pt>
                      <c:pt idx="4001">
                        <c:v>0.45033320996790815</c:v>
                      </c:pt>
                      <c:pt idx="4002">
                        <c:v>0.45033320996790815</c:v>
                      </c:pt>
                      <c:pt idx="4003">
                        <c:v>0.45033320996790815</c:v>
                      </c:pt>
                      <c:pt idx="4004">
                        <c:v>0.45033320996790815</c:v>
                      </c:pt>
                      <c:pt idx="4005">
                        <c:v>0.45033320996790815</c:v>
                      </c:pt>
                      <c:pt idx="4006">
                        <c:v>0.45033320996790815</c:v>
                      </c:pt>
                      <c:pt idx="4007">
                        <c:v>0.45033320996790815</c:v>
                      </c:pt>
                      <c:pt idx="4008">
                        <c:v>0.45033320996790815</c:v>
                      </c:pt>
                      <c:pt idx="4009">
                        <c:v>0.45033320996790815</c:v>
                      </c:pt>
                      <c:pt idx="4010">
                        <c:v>0.45033320996790815</c:v>
                      </c:pt>
                      <c:pt idx="4011">
                        <c:v>0.45033320996790815</c:v>
                      </c:pt>
                      <c:pt idx="4012">
                        <c:v>0.45033320996790815</c:v>
                      </c:pt>
                      <c:pt idx="4013">
                        <c:v>0.45033320996790815</c:v>
                      </c:pt>
                      <c:pt idx="4014">
                        <c:v>0.45033320996790815</c:v>
                      </c:pt>
                      <c:pt idx="4015">
                        <c:v>0.45033320996790815</c:v>
                      </c:pt>
                      <c:pt idx="4016">
                        <c:v>0.45033320996790815</c:v>
                      </c:pt>
                      <c:pt idx="4017">
                        <c:v>0.45033320996790815</c:v>
                      </c:pt>
                      <c:pt idx="4018">
                        <c:v>0.45033320996790815</c:v>
                      </c:pt>
                      <c:pt idx="4019">
                        <c:v>0.45033320996790815</c:v>
                      </c:pt>
                      <c:pt idx="4020">
                        <c:v>0.45033320996790815</c:v>
                      </c:pt>
                      <c:pt idx="4021">
                        <c:v>0.45033320996790815</c:v>
                      </c:pt>
                      <c:pt idx="4022">
                        <c:v>0.45033320996790815</c:v>
                      </c:pt>
                      <c:pt idx="4023">
                        <c:v>0.45033320996790815</c:v>
                      </c:pt>
                      <c:pt idx="4024">
                        <c:v>0.45033320996790815</c:v>
                      </c:pt>
                      <c:pt idx="4025">
                        <c:v>0.45033320996790815</c:v>
                      </c:pt>
                      <c:pt idx="4026">
                        <c:v>0.45033320996790815</c:v>
                      </c:pt>
                      <c:pt idx="4028">
                        <c:v>0.45899346400575253</c:v>
                      </c:pt>
                      <c:pt idx="4029">
                        <c:v>0.45899346400575253</c:v>
                      </c:pt>
                      <c:pt idx="4030">
                        <c:v>0.45899346400575253</c:v>
                      </c:pt>
                      <c:pt idx="4031">
                        <c:v>0.45899346400575253</c:v>
                      </c:pt>
                      <c:pt idx="4032">
                        <c:v>0.45899346400575253</c:v>
                      </c:pt>
                      <c:pt idx="4033">
                        <c:v>0.45899346400575253</c:v>
                      </c:pt>
                      <c:pt idx="4034">
                        <c:v>0.45899346400575253</c:v>
                      </c:pt>
                      <c:pt idx="4035">
                        <c:v>0.45899346400575253</c:v>
                      </c:pt>
                      <c:pt idx="4036">
                        <c:v>0.45899346400575253</c:v>
                      </c:pt>
                      <c:pt idx="4037">
                        <c:v>0.45899346400575253</c:v>
                      </c:pt>
                      <c:pt idx="4038">
                        <c:v>0.45899346400575253</c:v>
                      </c:pt>
                      <c:pt idx="4039">
                        <c:v>0.45899346400575253</c:v>
                      </c:pt>
                      <c:pt idx="4040">
                        <c:v>0.45899346400575253</c:v>
                      </c:pt>
                      <c:pt idx="4041">
                        <c:v>0.45899346400575253</c:v>
                      </c:pt>
                      <c:pt idx="4042">
                        <c:v>0.45899346400575253</c:v>
                      </c:pt>
                      <c:pt idx="4043">
                        <c:v>0.45899346400575253</c:v>
                      </c:pt>
                      <c:pt idx="4044">
                        <c:v>0.45899346400575253</c:v>
                      </c:pt>
                      <c:pt idx="4045">
                        <c:v>0.45899346400575253</c:v>
                      </c:pt>
                      <c:pt idx="4046">
                        <c:v>0.45899346400575253</c:v>
                      </c:pt>
                      <c:pt idx="4047">
                        <c:v>0.45899346400575253</c:v>
                      </c:pt>
                      <c:pt idx="4048">
                        <c:v>0.45899346400575253</c:v>
                      </c:pt>
                      <c:pt idx="4049">
                        <c:v>0.45899346400575253</c:v>
                      </c:pt>
                      <c:pt idx="4050">
                        <c:v>0.45899346400575253</c:v>
                      </c:pt>
                      <c:pt idx="4051">
                        <c:v>0.45899346400575253</c:v>
                      </c:pt>
                      <c:pt idx="4052">
                        <c:v>0.45899346400575253</c:v>
                      </c:pt>
                      <c:pt idx="4053">
                        <c:v>0.45899346400575253</c:v>
                      </c:pt>
                      <c:pt idx="4054">
                        <c:v>0.45899346400575253</c:v>
                      </c:pt>
                      <c:pt idx="4055">
                        <c:v>0.45899346400575253</c:v>
                      </c:pt>
                      <c:pt idx="4056">
                        <c:v>0.45899346400575253</c:v>
                      </c:pt>
                      <c:pt idx="4057">
                        <c:v>0.45899346400575253</c:v>
                      </c:pt>
                      <c:pt idx="4058">
                        <c:v>0.45899346400575253</c:v>
                      </c:pt>
                      <c:pt idx="4059">
                        <c:v>0.45899346400575253</c:v>
                      </c:pt>
                      <c:pt idx="4060">
                        <c:v>0.45899346400575253</c:v>
                      </c:pt>
                      <c:pt idx="4061">
                        <c:v>0.45899346400575253</c:v>
                      </c:pt>
                      <c:pt idx="4062">
                        <c:v>0.45899346400575253</c:v>
                      </c:pt>
                      <c:pt idx="4063">
                        <c:v>0.45899346400575253</c:v>
                      </c:pt>
                      <c:pt idx="4064">
                        <c:v>0.45899346400575253</c:v>
                      </c:pt>
                      <c:pt idx="4065">
                        <c:v>0.45899346400575253</c:v>
                      </c:pt>
                      <c:pt idx="4066">
                        <c:v>0.45899346400575253</c:v>
                      </c:pt>
                      <c:pt idx="4067">
                        <c:v>0.45899346400575253</c:v>
                      </c:pt>
                      <c:pt idx="4068">
                        <c:v>0.45899346400575253</c:v>
                      </c:pt>
                      <c:pt idx="4069">
                        <c:v>0.45899346400575253</c:v>
                      </c:pt>
                      <c:pt idx="4070">
                        <c:v>0.45899346400575253</c:v>
                      </c:pt>
                      <c:pt idx="4071">
                        <c:v>0.45899346400575253</c:v>
                      </c:pt>
                      <c:pt idx="4072">
                        <c:v>0.45899346400575253</c:v>
                      </c:pt>
                      <c:pt idx="4073">
                        <c:v>0.45899346400575253</c:v>
                      </c:pt>
                      <c:pt idx="4074">
                        <c:v>0.45899346400575253</c:v>
                      </c:pt>
                      <c:pt idx="4075">
                        <c:v>0.45899346400575253</c:v>
                      </c:pt>
                      <c:pt idx="4077">
                        <c:v>0.4676537180435969</c:v>
                      </c:pt>
                      <c:pt idx="4078">
                        <c:v>0.4676537180435969</c:v>
                      </c:pt>
                      <c:pt idx="4079">
                        <c:v>0.4676537180435969</c:v>
                      </c:pt>
                      <c:pt idx="4080">
                        <c:v>0.4676537180435969</c:v>
                      </c:pt>
                      <c:pt idx="4081">
                        <c:v>0.4676537180435969</c:v>
                      </c:pt>
                      <c:pt idx="4082">
                        <c:v>0.4676537180435969</c:v>
                      </c:pt>
                      <c:pt idx="4083">
                        <c:v>0.4676537180435969</c:v>
                      </c:pt>
                      <c:pt idx="4084">
                        <c:v>0.4676537180435969</c:v>
                      </c:pt>
                      <c:pt idx="4085">
                        <c:v>0.4676537180435969</c:v>
                      </c:pt>
                      <c:pt idx="4086">
                        <c:v>0.4676537180435969</c:v>
                      </c:pt>
                      <c:pt idx="4087">
                        <c:v>0.4676537180435969</c:v>
                      </c:pt>
                      <c:pt idx="4088">
                        <c:v>0.4676537180435969</c:v>
                      </c:pt>
                      <c:pt idx="4089">
                        <c:v>0.4676537180435969</c:v>
                      </c:pt>
                      <c:pt idx="4090">
                        <c:v>0.4676537180435969</c:v>
                      </c:pt>
                      <c:pt idx="4091">
                        <c:v>0.4676537180435969</c:v>
                      </c:pt>
                      <c:pt idx="4092">
                        <c:v>0.4676537180435969</c:v>
                      </c:pt>
                      <c:pt idx="4093">
                        <c:v>0.4676537180435969</c:v>
                      </c:pt>
                      <c:pt idx="4094">
                        <c:v>0.4676537180435969</c:v>
                      </c:pt>
                      <c:pt idx="4095">
                        <c:v>0.4676537180435969</c:v>
                      </c:pt>
                      <c:pt idx="4096">
                        <c:v>0.4676537180435969</c:v>
                      </c:pt>
                      <c:pt idx="4097">
                        <c:v>0.4676537180435969</c:v>
                      </c:pt>
                      <c:pt idx="4098">
                        <c:v>0.4676537180435969</c:v>
                      </c:pt>
                      <c:pt idx="4099">
                        <c:v>0.4676537180435969</c:v>
                      </c:pt>
                      <c:pt idx="4100">
                        <c:v>0.4676537180435969</c:v>
                      </c:pt>
                      <c:pt idx="4101">
                        <c:v>0.4676537180435969</c:v>
                      </c:pt>
                      <c:pt idx="4102">
                        <c:v>0.4676537180435969</c:v>
                      </c:pt>
                      <c:pt idx="4103">
                        <c:v>0.4676537180435969</c:v>
                      </c:pt>
                      <c:pt idx="4104">
                        <c:v>0.4676537180435969</c:v>
                      </c:pt>
                      <c:pt idx="4105">
                        <c:v>0.4676537180435969</c:v>
                      </c:pt>
                      <c:pt idx="4106">
                        <c:v>0.4676537180435969</c:v>
                      </c:pt>
                      <c:pt idx="4107">
                        <c:v>0.4676537180435969</c:v>
                      </c:pt>
                      <c:pt idx="4108">
                        <c:v>0.4676537180435969</c:v>
                      </c:pt>
                      <c:pt idx="4109">
                        <c:v>0.4676537180435969</c:v>
                      </c:pt>
                      <c:pt idx="4110">
                        <c:v>0.4676537180435969</c:v>
                      </c:pt>
                      <c:pt idx="4111">
                        <c:v>0.4676537180435969</c:v>
                      </c:pt>
                      <c:pt idx="4112">
                        <c:v>0.4676537180435969</c:v>
                      </c:pt>
                      <c:pt idx="4113">
                        <c:v>0.4676537180435969</c:v>
                      </c:pt>
                      <c:pt idx="4114">
                        <c:v>0.4676537180435969</c:v>
                      </c:pt>
                      <c:pt idx="4115">
                        <c:v>0.4676537180435969</c:v>
                      </c:pt>
                      <c:pt idx="4116">
                        <c:v>0.4676537180435969</c:v>
                      </c:pt>
                      <c:pt idx="4117">
                        <c:v>0.4676537180435969</c:v>
                      </c:pt>
                      <c:pt idx="4118">
                        <c:v>0.4676537180435969</c:v>
                      </c:pt>
                      <c:pt idx="4119">
                        <c:v>0.4676537180435969</c:v>
                      </c:pt>
                      <c:pt idx="4120">
                        <c:v>0.4676537180435969</c:v>
                      </c:pt>
                      <c:pt idx="4121">
                        <c:v>0.4676537180435969</c:v>
                      </c:pt>
                      <c:pt idx="4122">
                        <c:v>0.4676537180435969</c:v>
                      </c:pt>
                      <c:pt idx="4123">
                        <c:v>0.4676537180435969</c:v>
                      </c:pt>
                      <c:pt idx="4125">
                        <c:v>0.47631397208144133</c:v>
                      </c:pt>
                      <c:pt idx="4126">
                        <c:v>0.47631397208144133</c:v>
                      </c:pt>
                      <c:pt idx="4127">
                        <c:v>0.47631397208144133</c:v>
                      </c:pt>
                      <c:pt idx="4128">
                        <c:v>0.47631397208144133</c:v>
                      </c:pt>
                      <c:pt idx="4129">
                        <c:v>0.47631397208144133</c:v>
                      </c:pt>
                      <c:pt idx="4130">
                        <c:v>0.47631397208144133</c:v>
                      </c:pt>
                      <c:pt idx="4131">
                        <c:v>0.47631397208144133</c:v>
                      </c:pt>
                      <c:pt idx="4132">
                        <c:v>0.47631397208144133</c:v>
                      </c:pt>
                      <c:pt idx="4133">
                        <c:v>0.47631397208144133</c:v>
                      </c:pt>
                      <c:pt idx="4134">
                        <c:v>0.47631397208144133</c:v>
                      </c:pt>
                      <c:pt idx="4135">
                        <c:v>0.47631397208144133</c:v>
                      </c:pt>
                      <c:pt idx="4136">
                        <c:v>0.47631397208144133</c:v>
                      </c:pt>
                      <c:pt idx="4137">
                        <c:v>0.47631397208144133</c:v>
                      </c:pt>
                      <c:pt idx="4138">
                        <c:v>0.47631397208144133</c:v>
                      </c:pt>
                      <c:pt idx="4139">
                        <c:v>0.47631397208144133</c:v>
                      </c:pt>
                      <c:pt idx="4140">
                        <c:v>0.47631397208144133</c:v>
                      </c:pt>
                      <c:pt idx="4141">
                        <c:v>0.47631397208144133</c:v>
                      </c:pt>
                      <c:pt idx="4142">
                        <c:v>0.47631397208144133</c:v>
                      </c:pt>
                      <c:pt idx="4143">
                        <c:v>0.47631397208144133</c:v>
                      </c:pt>
                      <c:pt idx="4144">
                        <c:v>0.47631397208144133</c:v>
                      </c:pt>
                      <c:pt idx="4145">
                        <c:v>0.47631397208144133</c:v>
                      </c:pt>
                      <c:pt idx="4146">
                        <c:v>0.47631397208144133</c:v>
                      </c:pt>
                      <c:pt idx="4147">
                        <c:v>0.47631397208144133</c:v>
                      </c:pt>
                      <c:pt idx="4148">
                        <c:v>0.47631397208144133</c:v>
                      </c:pt>
                      <c:pt idx="4149">
                        <c:v>0.47631397208144133</c:v>
                      </c:pt>
                      <c:pt idx="4150">
                        <c:v>0.47631397208144133</c:v>
                      </c:pt>
                      <c:pt idx="4151">
                        <c:v>0.47631397208144133</c:v>
                      </c:pt>
                      <c:pt idx="4152">
                        <c:v>0.47631397208144133</c:v>
                      </c:pt>
                      <c:pt idx="4153">
                        <c:v>0.47631397208144133</c:v>
                      </c:pt>
                      <c:pt idx="4154">
                        <c:v>0.47631397208144133</c:v>
                      </c:pt>
                      <c:pt idx="4155">
                        <c:v>0.47631397208144133</c:v>
                      </c:pt>
                      <c:pt idx="4156">
                        <c:v>0.47631397208144133</c:v>
                      </c:pt>
                      <c:pt idx="4157">
                        <c:v>0.47631397208144133</c:v>
                      </c:pt>
                      <c:pt idx="4158">
                        <c:v>0.47631397208144133</c:v>
                      </c:pt>
                      <c:pt idx="4159">
                        <c:v>0.47631397208144133</c:v>
                      </c:pt>
                      <c:pt idx="4160">
                        <c:v>0.47631397208144133</c:v>
                      </c:pt>
                      <c:pt idx="4161">
                        <c:v>0.47631397208144133</c:v>
                      </c:pt>
                      <c:pt idx="4162">
                        <c:v>0.47631397208144133</c:v>
                      </c:pt>
                      <c:pt idx="4163">
                        <c:v>0.47631397208144133</c:v>
                      </c:pt>
                      <c:pt idx="4164">
                        <c:v>0.47631397208144133</c:v>
                      </c:pt>
                      <c:pt idx="4165">
                        <c:v>0.47631397208144133</c:v>
                      </c:pt>
                      <c:pt idx="4166">
                        <c:v>0.47631397208144133</c:v>
                      </c:pt>
                      <c:pt idx="4167">
                        <c:v>0.47631397208144133</c:v>
                      </c:pt>
                      <c:pt idx="4168">
                        <c:v>0.47631397208144133</c:v>
                      </c:pt>
                      <c:pt idx="4169">
                        <c:v>0.47631397208144133</c:v>
                      </c:pt>
                      <c:pt idx="4170">
                        <c:v>0.47631397208144133</c:v>
                      </c:pt>
                      <c:pt idx="4172">
                        <c:v>0.48497422611928565</c:v>
                      </c:pt>
                      <c:pt idx="4173">
                        <c:v>0.48497422611928565</c:v>
                      </c:pt>
                      <c:pt idx="4174">
                        <c:v>0.48497422611928565</c:v>
                      </c:pt>
                      <c:pt idx="4175">
                        <c:v>0.48497422611928565</c:v>
                      </c:pt>
                      <c:pt idx="4176">
                        <c:v>0.48497422611928565</c:v>
                      </c:pt>
                      <c:pt idx="4177">
                        <c:v>0.48497422611928565</c:v>
                      </c:pt>
                      <c:pt idx="4178">
                        <c:v>0.48497422611928565</c:v>
                      </c:pt>
                      <c:pt idx="4179">
                        <c:v>0.48497422611928565</c:v>
                      </c:pt>
                      <c:pt idx="4180">
                        <c:v>0.48497422611928565</c:v>
                      </c:pt>
                      <c:pt idx="4181">
                        <c:v>0.48497422611928565</c:v>
                      </c:pt>
                      <c:pt idx="4182">
                        <c:v>0.48497422611928565</c:v>
                      </c:pt>
                      <c:pt idx="4183">
                        <c:v>0.48497422611928565</c:v>
                      </c:pt>
                      <c:pt idx="4184">
                        <c:v>0.48497422611928565</c:v>
                      </c:pt>
                      <c:pt idx="4185">
                        <c:v>0.48497422611928565</c:v>
                      </c:pt>
                      <c:pt idx="4186">
                        <c:v>0.48497422611928565</c:v>
                      </c:pt>
                      <c:pt idx="4187">
                        <c:v>0.48497422611928565</c:v>
                      </c:pt>
                      <c:pt idx="4188">
                        <c:v>0.48497422611928565</c:v>
                      </c:pt>
                      <c:pt idx="4189">
                        <c:v>0.48497422611928565</c:v>
                      </c:pt>
                      <c:pt idx="4190">
                        <c:v>0.48497422611928565</c:v>
                      </c:pt>
                      <c:pt idx="4191">
                        <c:v>0.48497422611928565</c:v>
                      </c:pt>
                      <c:pt idx="4192">
                        <c:v>0.48497422611928565</c:v>
                      </c:pt>
                      <c:pt idx="4193">
                        <c:v>0.48497422611928565</c:v>
                      </c:pt>
                      <c:pt idx="4194">
                        <c:v>0.48497422611928565</c:v>
                      </c:pt>
                      <c:pt idx="4195">
                        <c:v>0.48497422611928565</c:v>
                      </c:pt>
                      <c:pt idx="4196">
                        <c:v>0.48497422611928565</c:v>
                      </c:pt>
                      <c:pt idx="4197">
                        <c:v>0.48497422611928565</c:v>
                      </c:pt>
                      <c:pt idx="4198">
                        <c:v>0.48497422611928565</c:v>
                      </c:pt>
                      <c:pt idx="4199">
                        <c:v>0.48497422611928565</c:v>
                      </c:pt>
                      <c:pt idx="4200">
                        <c:v>0.48497422611928565</c:v>
                      </c:pt>
                      <c:pt idx="4201">
                        <c:v>0.48497422611928565</c:v>
                      </c:pt>
                      <c:pt idx="4202">
                        <c:v>0.48497422611928565</c:v>
                      </c:pt>
                      <c:pt idx="4203">
                        <c:v>0.48497422611928565</c:v>
                      </c:pt>
                      <c:pt idx="4204">
                        <c:v>0.48497422611928565</c:v>
                      </c:pt>
                      <c:pt idx="4205">
                        <c:v>0.48497422611928565</c:v>
                      </c:pt>
                      <c:pt idx="4206">
                        <c:v>0.48497422611928565</c:v>
                      </c:pt>
                      <c:pt idx="4207">
                        <c:v>0.48497422611928565</c:v>
                      </c:pt>
                      <c:pt idx="4208">
                        <c:v>0.48497422611928565</c:v>
                      </c:pt>
                      <c:pt idx="4209">
                        <c:v>0.48497422611928565</c:v>
                      </c:pt>
                      <c:pt idx="4210">
                        <c:v>0.48497422611928565</c:v>
                      </c:pt>
                      <c:pt idx="4211">
                        <c:v>0.48497422611928565</c:v>
                      </c:pt>
                      <c:pt idx="4212">
                        <c:v>0.48497422611928565</c:v>
                      </c:pt>
                      <c:pt idx="4213">
                        <c:v>0.48497422611928565</c:v>
                      </c:pt>
                      <c:pt idx="4214">
                        <c:v>0.48497422611928565</c:v>
                      </c:pt>
                      <c:pt idx="4215">
                        <c:v>0.48497422611928565</c:v>
                      </c:pt>
                      <c:pt idx="4216">
                        <c:v>0.48497422611928565</c:v>
                      </c:pt>
                      <c:pt idx="4218">
                        <c:v>0.49363448015713002</c:v>
                      </c:pt>
                      <c:pt idx="4219">
                        <c:v>0.49363448015713002</c:v>
                      </c:pt>
                      <c:pt idx="4220">
                        <c:v>0.49363448015713002</c:v>
                      </c:pt>
                      <c:pt idx="4221">
                        <c:v>0.49363448015713002</c:v>
                      </c:pt>
                      <c:pt idx="4222">
                        <c:v>0.49363448015713002</c:v>
                      </c:pt>
                      <c:pt idx="4223">
                        <c:v>0.49363448015713002</c:v>
                      </c:pt>
                      <c:pt idx="4224">
                        <c:v>0.49363448015713002</c:v>
                      </c:pt>
                      <c:pt idx="4225">
                        <c:v>0.49363448015713002</c:v>
                      </c:pt>
                      <c:pt idx="4226">
                        <c:v>0.49363448015713002</c:v>
                      </c:pt>
                      <c:pt idx="4227">
                        <c:v>0.49363448015713002</c:v>
                      </c:pt>
                      <c:pt idx="4228">
                        <c:v>0.49363448015713002</c:v>
                      </c:pt>
                      <c:pt idx="4229">
                        <c:v>0.49363448015713002</c:v>
                      </c:pt>
                      <c:pt idx="4230">
                        <c:v>0.49363448015713002</c:v>
                      </c:pt>
                      <c:pt idx="4231">
                        <c:v>0.49363448015713002</c:v>
                      </c:pt>
                      <c:pt idx="4232">
                        <c:v>0.49363448015713002</c:v>
                      </c:pt>
                      <c:pt idx="4233">
                        <c:v>0.49363448015713002</c:v>
                      </c:pt>
                      <c:pt idx="4234">
                        <c:v>0.49363448015713002</c:v>
                      </c:pt>
                      <c:pt idx="4235">
                        <c:v>0.49363448015713002</c:v>
                      </c:pt>
                      <c:pt idx="4236">
                        <c:v>0.49363448015713002</c:v>
                      </c:pt>
                      <c:pt idx="4237">
                        <c:v>0.49363448015713002</c:v>
                      </c:pt>
                      <c:pt idx="4238">
                        <c:v>0.49363448015713002</c:v>
                      </c:pt>
                      <c:pt idx="4239">
                        <c:v>0.49363448015713002</c:v>
                      </c:pt>
                      <c:pt idx="4240">
                        <c:v>0.49363448015713002</c:v>
                      </c:pt>
                      <c:pt idx="4241">
                        <c:v>0.49363448015713002</c:v>
                      </c:pt>
                      <c:pt idx="4242">
                        <c:v>0.49363448015713002</c:v>
                      </c:pt>
                      <c:pt idx="4243">
                        <c:v>0.49363448015713002</c:v>
                      </c:pt>
                      <c:pt idx="4244">
                        <c:v>0.49363448015713002</c:v>
                      </c:pt>
                      <c:pt idx="4245">
                        <c:v>0.49363448015713002</c:v>
                      </c:pt>
                      <c:pt idx="4246">
                        <c:v>0.49363448015713002</c:v>
                      </c:pt>
                      <c:pt idx="4247">
                        <c:v>0.49363448015713002</c:v>
                      </c:pt>
                      <c:pt idx="4248">
                        <c:v>0.49363448015713002</c:v>
                      </c:pt>
                      <c:pt idx="4249">
                        <c:v>0.49363448015713002</c:v>
                      </c:pt>
                      <c:pt idx="4250">
                        <c:v>0.49363448015713002</c:v>
                      </c:pt>
                      <c:pt idx="4251">
                        <c:v>0.49363448015713002</c:v>
                      </c:pt>
                      <c:pt idx="4252">
                        <c:v>0.49363448015713002</c:v>
                      </c:pt>
                      <c:pt idx="4253">
                        <c:v>0.49363448015713002</c:v>
                      </c:pt>
                      <c:pt idx="4254">
                        <c:v>0.49363448015713002</c:v>
                      </c:pt>
                      <c:pt idx="4255">
                        <c:v>0.49363448015713002</c:v>
                      </c:pt>
                      <c:pt idx="4256">
                        <c:v>0.49363448015713002</c:v>
                      </c:pt>
                      <c:pt idx="4257">
                        <c:v>0.49363448015713002</c:v>
                      </c:pt>
                      <c:pt idx="4258">
                        <c:v>0.49363448015713002</c:v>
                      </c:pt>
                      <c:pt idx="4259">
                        <c:v>0.49363448015713002</c:v>
                      </c:pt>
                      <c:pt idx="4260">
                        <c:v>0.49363448015713002</c:v>
                      </c:pt>
                      <c:pt idx="4261">
                        <c:v>0.49363448015713002</c:v>
                      </c:pt>
                      <c:pt idx="4263">
                        <c:v>0.50229473419497439</c:v>
                      </c:pt>
                      <c:pt idx="4264">
                        <c:v>0.50229473419497439</c:v>
                      </c:pt>
                      <c:pt idx="4265">
                        <c:v>0.50229473419497439</c:v>
                      </c:pt>
                      <c:pt idx="4266">
                        <c:v>0.50229473419497439</c:v>
                      </c:pt>
                      <c:pt idx="4267">
                        <c:v>0.50229473419497439</c:v>
                      </c:pt>
                      <c:pt idx="4268">
                        <c:v>0.50229473419497439</c:v>
                      </c:pt>
                      <c:pt idx="4269">
                        <c:v>0.50229473419497439</c:v>
                      </c:pt>
                      <c:pt idx="4270">
                        <c:v>0.50229473419497439</c:v>
                      </c:pt>
                      <c:pt idx="4271">
                        <c:v>0.50229473419497439</c:v>
                      </c:pt>
                      <c:pt idx="4272">
                        <c:v>0.50229473419497439</c:v>
                      </c:pt>
                      <c:pt idx="4273">
                        <c:v>0.50229473419497439</c:v>
                      </c:pt>
                      <c:pt idx="4274">
                        <c:v>0.50229473419497439</c:v>
                      </c:pt>
                      <c:pt idx="4275">
                        <c:v>0.50229473419497439</c:v>
                      </c:pt>
                      <c:pt idx="4276">
                        <c:v>0.50229473419497439</c:v>
                      </c:pt>
                      <c:pt idx="4277">
                        <c:v>0.50229473419497439</c:v>
                      </c:pt>
                      <c:pt idx="4278">
                        <c:v>0.50229473419497439</c:v>
                      </c:pt>
                      <c:pt idx="4279">
                        <c:v>0.50229473419497439</c:v>
                      </c:pt>
                      <c:pt idx="4280">
                        <c:v>0.50229473419497439</c:v>
                      </c:pt>
                      <c:pt idx="4281">
                        <c:v>0.50229473419497439</c:v>
                      </c:pt>
                      <c:pt idx="4282">
                        <c:v>0.50229473419497439</c:v>
                      </c:pt>
                      <c:pt idx="4283">
                        <c:v>0.50229473419497439</c:v>
                      </c:pt>
                      <c:pt idx="4284">
                        <c:v>0.50229473419497439</c:v>
                      </c:pt>
                      <c:pt idx="4285">
                        <c:v>0.50229473419497439</c:v>
                      </c:pt>
                      <c:pt idx="4286">
                        <c:v>0.50229473419497439</c:v>
                      </c:pt>
                      <c:pt idx="4287">
                        <c:v>0.50229473419497439</c:v>
                      </c:pt>
                      <c:pt idx="4288">
                        <c:v>0.50229473419497439</c:v>
                      </c:pt>
                      <c:pt idx="4289">
                        <c:v>0.50229473419497439</c:v>
                      </c:pt>
                      <c:pt idx="4290">
                        <c:v>0.50229473419497439</c:v>
                      </c:pt>
                      <c:pt idx="4291">
                        <c:v>0.50229473419497439</c:v>
                      </c:pt>
                      <c:pt idx="4292">
                        <c:v>0.50229473419497439</c:v>
                      </c:pt>
                      <c:pt idx="4293">
                        <c:v>0.50229473419497439</c:v>
                      </c:pt>
                      <c:pt idx="4294">
                        <c:v>0.50229473419497439</c:v>
                      </c:pt>
                      <c:pt idx="4295">
                        <c:v>0.50229473419497439</c:v>
                      </c:pt>
                      <c:pt idx="4296">
                        <c:v>0.50229473419497439</c:v>
                      </c:pt>
                      <c:pt idx="4297">
                        <c:v>0.50229473419497439</c:v>
                      </c:pt>
                      <c:pt idx="4298">
                        <c:v>0.50229473419497439</c:v>
                      </c:pt>
                      <c:pt idx="4299">
                        <c:v>0.50229473419497439</c:v>
                      </c:pt>
                      <c:pt idx="4300">
                        <c:v>0.50229473419497439</c:v>
                      </c:pt>
                      <c:pt idx="4301">
                        <c:v>0.50229473419497439</c:v>
                      </c:pt>
                      <c:pt idx="4302">
                        <c:v>0.50229473419497439</c:v>
                      </c:pt>
                      <c:pt idx="4303">
                        <c:v>0.50229473419497439</c:v>
                      </c:pt>
                      <c:pt idx="4304">
                        <c:v>0.50229473419497439</c:v>
                      </c:pt>
                      <c:pt idx="4305">
                        <c:v>0.50229473419497439</c:v>
                      </c:pt>
                      <c:pt idx="4307">
                        <c:v>0.51095498823281871</c:v>
                      </c:pt>
                      <c:pt idx="4308">
                        <c:v>0.51095498823281871</c:v>
                      </c:pt>
                      <c:pt idx="4309">
                        <c:v>0.51095498823281871</c:v>
                      </c:pt>
                      <c:pt idx="4310">
                        <c:v>0.51095498823281871</c:v>
                      </c:pt>
                      <c:pt idx="4311">
                        <c:v>0.51095498823281871</c:v>
                      </c:pt>
                      <c:pt idx="4312">
                        <c:v>0.51095498823281871</c:v>
                      </c:pt>
                      <c:pt idx="4313">
                        <c:v>0.51095498823281871</c:v>
                      </c:pt>
                      <c:pt idx="4314">
                        <c:v>0.51095498823281871</c:v>
                      </c:pt>
                      <c:pt idx="4315">
                        <c:v>0.51095498823281871</c:v>
                      </c:pt>
                      <c:pt idx="4316">
                        <c:v>0.51095498823281871</c:v>
                      </c:pt>
                      <c:pt idx="4317">
                        <c:v>0.51095498823281871</c:v>
                      </c:pt>
                      <c:pt idx="4318">
                        <c:v>0.51095498823281871</c:v>
                      </c:pt>
                      <c:pt idx="4319">
                        <c:v>0.51095498823281871</c:v>
                      </c:pt>
                      <c:pt idx="4320">
                        <c:v>0.51095498823281871</c:v>
                      </c:pt>
                      <c:pt idx="4321">
                        <c:v>0.51095498823281871</c:v>
                      </c:pt>
                      <c:pt idx="4322">
                        <c:v>0.51095498823281871</c:v>
                      </c:pt>
                      <c:pt idx="4323">
                        <c:v>0.51095498823281871</c:v>
                      </c:pt>
                      <c:pt idx="4324">
                        <c:v>0.51095498823281871</c:v>
                      </c:pt>
                      <c:pt idx="4325">
                        <c:v>0.51095498823281871</c:v>
                      </c:pt>
                      <c:pt idx="4326">
                        <c:v>0.51095498823281871</c:v>
                      </c:pt>
                      <c:pt idx="4327">
                        <c:v>0.51095498823281871</c:v>
                      </c:pt>
                      <c:pt idx="4328">
                        <c:v>0.51095498823281871</c:v>
                      </c:pt>
                      <c:pt idx="4329">
                        <c:v>0.51095498823281871</c:v>
                      </c:pt>
                      <c:pt idx="4330">
                        <c:v>0.51095498823281871</c:v>
                      </c:pt>
                      <c:pt idx="4331">
                        <c:v>0.51095498823281871</c:v>
                      </c:pt>
                      <c:pt idx="4332">
                        <c:v>0.51095498823281871</c:v>
                      </c:pt>
                      <c:pt idx="4333">
                        <c:v>0.51095498823281871</c:v>
                      </c:pt>
                      <c:pt idx="4334">
                        <c:v>0.51095498823281871</c:v>
                      </c:pt>
                      <c:pt idx="4335">
                        <c:v>0.51095498823281871</c:v>
                      </c:pt>
                      <c:pt idx="4336">
                        <c:v>0.51095498823281871</c:v>
                      </c:pt>
                      <c:pt idx="4337">
                        <c:v>0.51095498823281871</c:v>
                      </c:pt>
                      <c:pt idx="4338">
                        <c:v>0.51095498823281871</c:v>
                      </c:pt>
                      <c:pt idx="4339">
                        <c:v>0.51095498823281871</c:v>
                      </c:pt>
                      <c:pt idx="4340">
                        <c:v>0.51095498823281871</c:v>
                      </c:pt>
                      <c:pt idx="4341">
                        <c:v>0.51095498823281871</c:v>
                      </c:pt>
                      <c:pt idx="4342">
                        <c:v>0.51095498823281871</c:v>
                      </c:pt>
                      <c:pt idx="4343">
                        <c:v>0.51095498823281871</c:v>
                      </c:pt>
                      <c:pt idx="4344">
                        <c:v>0.51095498823281871</c:v>
                      </c:pt>
                      <c:pt idx="4345">
                        <c:v>0.51095498823281871</c:v>
                      </c:pt>
                      <c:pt idx="4346">
                        <c:v>0.51095498823281871</c:v>
                      </c:pt>
                      <c:pt idx="4347">
                        <c:v>0.51095498823281871</c:v>
                      </c:pt>
                      <c:pt idx="4348">
                        <c:v>0.51095498823281871</c:v>
                      </c:pt>
                      <c:pt idx="4350">
                        <c:v>0.51961524227066325</c:v>
                      </c:pt>
                      <c:pt idx="4351">
                        <c:v>0.51961524227066325</c:v>
                      </c:pt>
                      <c:pt idx="4352">
                        <c:v>0.51961524227066325</c:v>
                      </c:pt>
                      <c:pt idx="4353">
                        <c:v>0.51961524227066325</c:v>
                      </c:pt>
                      <c:pt idx="4354">
                        <c:v>0.51961524227066325</c:v>
                      </c:pt>
                      <c:pt idx="4355">
                        <c:v>0.51961524227066325</c:v>
                      </c:pt>
                      <c:pt idx="4356">
                        <c:v>0.51961524227066325</c:v>
                      </c:pt>
                      <c:pt idx="4357">
                        <c:v>0.51961524227066325</c:v>
                      </c:pt>
                      <c:pt idx="4358">
                        <c:v>0.51961524227066325</c:v>
                      </c:pt>
                      <c:pt idx="4359">
                        <c:v>0.51961524227066325</c:v>
                      </c:pt>
                      <c:pt idx="4360">
                        <c:v>0.51961524227066325</c:v>
                      </c:pt>
                      <c:pt idx="4361">
                        <c:v>0.51961524227066325</c:v>
                      </c:pt>
                      <c:pt idx="4362">
                        <c:v>0.51961524227066325</c:v>
                      </c:pt>
                      <c:pt idx="4363">
                        <c:v>0.51961524227066325</c:v>
                      </c:pt>
                      <c:pt idx="4364">
                        <c:v>0.51961524227066325</c:v>
                      </c:pt>
                      <c:pt idx="4365">
                        <c:v>0.51961524227066325</c:v>
                      </c:pt>
                      <c:pt idx="4366">
                        <c:v>0.51961524227066325</c:v>
                      </c:pt>
                      <c:pt idx="4367">
                        <c:v>0.51961524227066325</c:v>
                      </c:pt>
                      <c:pt idx="4368">
                        <c:v>0.51961524227066325</c:v>
                      </c:pt>
                      <c:pt idx="4369">
                        <c:v>0.51961524227066325</c:v>
                      </c:pt>
                      <c:pt idx="4370">
                        <c:v>0.51961524227066325</c:v>
                      </c:pt>
                      <c:pt idx="4371">
                        <c:v>0.51961524227066325</c:v>
                      </c:pt>
                      <c:pt idx="4372">
                        <c:v>0.51961524227066325</c:v>
                      </c:pt>
                      <c:pt idx="4373">
                        <c:v>0.51961524227066325</c:v>
                      </c:pt>
                      <c:pt idx="4374">
                        <c:v>0.51961524227066325</c:v>
                      </c:pt>
                      <c:pt idx="4375">
                        <c:v>0.51961524227066325</c:v>
                      </c:pt>
                      <c:pt idx="4376">
                        <c:v>0.51961524227066325</c:v>
                      </c:pt>
                      <c:pt idx="4377">
                        <c:v>0.51961524227066325</c:v>
                      </c:pt>
                      <c:pt idx="4378">
                        <c:v>0.51961524227066325</c:v>
                      </c:pt>
                      <c:pt idx="4379">
                        <c:v>0.51961524227066325</c:v>
                      </c:pt>
                      <c:pt idx="4380">
                        <c:v>0.51961524227066325</c:v>
                      </c:pt>
                      <c:pt idx="4381">
                        <c:v>0.51961524227066325</c:v>
                      </c:pt>
                      <c:pt idx="4382">
                        <c:v>0.51961524227066325</c:v>
                      </c:pt>
                      <c:pt idx="4383">
                        <c:v>0.51961524227066325</c:v>
                      </c:pt>
                      <c:pt idx="4384">
                        <c:v>0.51961524227066325</c:v>
                      </c:pt>
                      <c:pt idx="4385">
                        <c:v>0.51961524227066325</c:v>
                      </c:pt>
                      <c:pt idx="4386">
                        <c:v>0.51961524227066325</c:v>
                      </c:pt>
                      <c:pt idx="4387">
                        <c:v>0.51961524227066325</c:v>
                      </c:pt>
                      <c:pt idx="4388">
                        <c:v>0.51961524227066325</c:v>
                      </c:pt>
                      <c:pt idx="4389">
                        <c:v>0.51961524227066325</c:v>
                      </c:pt>
                      <c:pt idx="4390">
                        <c:v>0.51961524227066325</c:v>
                      </c:pt>
                      <c:pt idx="4392">
                        <c:v>0.52827549630850756</c:v>
                      </c:pt>
                      <c:pt idx="4393">
                        <c:v>0.52827549630850756</c:v>
                      </c:pt>
                      <c:pt idx="4394">
                        <c:v>0.52827549630850756</c:v>
                      </c:pt>
                      <c:pt idx="4395">
                        <c:v>0.52827549630850756</c:v>
                      </c:pt>
                      <c:pt idx="4396">
                        <c:v>0.52827549630850756</c:v>
                      </c:pt>
                      <c:pt idx="4397">
                        <c:v>0.52827549630850756</c:v>
                      </c:pt>
                      <c:pt idx="4398">
                        <c:v>0.52827549630850756</c:v>
                      </c:pt>
                      <c:pt idx="4399">
                        <c:v>0.52827549630850756</c:v>
                      </c:pt>
                      <c:pt idx="4400">
                        <c:v>0.52827549630850756</c:v>
                      </c:pt>
                      <c:pt idx="4401">
                        <c:v>0.52827549630850756</c:v>
                      </c:pt>
                      <c:pt idx="4402">
                        <c:v>0.52827549630850756</c:v>
                      </c:pt>
                      <c:pt idx="4403">
                        <c:v>0.52827549630850756</c:v>
                      </c:pt>
                      <c:pt idx="4404">
                        <c:v>0.52827549630850756</c:v>
                      </c:pt>
                      <c:pt idx="4405">
                        <c:v>0.52827549630850756</c:v>
                      </c:pt>
                      <c:pt idx="4406">
                        <c:v>0.52827549630850756</c:v>
                      </c:pt>
                      <c:pt idx="4407">
                        <c:v>0.52827549630850756</c:v>
                      </c:pt>
                      <c:pt idx="4408">
                        <c:v>0.52827549630850756</c:v>
                      </c:pt>
                      <c:pt idx="4409">
                        <c:v>0.52827549630850756</c:v>
                      </c:pt>
                      <c:pt idx="4410">
                        <c:v>0.52827549630850756</c:v>
                      </c:pt>
                      <c:pt idx="4411">
                        <c:v>0.52827549630850756</c:v>
                      </c:pt>
                      <c:pt idx="4412">
                        <c:v>0.52827549630850756</c:v>
                      </c:pt>
                      <c:pt idx="4413">
                        <c:v>0.52827549630850756</c:v>
                      </c:pt>
                      <c:pt idx="4414">
                        <c:v>0.52827549630850756</c:v>
                      </c:pt>
                      <c:pt idx="4415">
                        <c:v>0.52827549630850756</c:v>
                      </c:pt>
                      <c:pt idx="4416">
                        <c:v>0.52827549630850756</c:v>
                      </c:pt>
                      <c:pt idx="4417">
                        <c:v>0.52827549630850756</c:v>
                      </c:pt>
                      <c:pt idx="4418">
                        <c:v>0.52827549630850756</c:v>
                      </c:pt>
                      <c:pt idx="4419">
                        <c:v>0.52827549630850756</c:v>
                      </c:pt>
                      <c:pt idx="4420">
                        <c:v>0.52827549630850756</c:v>
                      </c:pt>
                      <c:pt idx="4421">
                        <c:v>0.52827549630850756</c:v>
                      </c:pt>
                      <c:pt idx="4422">
                        <c:v>0.52827549630850756</c:v>
                      </c:pt>
                      <c:pt idx="4423">
                        <c:v>0.52827549630850756</c:v>
                      </c:pt>
                      <c:pt idx="4424">
                        <c:v>0.52827549630850756</c:v>
                      </c:pt>
                      <c:pt idx="4425">
                        <c:v>0.52827549630850756</c:v>
                      </c:pt>
                      <c:pt idx="4426">
                        <c:v>0.52827549630850756</c:v>
                      </c:pt>
                      <c:pt idx="4427">
                        <c:v>0.52827549630850756</c:v>
                      </c:pt>
                      <c:pt idx="4428">
                        <c:v>0.52827549630850756</c:v>
                      </c:pt>
                      <c:pt idx="4429">
                        <c:v>0.52827549630850756</c:v>
                      </c:pt>
                      <c:pt idx="4430">
                        <c:v>0.52827549630850756</c:v>
                      </c:pt>
                      <c:pt idx="4431">
                        <c:v>0.52827549630850756</c:v>
                      </c:pt>
                      <c:pt idx="4433">
                        <c:v>0.53693575034635199</c:v>
                      </c:pt>
                      <c:pt idx="4434">
                        <c:v>0.53693575034635199</c:v>
                      </c:pt>
                      <c:pt idx="4435">
                        <c:v>0.53693575034635199</c:v>
                      </c:pt>
                      <c:pt idx="4436">
                        <c:v>0.53693575034635199</c:v>
                      </c:pt>
                      <c:pt idx="4437">
                        <c:v>0.53693575034635199</c:v>
                      </c:pt>
                      <c:pt idx="4438">
                        <c:v>0.53693575034635199</c:v>
                      </c:pt>
                      <c:pt idx="4439">
                        <c:v>0.53693575034635199</c:v>
                      </c:pt>
                      <c:pt idx="4440">
                        <c:v>0.53693575034635199</c:v>
                      </c:pt>
                      <c:pt idx="4441">
                        <c:v>0.53693575034635199</c:v>
                      </c:pt>
                      <c:pt idx="4442">
                        <c:v>0.53693575034635199</c:v>
                      </c:pt>
                      <c:pt idx="4443">
                        <c:v>0.53693575034635199</c:v>
                      </c:pt>
                      <c:pt idx="4444">
                        <c:v>0.53693575034635199</c:v>
                      </c:pt>
                      <c:pt idx="4445">
                        <c:v>0.53693575034635199</c:v>
                      </c:pt>
                      <c:pt idx="4446">
                        <c:v>0.53693575034635199</c:v>
                      </c:pt>
                      <c:pt idx="4447">
                        <c:v>0.53693575034635199</c:v>
                      </c:pt>
                      <c:pt idx="4448">
                        <c:v>0.53693575034635199</c:v>
                      </c:pt>
                      <c:pt idx="4449">
                        <c:v>0.53693575034635199</c:v>
                      </c:pt>
                      <c:pt idx="4450">
                        <c:v>0.53693575034635199</c:v>
                      </c:pt>
                      <c:pt idx="4451">
                        <c:v>0.53693575034635199</c:v>
                      </c:pt>
                      <c:pt idx="4452">
                        <c:v>0.53693575034635199</c:v>
                      </c:pt>
                      <c:pt idx="4453">
                        <c:v>0.53693575034635199</c:v>
                      </c:pt>
                      <c:pt idx="4454">
                        <c:v>0.53693575034635199</c:v>
                      </c:pt>
                      <c:pt idx="4455">
                        <c:v>0.53693575034635199</c:v>
                      </c:pt>
                      <c:pt idx="4456">
                        <c:v>0.53693575034635199</c:v>
                      </c:pt>
                      <c:pt idx="4457">
                        <c:v>0.53693575034635199</c:v>
                      </c:pt>
                      <c:pt idx="4458">
                        <c:v>0.53693575034635199</c:v>
                      </c:pt>
                      <c:pt idx="4459">
                        <c:v>0.53693575034635199</c:v>
                      </c:pt>
                      <c:pt idx="4460">
                        <c:v>0.53693575034635199</c:v>
                      </c:pt>
                      <c:pt idx="4461">
                        <c:v>0.53693575034635199</c:v>
                      </c:pt>
                      <c:pt idx="4462">
                        <c:v>0.53693575034635199</c:v>
                      </c:pt>
                      <c:pt idx="4463">
                        <c:v>0.53693575034635199</c:v>
                      </c:pt>
                      <c:pt idx="4464">
                        <c:v>0.53693575034635199</c:v>
                      </c:pt>
                      <c:pt idx="4465">
                        <c:v>0.53693575034635199</c:v>
                      </c:pt>
                      <c:pt idx="4466">
                        <c:v>0.53693575034635199</c:v>
                      </c:pt>
                      <c:pt idx="4467">
                        <c:v>0.53693575034635199</c:v>
                      </c:pt>
                      <c:pt idx="4468">
                        <c:v>0.53693575034635199</c:v>
                      </c:pt>
                      <c:pt idx="4469">
                        <c:v>0.53693575034635199</c:v>
                      </c:pt>
                      <c:pt idx="4470">
                        <c:v>0.53693575034635199</c:v>
                      </c:pt>
                      <c:pt idx="4471">
                        <c:v>0.53693575034635199</c:v>
                      </c:pt>
                      <c:pt idx="4473">
                        <c:v>0.54559600438419642</c:v>
                      </c:pt>
                      <c:pt idx="4474">
                        <c:v>0.54559600438419642</c:v>
                      </c:pt>
                      <c:pt idx="4475">
                        <c:v>0.54559600438419642</c:v>
                      </c:pt>
                      <c:pt idx="4476">
                        <c:v>0.54559600438419642</c:v>
                      </c:pt>
                      <c:pt idx="4477">
                        <c:v>0.54559600438419642</c:v>
                      </c:pt>
                      <c:pt idx="4478">
                        <c:v>0.54559600438419642</c:v>
                      </c:pt>
                      <c:pt idx="4479">
                        <c:v>0.54559600438419642</c:v>
                      </c:pt>
                      <c:pt idx="4480">
                        <c:v>0.54559600438419642</c:v>
                      </c:pt>
                      <c:pt idx="4481">
                        <c:v>0.54559600438419642</c:v>
                      </c:pt>
                      <c:pt idx="4482">
                        <c:v>0.54559600438419642</c:v>
                      </c:pt>
                      <c:pt idx="4483">
                        <c:v>0.54559600438419642</c:v>
                      </c:pt>
                      <c:pt idx="4484">
                        <c:v>0.54559600438419642</c:v>
                      </c:pt>
                      <c:pt idx="4485">
                        <c:v>0.54559600438419642</c:v>
                      </c:pt>
                      <c:pt idx="4486">
                        <c:v>0.54559600438419642</c:v>
                      </c:pt>
                      <c:pt idx="4487">
                        <c:v>0.54559600438419642</c:v>
                      </c:pt>
                      <c:pt idx="4488">
                        <c:v>0.54559600438419642</c:v>
                      </c:pt>
                      <c:pt idx="4489">
                        <c:v>0.54559600438419642</c:v>
                      </c:pt>
                      <c:pt idx="4490">
                        <c:v>0.54559600438419642</c:v>
                      </c:pt>
                      <c:pt idx="4491">
                        <c:v>0.54559600438419642</c:v>
                      </c:pt>
                      <c:pt idx="4492">
                        <c:v>0.54559600438419642</c:v>
                      </c:pt>
                      <c:pt idx="4493">
                        <c:v>0.54559600438419642</c:v>
                      </c:pt>
                      <c:pt idx="4494">
                        <c:v>0.54559600438419642</c:v>
                      </c:pt>
                      <c:pt idx="4495">
                        <c:v>0.54559600438419642</c:v>
                      </c:pt>
                      <c:pt idx="4496">
                        <c:v>0.54559600438419642</c:v>
                      </c:pt>
                      <c:pt idx="4497">
                        <c:v>0.54559600438419642</c:v>
                      </c:pt>
                      <c:pt idx="4498">
                        <c:v>0.54559600438419642</c:v>
                      </c:pt>
                      <c:pt idx="4499">
                        <c:v>0.54559600438419642</c:v>
                      </c:pt>
                      <c:pt idx="4500">
                        <c:v>0.54559600438419642</c:v>
                      </c:pt>
                      <c:pt idx="4501">
                        <c:v>0.54559600438419642</c:v>
                      </c:pt>
                      <c:pt idx="4502">
                        <c:v>0.54559600438419642</c:v>
                      </c:pt>
                      <c:pt idx="4503">
                        <c:v>0.54559600438419642</c:v>
                      </c:pt>
                      <c:pt idx="4504">
                        <c:v>0.54559600438419642</c:v>
                      </c:pt>
                      <c:pt idx="4505">
                        <c:v>0.54559600438419642</c:v>
                      </c:pt>
                      <c:pt idx="4506">
                        <c:v>0.54559600438419642</c:v>
                      </c:pt>
                      <c:pt idx="4507">
                        <c:v>0.54559600438419642</c:v>
                      </c:pt>
                      <c:pt idx="4508">
                        <c:v>0.54559600438419642</c:v>
                      </c:pt>
                      <c:pt idx="4509">
                        <c:v>0.54559600438419642</c:v>
                      </c:pt>
                      <c:pt idx="4510">
                        <c:v>0.54559600438419642</c:v>
                      </c:pt>
                      <c:pt idx="4512">
                        <c:v>0.55425625842204074</c:v>
                      </c:pt>
                      <c:pt idx="4513">
                        <c:v>0.55425625842204074</c:v>
                      </c:pt>
                      <c:pt idx="4514">
                        <c:v>0.55425625842204074</c:v>
                      </c:pt>
                      <c:pt idx="4515">
                        <c:v>0.55425625842204074</c:v>
                      </c:pt>
                      <c:pt idx="4516">
                        <c:v>0.55425625842204074</c:v>
                      </c:pt>
                      <c:pt idx="4517">
                        <c:v>0.55425625842204074</c:v>
                      </c:pt>
                      <c:pt idx="4518">
                        <c:v>0.55425625842204074</c:v>
                      </c:pt>
                      <c:pt idx="4519">
                        <c:v>0.55425625842204074</c:v>
                      </c:pt>
                      <c:pt idx="4520">
                        <c:v>0.55425625842204074</c:v>
                      </c:pt>
                      <c:pt idx="4521">
                        <c:v>0.55425625842204074</c:v>
                      </c:pt>
                      <c:pt idx="4522">
                        <c:v>0.55425625842204074</c:v>
                      </c:pt>
                      <c:pt idx="4523">
                        <c:v>0.55425625842204074</c:v>
                      </c:pt>
                      <c:pt idx="4524">
                        <c:v>0.55425625842204074</c:v>
                      </c:pt>
                      <c:pt idx="4525">
                        <c:v>0.55425625842204074</c:v>
                      </c:pt>
                      <c:pt idx="4526">
                        <c:v>0.55425625842204074</c:v>
                      </c:pt>
                      <c:pt idx="4527">
                        <c:v>0.55425625842204074</c:v>
                      </c:pt>
                      <c:pt idx="4528">
                        <c:v>0.55425625842204074</c:v>
                      </c:pt>
                      <c:pt idx="4529">
                        <c:v>0.55425625842204074</c:v>
                      </c:pt>
                      <c:pt idx="4530">
                        <c:v>0.55425625842204074</c:v>
                      </c:pt>
                      <c:pt idx="4531">
                        <c:v>0.55425625842204074</c:v>
                      </c:pt>
                      <c:pt idx="4532">
                        <c:v>0.55425625842204074</c:v>
                      </c:pt>
                      <c:pt idx="4533">
                        <c:v>0.55425625842204074</c:v>
                      </c:pt>
                      <c:pt idx="4534">
                        <c:v>0.55425625842204074</c:v>
                      </c:pt>
                      <c:pt idx="4535">
                        <c:v>0.55425625842204074</c:v>
                      </c:pt>
                      <c:pt idx="4536">
                        <c:v>0.55425625842204074</c:v>
                      </c:pt>
                      <c:pt idx="4537">
                        <c:v>0.55425625842204074</c:v>
                      </c:pt>
                      <c:pt idx="4538">
                        <c:v>0.55425625842204074</c:v>
                      </c:pt>
                      <c:pt idx="4539">
                        <c:v>0.55425625842204074</c:v>
                      </c:pt>
                      <c:pt idx="4540">
                        <c:v>0.55425625842204074</c:v>
                      </c:pt>
                      <c:pt idx="4541">
                        <c:v>0.55425625842204074</c:v>
                      </c:pt>
                      <c:pt idx="4542">
                        <c:v>0.55425625842204074</c:v>
                      </c:pt>
                      <c:pt idx="4543">
                        <c:v>0.55425625842204074</c:v>
                      </c:pt>
                      <c:pt idx="4544">
                        <c:v>0.55425625842204074</c:v>
                      </c:pt>
                      <c:pt idx="4545">
                        <c:v>0.55425625842204074</c:v>
                      </c:pt>
                      <c:pt idx="4546">
                        <c:v>0.55425625842204074</c:v>
                      </c:pt>
                      <c:pt idx="4547">
                        <c:v>0.55425625842204074</c:v>
                      </c:pt>
                      <c:pt idx="4548">
                        <c:v>0.55425625842204074</c:v>
                      </c:pt>
                      <c:pt idx="4550">
                        <c:v>0.56291651245988517</c:v>
                      </c:pt>
                      <c:pt idx="4551">
                        <c:v>0.56291651245988517</c:v>
                      </c:pt>
                      <c:pt idx="4552">
                        <c:v>0.56291651245988517</c:v>
                      </c:pt>
                      <c:pt idx="4553">
                        <c:v>0.56291651245988517</c:v>
                      </c:pt>
                      <c:pt idx="4554">
                        <c:v>0.56291651245988517</c:v>
                      </c:pt>
                      <c:pt idx="4555">
                        <c:v>0.56291651245988517</c:v>
                      </c:pt>
                      <c:pt idx="4556">
                        <c:v>0.56291651245988517</c:v>
                      </c:pt>
                      <c:pt idx="4557">
                        <c:v>0.56291651245988517</c:v>
                      </c:pt>
                      <c:pt idx="4558">
                        <c:v>0.56291651245988517</c:v>
                      </c:pt>
                      <c:pt idx="4559">
                        <c:v>0.56291651245988517</c:v>
                      </c:pt>
                      <c:pt idx="4560">
                        <c:v>0.56291651245988517</c:v>
                      </c:pt>
                      <c:pt idx="4561">
                        <c:v>0.56291651245988517</c:v>
                      </c:pt>
                      <c:pt idx="4562">
                        <c:v>0.56291651245988517</c:v>
                      </c:pt>
                      <c:pt idx="4563">
                        <c:v>0.56291651245988517</c:v>
                      </c:pt>
                      <c:pt idx="4564">
                        <c:v>0.56291651245988517</c:v>
                      </c:pt>
                      <c:pt idx="4565">
                        <c:v>0.56291651245988517</c:v>
                      </c:pt>
                      <c:pt idx="4566">
                        <c:v>0.56291651245988517</c:v>
                      </c:pt>
                      <c:pt idx="4567">
                        <c:v>0.56291651245988517</c:v>
                      </c:pt>
                      <c:pt idx="4568">
                        <c:v>0.56291651245988517</c:v>
                      </c:pt>
                      <c:pt idx="4569">
                        <c:v>0.56291651245988517</c:v>
                      </c:pt>
                      <c:pt idx="4570">
                        <c:v>0.56291651245988517</c:v>
                      </c:pt>
                      <c:pt idx="4571">
                        <c:v>0.56291651245988517</c:v>
                      </c:pt>
                      <c:pt idx="4572">
                        <c:v>0.56291651245988517</c:v>
                      </c:pt>
                      <c:pt idx="4573">
                        <c:v>0.56291651245988517</c:v>
                      </c:pt>
                      <c:pt idx="4574">
                        <c:v>0.56291651245988517</c:v>
                      </c:pt>
                      <c:pt idx="4575">
                        <c:v>0.56291651245988517</c:v>
                      </c:pt>
                      <c:pt idx="4576">
                        <c:v>0.56291651245988517</c:v>
                      </c:pt>
                      <c:pt idx="4577">
                        <c:v>0.56291651245988517</c:v>
                      </c:pt>
                      <c:pt idx="4578">
                        <c:v>0.56291651245988517</c:v>
                      </c:pt>
                      <c:pt idx="4579">
                        <c:v>0.56291651245988517</c:v>
                      </c:pt>
                      <c:pt idx="4580">
                        <c:v>0.56291651245988517</c:v>
                      </c:pt>
                      <c:pt idx="4581">
                        <c:v>0.56291651245988517</c:v>
                      </c:pt>
                      <c:pt idx="4582">
                        <c:v>0.56291651245988517</c:v>
                      </c:pt>
                      <c:pt idx="4583">
                        <c:v>0.56291651245988517</c:v>
                      </c:pt>
                      <c:pt idx="4584">
                        <c:v>0.56291651245988517</c:v>
                      </c:pt>
                      <c:pt idx="4585">
                        <c:v>0.56291651245988517</c:v>
                      </c:pt>
                      <c:pt idx="4587">
                        <c:v>0.57157676649772959</c:v>
                      </c:pt>
                      <c:pt idx="4588">
                        <c:v>0.57157676649772959</c:v>
                      </c:pt>
                      <c:pt idx="4589">
                        <c:v>0.57157676649772959</c:v>
                      </c:pt>
                      <c:pt idx="4590">
                        <c:v>0.57157676649772959</c:v>
                      </c:pt>
                      <c:pt idx="4591">
                        <c:v>0.57157676649772959</c:v>
                      </c:pt>
                      <c:pt idx="4592">
                        <c:v>0.57157676649772959</c:v>
                      </c:pt>
                      <c:pt idx="4593">
                        <c:v>0.57157676649772959</c:v>
                      </c:pt>
                      <c:pt idx="4594">
                        <c:v>0.57157676649772959</c:v>
                      </c:pt>
                      <c:pt idx="4595">
                        <c:v>0.57157676649772959</c:v>
                      </c:pt>
                      <c:pt idx="4596">
                        <c:v>0.57157676649772959</c:v>
                      </c:pt>
                      <c:pt idx="4597">
                        <c:v>0.57157676649772959</c:v>
                      </c:pt>
                      <c:pt idx="4598">
                        <c:v>0.57157676649772959</c:v>
                      </c:pt>
                      <c:pt idx="4599">
                        <c:v>0.57157676649772959</c:v>
                      </c:pt>
                      <c:pt idx="4600">
                        <c:v>0.57157676649772959</c:v>
                      </c:pt>
                      <c:pt idx="4601">
                        <c:v>0.57157676649772959</c:v>
                      </c:pt>
                      <c:pt idx="4602">
                        <c:v>0.57157676649772959</c:v>
                      </c:pt>
                      <c:pt idx="4603">
                        <c:v>0.57157676649772959</c:v>
                      </c:pt>
                      <c:pt idx="4604">
                        <c:v>0.57157676649772959</c:v>
                      </c:pt>
                      <c:pt idx="4605">
                        <c:v>0.57157676649772959</c:v>
                      </c:pt>
                      <c:pt idx="4606">
                        <c:v>0.57157676649772959</c:v>
                      </c:pt>
                      <c:pt idx="4607">
                        <c:v>0.57157676649772959</c:v>
                      </c:pt>
                      <c:pt idx="4608">
                        <c:v>0.57157676649772959</c:v>
                      </c:pt>
                      <c:pt idx="4609">
                        <c:v>0.57157676649772959</c:v>
                      </c:pt>
                      <c:pt idx="4610">
                        <c:v>0.57157676649772959</c:v>
                      </c:pt>
                      <c:pt idx="4611">
                        <c:v>0.57157676649772959</c:v>
                      </c:pt>
                      <c:pt idx="4612">
                        <c:v>0.57157676649772959</c:v>
                      </c:pt>
                      <c:pt idx="4613">
                        <c:v>0.57157676649772959</c:v>
                      </c:pt>
                      <c:pt idx="4614">
                        <c:v>0.57157676649772959</c:v>
                      </c:pt>
                      <c:pt idx="4615">
                        <c:v>0.57157676649772959</c:v>
                      </c:pt>
                      <c:pt idx="4616">
                        <c:v>0.57157676649772959</c:v>
                      </c:pt>
                      <c:pt idx="4617">
                        <c:v>0.57157676649772959</c:v>
                      </c:pt>
                      <c:pt idx="4618">
                        <c:v>0.57157676649772959</c:v>
                      </c:pt>
                      <c:pt idx="4619">
                        <c:v>0.57157676649772959</c:v>
                      </c:pt>
                      <c:pt idx="4620">
                        <c:v>0.57157676649772959</c:v>
                      </c:pt>
                      <c:pt idx="4621">
                        <c:v>0.57157676649772959</c:v>
                      </c:pt>
                      <c:pt idx="4623">
                        <c:v>0.58023702053557391</c:v>
                      </c:pt>
                      <c:pt idx="4624">
                        <c:v>0.58023702053557391</c:v>
                      </c:pt>
                      <c:pt idx="4625">
                        <c:v>0.58023702053557391</c:v>
                      </c:pt>
                      <c:pt idx="4626">
                        <c:v>0.58023702053557391</c:v>
                      </c:pt>
                      <c:pt idx="4627">
                        <c:v>0.58023702053557391</c:v>
                      </c:pt>
                      <c:pt idx="4628">
                        <c:v>0.58023702053557391</c:v>
                      </c:pt>
                      <c:pt idx="4629">
                        <c:v>0.58023702053557391</c:v>
                      </c:pt>
                      <c:pt idx="4630">
                        <c:v>0.58023702053557391</c:v>
                      </c:pt>
                      <c:pt idx="4631">
                        <c:v>0.58023702053557391</c:v>
                      </c:pt>
                      <c:pt idx="4632">
                        <c:v>0.58023702053557391</c:v>
                      </c:pt>
                      <c:pt idx="4633">
                        <c:v>0.58023702053557391</c:v>
                      </c:pt>
                      <c:pt idx="4634">
                        <c:v>0.58023702053557391</c:v>
                      </c:pt>
                      <c:pt idx="4635">
                        <c:v>0.58023702053557391</c:v>
                      </c:pt>
                      <c:pt idx="4636">
                        <c:v>0.58023702053557391</c:v>
                      </c:pt>
                      <c:pt idx="4637">
                        <c:v>0.58023702053557391</c:v>
                      </c:pt>
                      <c:pt idx="4638">
                        <c:v>0.58023702053557391</c:v>
                      </c:pt>
                      <c:pt idx="4639">
                        <c:v>0.58023702053557391</c:v>
                      </c:pt>
                      <c:pt idx="4640">
                        <c:v>0.58023702053557391</c:v>
                      </c:pt>
                      <c:pt idx="4641">
                        <c:v>0.58023702053557391</c:v>
                      </c:pt>
                      <c:pt idx="4642">
                        <c:v>0.58023702053557391</c:v>
                      </c:pt>
                      <c:pt idx="4643">
                        <c:v>0.58023702053557391</c:v>
                      </c:pt>
                      <c:pt idx="4644">
                        <c:v>0.58023702053557391</c:v>
                      </c:pt>
                      <c:pt idx="4645">
                        <c:v>0.58023702053557391</c:v>
                      </c:pt>
                      <c:pt idx="4646">
                        <c:v>0.58023702053557391</c:v>
                      </c:pt>
                      <c:pt idx="4647">
                        <c:v>0.58023702053557391</c:v>
                      </c:pt>
                      <c:pt idx="4648">
                        <c:v>0.58023702053557391</c:v>
                      </c:pt>
                      <c:pt idx="4649">
                        <c:v>0.58023702053557391</c:v>
                      </c:pt>
                      <c:pt idx="4650">
                        <c:v>0.58023702053557391</c:v>
                      </c:pt>
                      <c:pt idx="4651">
                        <c:v>0.58023702053557391</c:v>
                      </c:pt>
                      <c:pt idx="4652">
                        <c:v>0.58023702053557391</c:v>
                      </c:pt>
                      <c:pt idx="4653">
                        <c:v>0.58023702053557391</c:v>
                      </c:pt>
                      <c:pt idx="4654">
                        <c:v>0.58023702053557391</c:v>
                      </c:pt>
                      <c:pt idx="4655">
                        <c:v>0.58023702053557391</c:v>
                      </c:pt>
                      <c:pt idx="4656">
                        <c:v>0.58023702053557391</c:v>
                      </c:pt>
                      <c:pt idx="4658">
                        <c:v>0.58889727457341834</c:v>
                      </c:pt>
                      <c:pt idx="4659">
                        <c:v>0.58889727457341834</c:v>
                      </c:pt>
                      <c:pt idx="4660">
                        <c:v>0.58889727457341834</c:v>
                      </c:pt>
                      <c:pt idx="4661">
                        <c:v>0.58889727457341834</c:v>
                      </c:pt>
                      <c:pt idx="4662">
                        <c:v>0.58889727457341834</c:v>
                      </c:pt>
                      <c:pt idx="4663">
                        <c:v>0.58889727457341834</c:v>
                      </c:pt>
                      <c:pt idx="4664">
                        <c:v>0.58889727457341834</c:v>
                      </c:pt>
                      <c:pt idx="4665">
                        <c:v>0.58889727457341834</c:v>
                      </c:pt>
                      <c:pt idx="4666">
                        <c:v>0.58889727457341834</c:v>
                      </c:pt>
                      <c:pt idx="4667">
                        <c:v>0.58889727457341834</c:v>
                      </c:pt>
                      <c:pt idx="4668">
                        <c:v>0.58889727457341834</c:v>
                      </c:pt>
                      <c:pt idx="4669">
                        <c:v>0.58889727457341834</c:v>
                      </c:pt>
                      <c:pt idx="4670">
                        <c:v>0.58889727457341834</c:v>
                      </c:pt>
                      <c:pt idx="4671">
                        <c:v>0.58889727457341834</c:v>
                      </c:pt>
                      <c:pt idx="4672">
                        <c:v>0.58889727457341834</c:v>
                      </c:pt>
                      <c:pt idx="4673">
                        <c:v>0.58889727457341834</c:v>
                      </c:pt>
                      <c:pt idx="4674">
                        <c:v>0.58889727457341834</c:v>
                      </c:pt>
                      <c:pt idx="4675">
                        <c:v>0.58889727457341834</c:v>
                      </c:pt>
                      <c:pt idx="4676">
                        <c:v>0.58889727457341834</c:v>
                      </c:pt>
                      <c:pt idx="4677">
                        <c:v>0.58889727457341834</c:v>
                      </c:pt>
                      <c:pt idx="4678">
                        <c:v>0.58889727457341834</c:v>
                      </c:pt>
                      <c:pt idx="4679">
                        <c:v>0.58889727457341834</c:v>
                      </c:pt>
                      <c:pt idx="4680">
                        <c:v>0.58889727457341834</c:v>
                      </c:pt>
                      <c:pt idx="4681">
                        <c:v>0.58889727457341834</c:v>
                      </c:pt>
                      <c:pt idx="4682">
                        <c:v>0.58889727457341834</c:v>
                      </c:pt>
                      <c:pt idx="4683">
                        <c:v>0.58889727457341834</c:v>
                      </c:pt>
                      <c:pt idx="4684">
                        <c:v>0.58889727457341834</c:v>
                      </c:pt>
                      <c:pt idx="4685">
                        <c:v>0.58889727457341834</c:v>
                      </c:pt>
                      <c:pt idx="4686">
                        <c:v>0.58889727457341834</c:v>
                      </c:pt>
                      <c:pt idx="4687">
                        <c:v>0.58889727457341834</c:v>
                      </c:pt>
                      <c:pt idx="4688">
                        <c:v>0.58889727457341834</c:v>
                      </c:pt>
                      <c:pt idx="4689">
                        <c:v>0.58889727457341834</c:v>
                      </c:pt>
                      <c:pt idx="4690">
                        <c:v>0.58889727457341834</c:v>
                      </c:pt>
                      <c:pt idx="4692">
                        <c:v>0.59755752861126255</c:v>
                      </c:pt>
                      <c:pt idx="4693">
                        <c:v>0.59755752861126255</c:v>
                      </c:pt>
                      <c:pt idx="4694">
                        <c:v>0.59755752861126255</c:v>
                      </c:pt>
                      <c:pt idx="4695">
                        <c:v>0.59755752861126255</c:v>
                      </c:pt>
                      <c:pt idx="4696">
                        <c:v>0.59755752861126255</c:v>
                      </c:pt>
                      <c:pt idx="4697">
                        <c:v>0.59755752861126255</c:v>
                      </c:pt>
                      <c:pt idx="4698">
                        <c:v>0.59755752861126255</c:v>
                      </c:pt>
                      <c:pt idx="4699">
                        <c:v>0.59755752861126255</c:v>
                      </c:pt>
                      <c:pt idx="4700">
                        <c:v>0.59755752861126255</c:v>
                      </c:pt>
                      <c:pt idx="4701">
                        <c:v>0.59755752861126255</c:v>
                      </c:pt>
                      <c:pt idx="4702">
                        <c:v>0.59755752861126255</c:v>
                      </c:pt>
                      <c:pt idx="4703">
                        <c:v>0.59755752861126255</c:v>
                      </c:pt>
                      <c:pt idx="4704">
                        <c:v>0.59755752861126255</c:v>
                      </c:pt>
                      <c:pt idx="4705">
                        <c:v>0.59755752861126255</c:v>
                      </c:pt>
                      <c:pt idx="4706">
                        <c:v>0.59755752861126255</c:v>
                      </c:pt>
                      <c:pt idx="4707">
                        <c:v>0.59755752861126255</c:v>
                      </c:pt>
                      <c:pt idx="4708">
                        <c:v>0.59755752861126255</c:v>
                      </c:pt>
                      <c:pt idx="4709">
                        <c:v>0.59755752861126255</c:v>
                      </c:pt>
                      <c:pt idx="4710">
                        <c:v>0.59755752861126255</c:v>
                      </c:pt>
                      <c:pt idx="4711">
                        <c:v>0.59755752861126255</c:v>
                      </c:pt>
                      <c:pt idx="4712">
                        <c:v>0.59755752861126255</c:v>
                      </c:pt>
                      <c:pt idx="4713">
                        <c:v>0.59755752861126255</c:v>
                      </c:pt>
                      <c:pt idx="4714">
                        <c:v>0.59755752861126255</c:v>
                      </c:pt>
                      <c:pt idx="4715">
                        <c:v>0.59755752861126255</c:v>
                      </c:pt>
                      <c:pt idx="4716">
                        <c:v>0.59755752861126255</c:v>
                      </c:pt>
                      <c:pt idx="4717">
                        <c:v>0.59755752861126255</c:v>
                      </c:pt>
                      <c:pt idx="4718">
                        <c:v>0.59755752861126255</c:v>
                      </c:pt>
                      <c:pt idx="4719">
                        <c:v>0.59755752861126255</c:v>
                      </c:pt>
                      <c:pt idx="4720">
                        <c:v>0.59755752861126255</c:v>
                      </c:pt>
                      <c:pt idx="4721">
                        <c:v>0.59755752861126255</c:v>
                      </c:pt>
                      <c:pt idx="4722">
                        <c:v>0.59755752861126255</c:v>
                      </c:pt>
                      <c:pt idx="4723">
                        <c:v>0.59755752861126255</c:v>
                      </c:pt>
                      <c:pt idx="4725">
                        <c:v>0.60621778264910697</c:v>
                      </c:pt>
                      <c:pt idx="4726">
                        <c:v>0.60621778264910697</c:v>
                      </c:pt>
                      <c:pt idx="4727">
                        <c:v>0.60621778264910697</c:v>
                      </c:pt>
                      <c:pt idx="4728">
                        <c:v>0.60621778264910697</c:v>
                      </c:pt>
                      <c:pt idx="4729">
                        <c:v>0.60621778264910697</c:v>
                      </c:pt>
                      <c:pt idx="4730">
                        <c:v>0.60621778264910697</c:v>
                      </c:pt>
                      <c:pt idx="4731">
                        <c:v>0.60621778264910697</c:v>
                      </c:pt>
                      <c:pt idx="4732">
                        <c:v>0.60621778264910697</c:v>
                      </c:pt>
                      <c:pt idx="4733">
                        <c:v>0.60621778264910697</c:v>
                      </c:pt>
                      <c:pt idx="4734">
                        <c:v>0.60621778264910697</c:v>
                      </c:pt>
                      <c:pt idx="4735">
                        <c:v>0.60621778264910697</c:v>
                      </c:pt>
                      <c:pt idx="4736">
                        <c:v>0.60621778264910697</c:v>
                      </c:pt>
                      <c:pt idx="4737">
                        <c:v>0.60621778264910697</c:v>
                      </c:pt>
                      <c:pt idx="4738">
                        <c:v>0.60621778264910697</c:v>
                      </c:pt>
                      <c:pt idx="4739">
                        <c:v>0.60621778264910697</c:v>
                      </c:pt>
                      <c:pt idx="4740">
                        <c:v>0.60621778264910697</c:v>
                      </c:pt>
                      <c:pt idx="4741">
                        <c:v>0.60621778264910697</c:v>
                      </c:pt>
                      <c:pt idx="4742">
                        <c:v>0.60621778264910697</c:v>
                      </c:pt>
                      <c:pt idx="4743">
                        <c:v>0.60621778264910697</c:v>
                      </c:pt>
                      <c:pt idx="4744">
                        <c:v>0.60621778264910697</c:v>
                      </c:pt>
                      <c:pt idx="4745">
                        <c:v>0.60621778264910697</c:v>
                      </c:pt>
                      <c:pt idx="4746">
                        <c:v>0.60621778264910697</c:v>
                      </c:pt>
                      <c:pt idx="4747">
                        <c:v>0.60621778264910697</c:v>
                      </c:pt>
                      <c:pt idx="4748">
                        <c:v>0.60621778264910697</c:v>
                      </c:pt>
                      <c:pt idx="4749">
                        <c:v>0.60621778264910697</c:v>
                      </c:pt>
                      <c:pt idx="4750">
                        <c:v>0.60621778264910697</c:v>
                      </c:pt>
                      <c:pt idx="4751">
                        <c:v>0.60621778264910697</c:v>
                      </c:pt>
                      <c:pt idx="4752">
                        <c:v>0.60621778264910697</c:v>
                      </c:pt>
                      <c:pt idx="4753">
                        <c:v>0.60621778264910697</c:v>
                      </c:pt>
                      <c:pt idx="4754">
                        <c:v>0.60621778264910697</c:v>
                      </c:pt>
                      <c:pt idx="4755">
                        <c:v>0.60621778264910697</c:v>
                      </c:pt>
                      <c:pt idx="4757">
                        <c:v>0.6148780366869514</c:v>
                      </c:pt>
                      <c:pt idx="4758">
                        <c:v>0.6148780366869514</c:v>
                      </c:pt>
                      <c:pt idx="4759">
                        <c:v>0.6148780366869514</c:v>
                      </c:pt>
                      <c:pt idx="4760">
                        <c:v>0.6148780366869514</c:v>
                      </c:pt>
                      <c:pt idx="4761">
                        <c:v>0.6148780366869514</c:v>
                      </c:pt>
                      <c:pt idx="4762">
                        <c:v>0.6148780366869514</c:v>
                      </c:pt>
                      <c:pt idx="4763">
                        <c:v>0.6148780366869514</c:v>
                      </c:pt>
                      <c:pt idx="4764">
                        <c:v>0.6148780366869514</c:v>
                      </c:pt>
                      <c:pt idx="4765">
                        <c:v>0.6148780366869514</c:v>
                      </c:pt>
                      <c:pt idx="4766">
                        <c:v>0.6148780366869514</c:v>
                      </c:pt>
                      <c:pt idx="4767">
                        <c:v>0.6148780366869514</c:v>
                      </c:pt>
                      <c:pt idx="4768">
                        <c:v>0.6148780366869514</c:v>
                      </c:pt>
                      <c:pt idx="4769">
                        <c:v>0.6148780366869514</c:v>
                      </c:pt>
                      <c:pt idx="4770">
                        <c:v>0.6148780366869514</c:v>
                      </c:pt>
                      <c:pt idx="4771">
                        <c:v>0.6148780366869514</c:v>
                      </c:pt>
                      <c:pt idx="4772">
                        <c:v>0.6148780366869514</c:v>
                      </c:pt>
                      <c:pt idx="4773">
                        <c:v>0.6148780366869514</c:v>
                      </c:pt>
                      <c:pt idx="4774">
                        <c:v>0.6148780366869514</c:v>
                      </c:pt>
                      <c:pt idx="4775">
                        <c:v>0.6148780366869514</c:v>
                      </c:pt>
                      <c:pt idx="4776">
                        <c:v>0.6148780366869514</c:v>
                      </c:pt>
                      <c:pt idx="4777">
                        <c:v>0.6148780366869514</c:v>
                      </c:pt>
                      <c:pt idx="4778">
                        <c:v>0.6148780366869514</c:v>
                      </c:pt>
                      <c:pt idx="4779">
                        <c:v>0.6148780366869514</c:v>
                      </c:pt>
                      <c:pt idx="4780">
                        <c:v>0.6148780366869514</c:v>
                      </c:pt>
                      <c:pt idx="4781">
                        <c:v>0.6148780366869514</c:v>
                      </c:pt>
                      <c:pt idx="4782">
                        <c:v>0.6148780366869514</c:v>
                      </c:pt>
                      <c:pt idx="4783">
                        <c:v>0.6148780366869514</c:v>
                      </c:pt>
                      <c:pt idx="4784">
                        <c:v>0.6148780366869514</c:v>
                      </c:pt>
                      <c:pt idx="4785">
                        <c:v>0.6148780366869514</c:v>
                      </c:pt>
                      <c:pt idx="4786">
                        <c:v>0.6148780366869514</c:v>
                      </c:pt>
                      <c:pt idx="4788">
                        <c:v>0.62353829072479583</c:v>
                      </c:pt>
                      <c:pt idx="4789">
                        <c:v>0.62353829072479583</c:v>
                      </c:pt>
                      <c:pt idx="4790">
                        <c:v>0.62353829072479583</c:v>
                      </c:pt>
                      <c:pt idx="4791">
                        <c:v>0.62353829072479583</c:v>
                      </c:pt>
                      <c:pt idx="4792">
                        <c:v>0.62353829072479583</c:v>
                      </c:pt>
                      <c:pt idx="4793">
                        <c:v>0.62353829072479583</c:v>
                      </c:pt>
                      <c:pt idx="4794">
                        <c:v>0.62353829072479583</c:v>
                      </c:pt>
                      <c:pt idx="4795">
                        <c:v>0.62353829072479583</c:v>
                      </c:pt>
                      <c:pt idx="4796">
                        <c:v>0.62353829072479583</c:v>
                      </c:pt>
                      <c:pt idx="4797">
                        <c:v>0.62353829072479583</c:v>
                      </c:pt>
                      <c:pt idx="4798">
                        <c:v>0.62353829072479583</c:v>
                      </c:pt>
                      <c:pt idx="4799">
                        <c:v>0.62353829072479583</c:v>
                      </c:pt>
                      <c:pt idx="4800">
                        <c:v>0.62353829072479583</c:v>
                      </c:pt>
                      <c:pt idx="4801">
                        <c:v>0.62353829072479583</c:v>
                      </c:pt>
                      <c:pt idx="4802">
                        <c:v>0.62353829072479583</c:v>
                      </c:pt>
                      <c:pt idx="4803">
                        <c:v>0.62353829072479583</c:v>
                      </c:pt>
                      <c:pt idx="4804">
                        <c:v>0.62353829072479583</c:v>
                      </c:pt>
                      <c:pt idx="4805">
                        <c:v>0.62353829072479583</c:v>
                      </c:pt>
                      <c:pt idx="4806">
                        <c:v>0.62353829072479583</c:v>
                      </c:pt>
                      <c:pt idx="4807">
                        <c:v>0.62353829072479583</c:v>
                      </c:pt>
                      <c:pt idx="4808">
                        <c:v>0.62353829072479583</c:v>
                      </c:pt>
                      <c:pt idx="4809">
                        <c:v>0.62353829072479583</c:v>
                      </c:pt>
                      <c:pt idx="4810">
                        <c:v>0.62353829072479583</c:v>
                      </c:pt>
                      <c:pt idx="4811">
                        <c:v>0.62353829072479583</c:v>
                      </c:pt>
                      <c:pt idx="4812">
                        <c:v>0.62353829072479583</c:v>
                      </c:pt>
                      <c:pt idx="4813">
                        <c:v>0.62353829072479583</c:v>
                      </c:pt>
                      <c:pt idx="4814">
                        <c:v>0.62353829072479583</c:v>
                      </c:pt>
                      <c:pt idx="4815">
                        <c:v>0.62353829072479583</c:v>
                      </c:pt>
                      <c:pt idx="4816">
                        <c:v>0.62353829072479583</c:v>
                      </c:pt>
                      <c:pt idx="4818">
                        <c:v>0.63219854476264015</c:v>
                      </c:pt>
                      <c:pt idx="4819">
                        <c:v>0.63219854476264015</c:v>
                      </c:pt>
                      <c:pt idx="4820">
                        <c:v>0.63219854476264015</c:v>
                      </c:pt>
                      <c:pt idx="4821">
                        <c:v>0.63219854476264015</c:v>
                      </c:pt>
                      <c:pt idx="4822">
                        <c:v>0.63219854476264015</c:v>
                      </c:pt>
                      <c:pt idx="4823">
                        <c:v>0.63219854476264015</c:v>
                      </c:pt>
                      <c:pt idx="4824">
                        <c:v>0.63219854476264015</c:v>
                      </c:pt>
                      <c:pt idx="4825">
                        <c:v>0.63219854476264015</c:v>
                      </c:pt>
                      <c:pt idx="4826">
                        <c:v>0.63219854476264015</c:v>
                      </c:pt>
                      <c:pt idx="4827">
                        <c:v>0.63219854476264015</c:v>
                      </c:pt>
                      <c:pt idx="4828">
                        <c:v>0.63219854476264015</c:v>
                      </c:pt>
                      <c:pt idx="4829">
                        <c:v>0.63219854476264015</c:v>
                      </c:pt>
                      <c:pt idx="4830">
                        <c:v>0.63219854476264015</c:v>
                      </c:pt>
                      <c:pt idx="4831">
                        <c:v>0.63219854476264015</c:v>
                      </c:pt>
                      <c:pt idx="4832">
                        <c:v>0.63219854476264015</c:v>
                      </c:pt>
                      <c:pt idx="4833">
                        <c:v>0.63219854476264015</c:v>
                      </c:pt>
                      <c:pt idx="4834">
                        <c:v>0.63219854476264015</c:v>
                      </c:pt>
                      <c:pt idx="4835">
                        <c:v>0.63219854476264015</c:v>
                      </c:pt>
                      <c:pt idx="4836">
                        <c:v>0.63219854476264015</c:v>
                      </c:pt>
                      <c:pt idx="4837">
                        <c:v>0.63219854476264015</c:v>
                      </c:pt>
                      <c:pt idx="4838">
                        <c:v>0.63219854476264015</c:v>
                      </c:pt>
                      <c:pt idx="4839">
                        <c:v>0.63219854476264015</c:v>
                      </c:pt>
                      <c:pt idx="4840">
                        <c:v>0.63219854476264015</c:v>
                      </c:pt>
                      <c:pt idx="4841">
                        <c:v>0.63219854476264015</c:v>
                      </c:pt>
                      <c:pt idx="4842">
                        <c:v>0.63219854476264015</c:v>
                      </c:pt>
                      <c:pt idx="4843">
                        <c:v>0.63219854476264015</c:v>
                      </c:pt>
                      <c:pt idx="4844">
                        <c:v>0.63219854476264015</c:v>
                      </c:pt>
                      <c:pt idx="4845">
                        <c:v>0.63219854476264015</c:v>
                      </c:pt>
                      <c:pt idx="4847">
                        <c:v>0.64085879880048457</c:v>
                      </c:pt>
                      <c:pt idx="4848">
                        <c:v>0.64085879880048457</c:v>
                      </c:pt>
                      <c:pt idx="4849">
                        <c:v>0.64085879880048457</c:v>
                      </c:pt>
                      <c:pt idx="4850">
                        <c:v>0.64085879880048457</c:v>
                      </c:pt>
                      <c:pt idx="4851">
                        <c:v>0.64085879880048457</c:v>
                      </c:pt>
                      <c:pt idx="4852">
                        <c:v>0.64085879880048457</c:v>
                      </c:pt>
                      <c:pt idx="4853">
                        <c:v>0.64085879880048457</c:v>
                      </c:pt>
                      <c:pt idx="4854">
                        <c:v>0.64085879880048457</c:v>
                      </c:pt>
                      <c:pt idx="4855">
                        <c:v>0.64085879880048457</c:v>
                      </c:pt>
                      <c:pt idx="4856">
                        <c:v>0.64085879880048457</c:v>
                      </c:pt>
                      <c:pt idx="4857">
                        <c:v>0.64085879880048457</c:v>
                      </c:pt>
                      <c:pt idx="4858">
                        <c:v>0.64085879880048457</c:v>
                      </c:pt>
                      <c:pt idx="4859">
                        <c:v>0.64085879880048457</c:v>
                      </c:pt>
                      <c:pt idx="4860">
                        <c:v>0.64085879880048457</c:v>
                      </c:pt>
                      <c:pt idx="4861">
                        <c:v>0.64085879880048457</c:v>
                      </c:pt>
                      <c:pt idx="4862">
                        <c:v>0.64085879880048457</c:v>
                      </c:pt>
                      <c:pt idx="4863">
                        <c:v>0.64085879880048457</c:v>
                      </c:pt>
                      <c:pt idx="4864">
                        <c:v>0.64085879880048457</c:v>
                      </c:pt>
                      <c:pt idx="4865">
                        <c:v>0.64085879880048457</c:v>
                      </c:pt>
                      <c:pt idx="4866">
                        <c:v>0.64085879880048457</c:v>
                      </c:pt>
                      <c:pt idx="4867">
                        <c:v>0.64085879880048457</c:v>
                      </c:pt>
                      <c:pt idx="4868">
                        <c:v>0.64085879880048457</c:v>
                      </c:pt>
                      <c:pt idx="4869">
                        <c:v>0.64085879880048457</c:v>
                      </c:pt>
                      <c:pt idx="4870">
                        <c:v>0.64085879880048457</c:v>
                      </c:pt>
                      <c:pt idx="4871">
                        <c:v>0.64085879880048457</c:v>
                      </c:pt>
                      <c:pt idx="4872">
                        <c:v>0.64085879880048457</c:v>
                      </c:pt>
                      <c:pt idx="4873">
                        <c:v>0.64085879880048457</c:v>
                      </c:pt>
                      <c:pt idx="4875">
                        <c:v>0.649519052838329</c:v>
                      </c:pt>
                      <c:pt idx="4876">
                        <c:v>0.649519052838329</c:v>
                      </c:pt>
                      <c:pt idx="4877">
                        <c:v>0.649519052838329</c:v>
                      </c:pt>
                      <c:pt idx="4878">
                        <c:v>0.649519052838329</c:v>
                      </c:pt>
                      <c:pt idx="4879">
                        <c:v>0.649519052838329</c:v>
                      </c:pt>
                      <c:pt idx="4880">
                        <c:v>0.649519052838329</c:v>
                      </c:pt>
                      <c:pt idx="4881">
                        <c:v>0.649519052838329</c:v>
                      </c:pt>
                      <c:pt idx="4882">
                        <c:v>0.649519052838329</c:v>
                      </c:pt>
                      <c:pt idx="4883">
                        <c:v>0.649519052838329</c:v>
                      </c:pt>
                      <c:pt idx="4884">
                        <c:v>0.649519052838329</c:v>
                      </c:pt>
                      <c:pt idx="4885">
                        <c:v>0.649519052838329</c:v>
                      </c:pt>
                      <c:pt idx="4886">
                        <c:v>0.649519052838329</c:v>
                      </c:pt>
                      <c:pt idx="4887">
                        <c:v>0.649519052838329</c:v>
                      </c:pt>
                      <c:pt idx="4888">
                        <c:v>0.649519052838329</c:v>
                      </c:pt>
                      <c:pt idx="4889">
                        <c:v>0.649519052838329</c:v>
                      </c:pt>
                      <c:pt idx="4890">
                        <c:v>0.649519052838329</c:v>
                      </c:pt>
                      <c:pt idx="4891">
                        <c:v>0.649519052838329</c:v>
                      </c:pt>
                      <c:pt idx="4892">
                        <c:v>0.649519052838329</c:v>
                      </c:pt>
                      <c:pt idx="4893">
                        <c:v>0.649519052838329</c:v>
                      </c:pt>
                      <c:pt idx="4894">
                        <c:v>0.649519052838329</c:v>
                      </c:pt>
                      <c:pt idx="4895">
                        <c:v>0.649519052838329</c:v>
                      </c:pt>
                      <c:pt idx="4896">
                        <c:v>0.649519052838329</c:v>
                      </c:pt>
                      <c:pt idx="4897">
                        <c:v>0.649519052838329</c:v>
                      </c:pt>
                      <c:pt idx="4898">
                        <c:v>0.649519052838329</c:v>
                      </c:pt>
                      <c:pt idx="4899">
                        <c:v>0.649519052838329</c:v>
                      </c:pt>
                      <c:pt idx="4900">
                        <c:v>0.649519052838329</c:v>
                      </c:pt>
                      <c:pt idx="4902">
                        <c:v>0.65817930687617343</c:v>
                      </c:pt>
                      <c:pt idx="4903">
                        <c:v>0.65817930687617343</c:v>
                      </c:pt>
                      <c:pt idx="4904">
                        <c:v>0.65817930687617343</c:v>
                      </c:pt>
                      <c:pt idx="4905">
                        <c:v>0.65817930687617343</c:v>
                      </c:pt>
                      <c:pt idx="4906">
                        <c:v>0.65817930687617343</c:v>
                      </c:pt>
                      <c:pt idx="4907">
                        <c:v>0.65817930687617343</c:v>
                      </c:pt>
                      <c:pt idx="4908">
                        <c:v>0.65817930687617343</c:v>
                      </c:pt>
                      <c:pt idx="4909">
                        <c:v>0.65817930687617343</c:v>
                      </c:pt>
                      <c:pt idx="4910">
                        <c:v>0.65817930687617343</c:v>
                      </c:pt>
                      <c:pt idx="4911">
                        <c:v>0.65817930687617343</c:v>
                      </c:pt>
                      <c:pt idx="4912">
                        <c:v>0.65817930687617343</c:v>
                      </c:pt>
                      <c:pt idx="4913">
                        <c:v>0.65817930687617343</c:v>
                      </c:pt>
                      <c:pt idx="4914">
                        <c:v>0.65817930687617343</c:v>
                      </c:pt>
                      <c:pt idx="4915">
                        <c:v>0.65817930687617343</c:v>
                      </c:pt>
                      <c:pt idx="4916">
                        <c:v>0.65817930687617343</c:v>
                      </c:pt>
                      <c:pt idx="4917">
                        <c:v>0.65817930687617343</c:v>
                      </c:pt>
                      <c:pt idx="4918">
                        <c:v>0.65817930687617343</c:v>
                      </c:pt>
                      <c:pt idx="4919">
                        <c:v>0.65817930687617343</c:v>
                      </c:pt>
                      <c:pt idx="4920">
                        <c:v>0.65817930687617343</c:v>
                      </c:pt>
                      <c:pt idx="4921">
                        <c:v>0.65817930687617343</c:v>
                      </c:pt>
                      <c:pt idx="4922">
                        <c:v>0.65817930687617343</c:v>
                      </c:pt>
                      <c:pt idx="4923">
                        <c:v>0.65817930687617343</c:v>
                      </c:pt>
                      <c:pt idx="4924">
                        <c:v>0.65817930687617343</c:v>
                      </c:pt>
                      <c:pt idx="4925">
                        <c:v>0.65817930687617343</c:v>
                      </c:pt>
                      <c:pt idx="4926">
                        <c:v>0.65817930687617343</c:v>
                      </c:pt>
                      <c:pt idx="4928">
                        <c:v>0.66683956091401775</c:v>
                      </c:pt>
                      <c:pt idx="4929">
                        <c:v>0.66683956091401775</c:v>
                      </c:pt>
                      <c:pt idx="4930">
                        <c:v>0.66683956091401775</c:v>
                      </c:pt>
                      <c:pt idx="4931">
                        <c:v>0.66683956091401775</c:v>
                      </c:pt>
                      <c:pt idx="4932">
                        <c:v>0.66683956091401775</c:v>
                      </c:pt>
                      <c:pt idx="4933">
                        <c:v>0.66683956091401775</c:v>
                      </c:pt>
                      <c:pt idx="4934">
                        <c:v>0.66683956091401775</c:v>
                      </c:pt>
                      <c:pt idx="4935">
                        <c:v>0.66683956091401775</c:v>
                      </c:pt>
                      <c:pt idx="4936">
                        <c:v>0.66683956091401775</c:v>
                      </c:pt>
                      <c:pt idx="4937">
                        <c:v>0.66683956091401775</c:v>
                      </c:pt>
                      <c:pt idx="4938">
                        <c:v>0.66683956091401775</c:v>
                      </c:pt>
                      <c:pt idx="4939">
                        <c:v>0.66683956091401775</c:v>
                      </c:pt>
                      <c:pt idx="4940">
                        <c:v>0.66683956091401775</c:v>
                      </c:pt>
                      <c:pt idx="4941">
                        <c:v>0.66683956091401775</c:v>
                      </c:pt>
                      <c:pt idx="4942">
                        <c:v>0.66683956091401775</c:v>
                      </c:pt>
                      <c:pt idx="4943">
                        <c:v>0.66683956091401775</c:v>
                      </c:pt>
                      <c:pt idx="4944">
                        <c:v>0.66683956091401775</c:v>
                      </c:pt>
                      <c:pt idx="4945">
                        <c:v>0.66683956091401775</c:v>
                      </c:pt>
                      <c:pt idx="4946">
                        <c:v>0.66683956091401775</c:v>
                      </c:pt>
                      <c:pt idx="4947">
                        <c:v>0.66683956091401775</c:v>
                      </c:pt>
                      <c:pt idx="4948">
                        <c:v>0.66683956091401775</c:v>
                      </c:pt>
                      <c:pt idx="4949">
                        <c:v>0.66683956091401775</c:v>
                      </c:pt>
                      <c:pt idx="4950">
                        <c:v>0.66683956091401775</c:v>
                      </c:pt>
                      <c:pt idx="4951">
                        <c:v>0.66683956091401775</c:v>
                      </c:pt>
                      <c:pt idx="4953">
                        <c:v>0.67549981495186218</c:v>
                      </c:pt>
                      <c:pt idx="4954">
                        <c:v>0.67549981495186218</c:v>
                      </c:pt>
                      <c:pt idx="4955">
                        <c:v>0.67549981495186218</c:v>
                      </c:pt>
                      <c:pt idx="4956">
                        <c:v>0.67549981495186218</c:v>
                      </c:pt>
                      <c:pt idx="4957">
                        <c:v>0.67549981495186218</c:v>
                      </c:pt>
                      <c:pt idx="4958">
                        <c:v>0.67549981495186218</c:v>
                      </c:pt>
                      <c:pt idx="4959">
                        <c:v>0.67549981495186218</c:v>
                      </c:pt>
                      <c:pt idx="4960">
                        <c:v>0.67549981495186218</c:v>
                      </c:pt>
                      <c:pt idx="4961">
                        <c:v>0.67549981495186218</c:v>
                      </c:pt>
                      <c:pt idx="4962">
                        <c:v>0.67549981495186218</c:v>
                      </c:pt>
                      <c:pt idx="4963">
                        <c:v>0.67549981495186218</c:v>
                      </c:pt>
                      <c:pt idx="4964">
                        <c:v>0.67549981495186218</c:v>
                      </c:pt>
                      <c:pt idx="4965">
                        <c:v>0.67549981495186218</c:v>
                      </c:pt>
                      <c:pt idx="4966">
                        <c:v>0.67549981495186218</c:v>
                      </c:pt>
                      <c:pt idx="4967">
                        <c:v>0.67549981495186218</c:v>
                      </c:pt>
                      <c:pt idx="4968">
                        <c:v>0.67549981495186218</c:v>
                      </c:pt>
                      <c:pt idx="4969">
                        <c:v>0.67549981495186218</c:v>
                      </c:pt>
                      <c:pt idx="4970">
                        <c:v>0.67549981495186218</c:v>
                      </c:pt>
                      <c:pt idx="4971">
                        <c:v>0.67549981495186218</c:v>
                      </c:pt>
                      <c:pt idx="4972">
                        <c:v>0.67549981495186218</c:v>
                      </c:pt>
                      <c:pt idx="4973">
                        <c:v>0.67549981495186218</c:v>
                      </c:pt>
                      <c:pt idx="4974">
                        <c:v>0.67549981495186218</c:v>
                      </c:pt>
                      <c:pt idx="4975">
                        <c:v>0.67549981495186218</c:v>
                      </c:pt>
                      <c:pt idx="4977">
                        <c:v>0.6841600689897066</c:v>
                      </c:pt>
                      <c:pt idx="4978">
                        <c:v>0.6841600689897066</c:v>
                      </c:pt>
                      <c:pt idx="4979">
                        <c:v>0.6841600689897066</c:v>
                      </c:pt>
                      <c:pt idx="4980">
                        <c:v>0.6841600689897066</c:v>
                      </c:pt>
                      <c:pt idx="4981">
                        <c:v>0.6841600689897066</c:v>
                      </c:pt>
                      <c:pt idx="4982">
                        <c:v>0.6841600689897066</c:v>
                      </c:pt>
                      <c:pt idx="4983">
                        <c:v>0.6841600689897066</c:v>
                      </c:pt>
                      <c:pt idx="4984">
                        <c:v>0.6841600689897066</c:v>
                      </c:pt>
                      <c:pt idx="4985">
                        <c:v>0.6841600689897066</c:v>
                      </c:pt>
                      <c:pt idx="4986">
                        <c:v>0.6841600689897066</c:v>
                      </c:pt>
                      <c:pt idx="4987">
                        <c:v>0.6841600689897066</c:v>
                      </c:pt>
                      <c:pt idx="4988">
                        <c:v>0.6841600689897066</c:v>
                      </c:pt>
                      <c:pt idx="4989">
                        <c:v>0.6841600689897066</c:v>
                      </c:pt>
                      <c:pt idx="4990">
                        <c:v>0.6841600689897066</c:v>
                      </c:pt>
                      <c:pt idx="4991">
                        <c:v>0.6841600689897066</c:v>
                      </c:pt>
                      <c:pt idx="4992">
                        <c:v>0.6841600689897066</c:v>
                      </c:pt>
                      <c:pt idx="4993">
                        <c:v>0.6841600689897066</c:v>
                      </c:pt>
                      <c:pt idx="4994">
                        <c:v>0.6841600689897066</c:v>
                      </c:pt>
                      <c:pt idx="4995">
                        <c:v>0.6841600689897066</c:v>
                      </c:pt>
                      <c:pt idx="4996">
                        <c:v>0.6841600689897066</c:v>
                      </c:pt>
                      <c:pt idx="4997">
                        <c:v>0.6841600689897066</c:v>
                      </c:pt>
                      <c:pt idx="4998">
                        <c:v>0.6841600689897066</c:v>
                      </c:pt>
                      <c:pt idx="5000">
                        <c:v>0.69282032302755103</c:v>
                      </c:pt>
                      <c:pt idx="5001">
                        <c:v>0.69282032302755103</c:v>
                      </c:pt>
                      <c:pt idx="5002">
                        <c:v>0.69282032302755103</c:v>
                      </c:pt>
                      <c:pt idx="5003">
                        <c:v>0.69282032302755103</c:v>
                      </c:pt>
                      <c:pt idx="5004">
                        <c:v>0.69282032302755103</c:v>
                      </c:pt>
                      <c:pt idx="5005">
                        <c:v>0.69282032302755103</c:v>
                      </c:pt>
                      <c:pt idx="5006">
                        <c:v>0.69282032302755103</c:v>
                      </c:pt>
                      <c:pt idx="5007">
                        <c:v>0.69282032302755103</c:v>
                      </c:pt>
                      <c:pt idx="5008">
                        <c:v>0.69282032302755103</c:v>
                      </c:pt>
                      <c:pt idx="5009">
                        <c:v>0.69282032302755103</c:v>
                      </c:pt>
                      <c:pt idx="5010">
                        <c:v>0.69282032302755103</c:v>
                      </c:pt>
                      <c:pt idx="5011">
                        <c:v>0.69282032302755103</c:v>
                      </c:pt>
                      <c:pt idx="5012">
                        <c:v>0.69282032302755103</c:v>
                      </c:pt>
                      <c:pt idx="5013">
                        <c:v>0.69282032302755103</c:v>
                      </c:pt>
                      <c:pt idx="5014">
                        <c:v>0.69282032302755103</c:v>
                      </c:pt>
                      <c:pt idx="5015">
                        <c:v>0.69282032302755103</c:v>
                      </c:pt>
                      <c:pt idx="5016">
                        <c:v>0.69282032302755103</c:v>
                      </c:pt>
                      <c:pt idx="5017">
                        <c:v>0.69282032302755103</c:v>
                      </c:pt>
                      <c:pt idx="5018">
                        <c:v>0.69282032302755103</c:v>
                      </c:pt>
                      <c:pt idx="5019">
                        <c:v>0.69282032302755103</c:v>
                      </c:pt>
                      <c:pt idx="5020">
                        <c:v>0.69282032302755103</c:v>
                      </c:pt>
                      <c:pt idx="5022">
                        <c:v>0.70148057706539535</c:v>
                      </c:pt>
                      <c:pt idx="5023">
                        <c:v>0.70148057706539535</c:v>
                      </c:pt>
                      <c:pt idx="5024">
                        <c:v>0.70148057706539535</c:v>
                      </c:pt>
                      <c:pt idx="5025">
                        <c:v>0.70148057706539535</c:v>
                      </c:pt>
                      <c:pt idx="5026">
                        <c:v>0.70148057706539535</c:v>
                      </c:pt>
                      <c:pt idx="5027">
                        <c:v>0.70148057706539535</c:v>
                      </c:pt>
                      <c:pt idx="5028">
                        <c:v>0.70148057706539535</c:v>
                      </c:pt>
                      <c:pt idx="5029">
                        <c:v>0.70148057706539535</c:v>
                      </c:pt>
                      <c:pt idx="5030">
                        <c:v>0.70148057706539535</c:v>
                      </c:pt>
                      <c:pt idx="5031">
                        <c:v>0.70148057706539535</c:v>
                      </c:pt>
                      <c:pt idx="5032">
                        <c:v>0.70148057706539535</c:v>
                      </c:pt>
                      <c:pt idx="5033">
                        <c:v>0.70148057706539535</c:v>
                      </c:pt>
                      <c:pt idx="5034">
                        <c:v>0.70148057706539535</c:v>
                      </c:pt>
                      <c:pt idx="5035">
                        <c:v>0.70148057706539535</c:v>
                      </c:pt>
                      <c:pt idx="5036">
                        <c:v>0.70148057706539535</c:v>
                      </c:pt>
                      <c:pt idx="5037">
                        <c:v>0.70148057706539535</c:v>
                      </c:pt>
                      <c:pt idx="5038">
                        <c:v>0.70148057706539535</c:v>
                      </c:pt>
                      <c:pt idx="5039">
                        <c:v>0.70148057706539535</c:v>
                      </c:pt>
                      <c:pt idx="5040">
                        <c:v>0.70148057706539535</c:v>
                      </c:pt>
                      <c:pt idx="5041">
                        <c:v>0.70148057706539535</c:v>
                      </c:pt>
                      <c:pt idx="5043">
                        <c:v>0.71014083110323967</c:v>
                      </c:pt>
                      <c:pt idx="5044">
                        <c:v>0.71014083110323967</c:v>
                      </c:pt>
                      <c:pt idx="5045">
                        <c:v>0.71014083110323967</c:v>
                      </c:pt>
                      <c:pt idx="5046">
                        <c:v>0.71014083110323967</c:v>
                      </c:pt>
                      <c:pt idx="5047">
                        <c:v>0.71014083110323967</c:v>
                      </c:pt>
                      <c:pt idx="5048">
                        <c:v>0.71014083110323967</c:v>
                      </c:pt>
                      <c:pt idx="5049">
                        <c:v>0.71014083110323967</c:v>
                      </c:pt>
                      <c:pt idx="5050">
                        <c:v>0.71014083110323967</c:v>
                      </c:pt>
                      <c:pt idx="5051">
                        <c:v>0.71014083110323967</c:v>
                      </c:pt>
                      <c:pt idx="5052">
                        <c:v>0.71014083110323967</c:v>
                      </c:pt>
                      <c:pt idx="5053">
                        <c:v>0.71014083110323967</c:v>
                      </c:pt>
                      <c:pt idx="5054">
                        <c:v>0.71014083110323967</c:v>
                      </c:pt>
                      <c:pt idx="5055">
                        <c:v>0.71014083110323967</c:v>
                      </c:pt>
                      <c:pt idx="5056">
                        <c:v>0.71014083110323967</c:v>
                      </c:pt>
                      <c:pt idx="5057">
                        <c:v>0.71014083110323967</c:v>
                      </c:pt>
                      <c:pt idx="5058">
                        <c:v>0.71014083110323967</c:v>
                      </c:pt>
                      <c:pt idx="5059">
                        <c:v>0.71014083110323967</c:v>
                      </c:pt>
                      <c:pt idx="5060">
                        <c:v>0.71014083110323967</c:v>
                      </c:pt>
                      <c:pt idx="5061">
                        <c:v>0.71014083110323967</c:v>
                      </c:pt>
                      <c:pt idx="5063">
                        <c:v>0.7188010851410841</c:v>
                      </c:pt>
                      <c:pt idx="5064">
                        <c:v>0.7188010851410841</c:v>
                      </c:pt>
                      <c:pt idx="5065">
                        <c:v>0.7188010851410841</c:v>
                      </c:pt>
                      <c:pt idx="5066">
                        <c:v>0.7188010851410841</c:v>
                      </c:pt>
                      <c:pt idx="5067">
                        <c:v>0.7188010851410841</c:v>
                      </c:pt>
                      <c:pt idx="5068">
                        <c:v>0.7188010851410841</c:v>
                      </c:pt>
                      <c:pt idx="5069">
                        <c:v>0.7188010851410841</c:v>
                      </c:pt>
                      <c:pt idx="5070">
                        <c:v>0.7188010851410841</c:v>
                      </c:pt>
                      <c:pt idx="5071">
                        <c:v>0.7188010851410841</c:v>
                      </c:pt>
                      <c:pt idx="5072">
                        <c:v>0.7188010851410841</c:v>
                      </c:pt>
                      <c:pt idx="5073">
                        <c:v>0.7188010851410841</c:v>
                      </c:pt>
                      <c:pt idx="5074">
                        <c:v>0.7188010851410841</c:v>
                      </c:pt>
                      <c:pt idx="5075">
                        <c:v>0.7188010851410841</c:v>
                      </c:pt>
                      <c:pt idx="5076">
                        <c:v>0.7188010851410841</c:v>
                      </c:pt>
                      <c:pt idx="5077">
                        <c:v>0.7188010851410841</c:v>
                      </c:pt>
                      <c:pt idx="5078">
                        <c:v>0.7188010851410841</c:v>
                      </c:pt>
                      <c:pt idx="5079">
                        <c:v>0.7188010851410841</c:v>
                      </c:pt>
                      <c:pt idx="5080">
                        <c:v>0.7188010851410841</c:v>
                      </c:pt>
                      <c:pt idx="5082">
                        <c:v>0.72746133917892841</c:v>
                      </c:pt>
                      <c:pt idx="5083">
                        <c:v>0.72746133917892841</c:v>
                      </c:pt>
                      <c:pt idx="5084">
                        <c:v>0.72746133917892841</c:v>
                      </c:pt>
                      <c:pt idx="5085">
                        <c:v>0.72746133917892841</c:v>
                      </c:pt>
                      <c:pt idx="5086">
                        <c:v>0.72746133917892841</c:v>
                      </c:pt>
                      <c:pt idx="5087">
                        <c:v>0.72746133917892841</c:v>
                      </c:pt>
                      <c:pt idx="5088">
                        <c:v>0.72746133917892841</c:v>
                      </c:pt>
                      <c:pt idx="5089">
                        <c:v>0.72746133917892841</c:v>
                      </c:pt>
                      <c:pt idx="5090">
                        <c:v>0.72746133917892841</c:v>
                      </c:pt>
                      <c:pt idx="5091">
                        <c:v>0.72746133917892841</c:v>
                      </c:pt>
                      <c:pt idx="5092">
                        <c:v>0.72746133917892841</c:v>
                      </c:pt>
                      <c:pt idx="5093">
                        <c:v>0.72746133917892841</c:v>
                      </c:pt>
                      <c:pt idx="5094">
                        <c:v>0.72746133917892841</c:v>
                      </c:pt>
                      <c:pt idx="5095">
                        <c:v>0.72746133917892841</c:v>
                      </c:pt>
                      <c:pt idx="5096">
                        <c:v>0.72746133917892841</c:v>
                      </c:pt>
                      <c:pt idx="5097">
                        <c:v>0.72746133917892841</c:v>
                      </c:pt>
                      <c:pt idx="5098">
                        <c:v>0.72746133917892841</c:v>
                      </c:pt>
                      <c:pt idx="5100">
                        <c:v>0.73612159321677273</c:v>
                      </c:pt>
                      <c:pt idx="5101">
                        <c:v>0.73612159321677273</c:v>
                      </c:pt>
                      <c:pt idx="5102">
                        <c:v>0.73612159321677273</c:v>
                      </c:pt>
                      <c:pt idx="5103">
                        <c:v>0.73612159321677273</c:v>
                      </c:pt>
                      <c:pt idx="5104">
                        <c:v>0.73612159321677273</c:v>
                      </c:pt>
                      <c:pt idx="5105">
                        <c:v>0.73612159321677273</c:v>
                      </c:pt>
                      <c:pt idx="5106">
                        <c:v>0.73612159321677273</c:v>
                      </c:pt>
                      <c:pt idx="5107">
                        <c:v>0.73612159321677273</c:v>
                      </c:pt>
                      <c:pt idx="5108">
                        <c:v>0.73612159321677273</c:v>
                      </c:pt>
                      <c:pt idx="5109">
                        <c:v>0.73612159321677273</c:v>
                      </c:pt>
                      <c:pt idx="5110">
                        <c:v>0.73612159321677273</c:v>
                      </c:pt>
                      <c:pt idx="5111">
                        <c:v>0.73612159321677273</c:v>
                      </c:pt>
                      <c:pt idx="5112">
                        <c:v>0.73612159321677273</c:v>
                      </c:pt>
                      <c:pt idx="5113">
                        <c:v>0.73612159321677273</c:v>
                      </c:pt>
                      <c:pt idx="5114">
                        <c:v>0.73612159321677273</c:v>
                      </c:pt>
                      <c:pt idx="5115">
                        <c:v>0.73612159321677273</c:v>
                      </c:pt>
                      <c:pt idx="5117">
                        <c:v>0.74478184725461727</c:v>
                      </c:pt>
                      <c:pt idx="5118">
                        <c:v>0.74478184725461727</c:v>
                      </c:pt>
                      <c:pt idx="5119">
                        <c:v>0.74478184725461727</c:v>
                      </c:pt>
                      <c:pt idx="5120">
                        <c:v>0.74478184725461727</c:v>
                      </c:pt>
                      <c:pt idx="5121">
                        <c:v>0.74478184725461727</c:v>
                      </c:pt>
                      <c:pt idx="5122">
                        <c:v>0.74478184725461727</c:v>
                      </c:pt>
                      <c:pt idx="5123">
                        <c:v>0.74478184725461727</c:v>
                      </c:pt>
                      <c:pt idx="5124">
                        <c:v>0.74478184725461727</c:v>
                      </c:pt>
                      <c:pt idx="5125">
                        <c:v>0.74478184725461727</c:v>
                      </c:pt>
                      <c:pt idx="5126">
                        <c:v>0.74478184725461727</c:v>
                      </c:pt>
                      <c:pt idx="5127">
                        <c:v>0.74478184725461727</c:v>
                      </c:pt>
                      <c:pt idx="5128">
                        <c:v>0.74478184725461727</c:v>
                      </c:pt>
                      <c:pt idx="5129">
                        <c:v>0.74478184725461727</c:v>
                      </c:pt>
                      <c:pt idx="5130">
                        <c:v>0.74478184725461727</c:v>
                      </c:pt>
                      <c:pt idx="5131">
                        <c:v>0.74478184725461727</c:v>
                      </c:pt>
                      <c:pt idx="5133">
                        <c:v>0.7534421012924617</c:v>
                      </c:pt>
                      <c:pt idx="5134">
                        <c:v>0.7534421012924617</c:v>
                      </c:pt>
                      <c:pt idx="5135">
                        <c:v>0.7534421012924617</c:v>
                      </c:pt>
                      <c:pt idx="5136">
                        <c:v>0.7534421012924617</c:v>
                      </c:pt>
                      <c:pt idx="5137">
                        <c:v>0.7534421012924617</c:v>
                      </c:pt>
                      <c:pt idx="5138">
                        <c:v>0.7534421012924617</c:v>
                      </c:pt>
                      <c:pt idx="5139">
                        <c:v>0.7534421012924617</c:v>
                      </c:pt>
                      <c:pt idx="5140">
                        <c:v>0.7534421012924617</c:v>
                      </c:pt>
                      <c:pt idx="5141">
                        <c:v>0.7534421012924617</c:v>
                      </c:pt>
                      <c:pt idx="5142">
                        <c:v>0.7534421012924617</c:v>
                      </c:pt>
                      <c:pt idx="5143">
                        <c:v>0.7534421012924617</c:v>
                      </c:pt>
                      <c:pt idx="5144">
                        <c:v>0.7534421012924617</c:v>
                      </c:pt>
                      <c:pt idx="5145">
                        <c:v>0.7534421012924617</c:v>
                      </c:pt>
                      <c:pt idx="5146">
                        <c:v>0.7534421012924617</c:v>
                      </c:pt>
                      <c:pt idx="5148">
                        <c:v>0.76210235533030601</c:v>
                      </c:pt>
                      <c:pt idx="5149">
                        <c:v>0.76210235533030601</c:v>
                      </c:pt>
                      <c:pt idx="5150">
                        <c:v>0.76210235533030601</c:v>
                      </c:pt>
                      <c:pt idx="5151">
                        <c:v>0.76210235533030601</c:v>
                      </c:pt>
                      <c:pt idx="5152">
                        <c:v>0.76210235533030601</c:v>
                      </c:pt>
                      <c:pt idx="5153">
                        <c:v>0.76210235533030601</c:v>
                      </c:pt>
                      <c:pt idx="5154">
                        <c:v>0.76210235533030601</c:v>
                      </c:pt>
                      <c:pt idx="5155">
                        <c:v>0.76210235533030601</c:v>
                      </c:pt>
                      <c:pt idx="5156">
                        <c:v>0.76210235533030601</c:v>
                      </c:pt>
                      <c:pt idx="5157">
                        <c:v>0.76210235533030601</c:v>
                      </c:pt>
                      <c:pt idx="5158">
                        <c:v>0.76210235533030601</c:v>
                      </c:pt>
                      <c:pt idx="5159">
                        <c:v>0.76210235533030601</c:v>
                      </c:pt>
                      <c:pt idx="5160">
                        <c:v>0.76210235533030601</c:v>
                      </c:pt>
                      <c:pt idx="5162">
                        <c:v>0.77076260936815044</c:v>
                      </c:pt>
                      <c:pt idx="5163">
                        <c:v>0.77076260936815044</c:v>
                      </c:pt>
                      <c:pt idx="5164">
                        <c:v>0.77076260936815044</c:v>
                      </c:pt>
                      <c:pt idx="5165">
                        <c:v>0.77076260936815044</c:v>
                      </c:pt>
                      <c:pt idx="5166">
                        <c:v>0.77076260936815044</c:v>
                      </c:pt>
                      <c:pt idx="5167">
                        <c:v>0.77076260936815044</c:v>
                      </c:pt>
                      <c:pt idx="5168">
                        <c:v>0.77076260936815044</c:v>
                      </c:pt>
                      <c:pt idx="5169">
                        <c:v>0.77076260936815044</c:v>
                      </c:pt>
                      <c:pt idx="5170">
                        <c:v>0.77076260936815044</c:v>
                      </c:pt>
                      <c:pt idx="5171">
                        <c:v>0.77076260936815044</c:v>
                      </c:pt>
                      <c:pt idx="5172">
                        <c:v>0.77076260936815044</c:v>
                      </c:pt>
                      <c:pt idx="5173">
                        <c:v>0.77076260936815044</c:v>
                      </c:pt>
                      <c:pt idx="5175">
                        <c:v>0.77942286340599476</c:v>
                      </c:pt>
                      <c:pt idx="5176">
                        <c:v>0.77942286340599476</c:v>
                      </c:pt>
                      <c:pt idx="5177">
                        <c:v>0.77942286340599476</c:v>
                      </c:pt>
                      <c:pt idx="5178">
                        <c:v>0.77942286340599476</c:v>
                      </c:pt>
                      <c:pt idx="5179">
                        <c:v>0.77942286340599476</c:v>
                      </c:pt>
                      <c:pt idx="5180">
                        <c:v>0.77942286340599476</c:v>
                      </c:pt>
                      <c:pt idx="5181">
                        <c:v>0.77942286340599476</c:v>
                      </c:pt>
                      <c:pt idx="5182">
                        <c:v>0.77942286340599476</c:v>
                      </c:pt>
                      <c:pt idx="5183">
                        <c:v>0.77942286340599476</c:v>
                      </c:pt>
                      <c:pt idx="5184">
                        <c:v>0.77942286340599476</c:v>
                      </c:pt>
                      <c:pt idx="5185">
                        <c:v>0.77942286340599476</c:v>
                      </c:pt>
                      <c:pt idx="5187">
                        <c:v>0.78808311744383919</c:v>
                      </c:pt>
                      <c:pt idx="5188">
                        <c:v>0.78808311744383919</c:v>
                      </c:pt>
                      <c:pt idx="5189">
                        <c:v>0.78808311744383919</c:v>
                      </c:pt>
                      <c:pt idx="5190">
                        <c:v>0.78808311744383919</c:v>
                      </c:pt>
                      <c:pt idx="5191">
                        <c:v>0.78808311744383919</c:v>
                      </c:pt>
                      <c:pt idx="5192">
                        <c:v>0.78808311744383919</c:v>
                      </c:pt>
                      <c:pt idx="5193">
                        <c:v>0.78808311744383919</c:v>
                      </c:pt>
                      <c:pt idx="5194">
                        <c:v>0.78808311744383919</c:v>
                      </c:pt>
                      <c:pt idx="5195">
                        <c:v>0.78808311744383919</c:v>
                      </c:pt>
                      <c:pt idx="5196">
                        <c:v>0.78808311744383919</c:v>
                      </c:pt>
                      <c:pt idx="5198">
                        <c:v>0.79674337148168362</c:v>
                      </c:pt>
                      <c:pt idx="5199">
                        <c:v>0.79674337148168362</c:v>
                      </c:pt>
                      <c:pt idx="5200">
                        <c:v>0.79674337148168362</c:v>
                      </c:pt>
                      <c:pt idx="5201">
                        <c:v>0.79674337148168362</c:v>
                      </c:pt>
                      <c:pt idx="5202">
                        <c:v>0.79674337148168362</c:v>
                      </c:pt>
                      <c:pt idx="5203">
                        <c:v>0.79674337148168362</c:v>
                      </c:pt>
                      <c:pt idx="5204">
                        <c:v>0.79674337148168362</c:v>
                      </c:pt>
                      <c:pt idx="5205">
                        <c:v>0.79674337148168362</c:v>
                      </c:pt>
                      <c:pt idx="5206">
                        <c:v>0.79674337148168362</c:v>
                      </c:pt>
                      <c:pt idx="5208">
                        <c:v>0.80540362551952804</c:v>
                      </c:pt>
                      <c:pt idx="5209">
                        <c:v>0.80540362551952804</c:v>
                      </c:pt>
                      <c:pt idx="5210">
                        <c:v>0.80540362551952804</c:v>
                      </c:pt>
                      <c:pt idx="5211">
                        <c:v>0.80540362551952804</c:v>
                      </c:pt>
                      <c:pt idx="5212">
                        <c:v>0.80540362551952804</c:v>
                      </c:pt>
                      <c:pt idx="5213">
                        <c:v>0.80540362551952804</c:v>
                      </c:pt>
                      <c:pt idx="5214">
                        <c:v>0.80540362551952804</c:v>
                      </c:pt>
                      <c:pt idx="5215">
                        <c:v>0.80540362551952804</c:v>
                      </c:pt>
                      <c:pt idx="5217">
                        <c:v>0.81406387955737225</c:v>
                      </c:pt>
                      <c:pt idx="5218">
                        <c:v>0.81406387955737225</c:v>
                      </c:pt>
                      <c:pt idx="5219">
                        <c:v>0.81406387955737225</c:v>
                      </c:pt>
                      <c:pt idx="5220">
                        <c:v>0.81406387955737225</c:v>
                      </c:pt>
                      <c:pt idx="5221">
                        <c:v>0.81406387955737225</c:v>
                      </c:pt>
                      <c:pt idx="5222">
                        <c:v>0.81406387955737225</c:v>
                      </c:pt>
                      <c:pt idx="5223">
                        <c:v>0.81406387955737225</c:v>
                      </c:pt>
                      <c:pt idx="5225">
                        <c:v>0.82272413359521668</c:v>
                      </c:pt>
                      <c:pt idx="5226">
                        <c:v>0.82272413359521668</c:v>
                      </c:pt>
                      <c:pt idx="5227">
                        <c:v>0.82272413359521668</c:v>
                      </c:pt>
                      <c:pt idx="5228">
                        <c:v>0.82272413359521668</c:v>
                      </c:pt>
                      <c:pt idx="5229">
                        <c:v>0.82272413359521668</c:v>
                      </c:pt>
                      <c:pt idx="5230">
                        <c:v>0.82272413359521668</c:v>
                      </c:pt>
                      <c:pt idx="5232">
                        <c:v>0.83138438763306111</c:v>
                      </c:pt>
                      <c:pt idx="5233">
                        <c:v>0.83138438763306111</c:v>
                      </c:pt>
                      <c:pt idx="5234">
                        <c:v>0.83138438763306111</c:v>
                      </c:pt>
                      <c:pt idx="5235">
                        <c:v>0.83138438763306111</c:v>
                      </c:pt>
                      <c:pt idx="5236">
                        <c:v>0.83138438763306111</c:v>
                      </c:pt>
                      <c:pt idx="5238">
                        <c:v>0.84004464167090542</c:v>
                      </c:pt>
                      <c:pt idx="5239">
                        <c:v>0.84004464167090542</c:v>
                      </c:pt>
                      <c:pt idx="5240">
                        <c:v>0.84004464167090542</c:v>
                      </c:pt>
                      <c:pt idx="5241">
                        <c:v>0.84004464167090542</c:v>
                      </c:pt>
                      <c:pt idx="5243">
                        <c:v>0.84870489570874985</c:v>
                      </c:pt>
                      <c:pt idx="5244">
                        <c:v>0.84870489570874985</c:v>
                      </c:pt>
                      <c:pt idx="5245">
                        <c:v>0.84870489570874985</c:v>
                      </c:pt>
                      <c:pt idx="5247">
                        <c:v>0.85736514974659417</c:v>
                      </c:pt>
                      <c:pt idx="5248">
                        <c:v>0.85736514974659417</c:v>
                      </c:pt>
                      <c:pt idx="5250">
                        <c:v>0.8660254037844386</c:v>
                      </c:pt>
                    </c:numCache>
                  </c:numRef>
                </c:yVal>
                <c:smooth val="0"/>
                <c:extLst xmlns:c15="http://schemas.microsoft.com/office/drawing/2012/chart">
                  <c:ext xmlns:c16="http://schemas.microsoft.com/office/drawing/2014/chart" uri="{C3380CC4-5D6E-409C-BE32-E72D297353CC}">
                    <c16:uniqueId val="{000000E5-956A-456E-A399-DEEAAAA0A364}"/>
                  </c:ext>
                </c:extLst>
              </c15:ser>
            </c15:filteredScatterSeries>
            <c15:filteredScatterSeries>
              <c15:ser>
                <c:idx val="27"/>
                <c:order val="27"/>
                <c:tx>
                  <c:v>Very Fine</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ChartData!$BA$3:$BA$6</c15:sqref>
                        </c15:formulaRef>
                      </c:ext>
                    </c:extLst>
                    <c:numCache>
                      <c:formatCode>0.000</c:formatCode>
                      <c:ptCount val="4"/>
                      <c:pt idx="0">
                        <c:v>0.5</c:v>
                      </c:pt>
                      <c:pt idx="1">
                        <c:v>0.7</c:v>
                      </c:pt>
                      <c:pt idx="2">
                        <c:v>0.3</c:v>
                      </c:pt>
                      <c:pt idx="3">
                        <c:v>0.5</c:v>
                      </c:pt>
                    </c:numCache>
                  </c:numRef>
                </c:xVal>
                <c:yVal>
                  <c:numRef>
                    <c:extLst xmlns:c15="http://schemas.microsoft.com/office/drawing/2012/chart">
                      <c:ext xmlns:c15="http://schemas.microsoft.com/office/drawing/2012/chart" uri="{02D57815-91ED-43cb-92C2-25804820EDAC}">
                        <c15:formulaRef>
                          <c15:sqref>ChartData!$BB$3:$BB$6</c15:sqref>
                        </c15:formulaRef>
                      </c:ext>
                    </c:extLst>
                    <c:numCache>
                      <c:formatCode>0.000</c:formatCode>
                      <c:ptCount val="4"/>
                      <c:pt idx="0">
                        <c:v>0.8660254037844386</c:v>
                      </c:pt>
                      <c:pt idx="1">
                        <c:v>0.51961524227066325</c:v>
                      </c:pt>
                      <c:pt idx="2">
                        <c:v>0.51961524227066325</c:v>
                      </c:pt>
                      <c:pt idx="3">
                        <c:v>0.8660254037844386</c:v>
                      </c:pt>
                    </c:numCache>
                  </c:numRef>
                </c:yVal>
                <c:smooth val="0"/>
                <c:extLst xmlns:c15="http://schemas.microsoft.com/office/drawing/2012/chart">
                  <c:ext xmlns:c16="http://schemas.microsoft.com/office/drawing/2014/chart" uri="{C3380CC4-5D6E-409C-BE32-E72D297353CC}">
                    <c16:uniqueId val="{000000E6-956A-456E-A399-DEEAAAA0A364}"/>
                  </c:ext>
                </c:extLst>
              </c15:ser>
            </c15:filteredScatterSeries>
            <c15:filteredScatterSeries>
              <c15:ser>
                <c:idx val="28"/>
                <c:order val="28"/>
                <c:tx>
                  <c:v>Fine</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ChartData!$BA$10:$BA$14</c15:sqref>
                        </c15:formulaRef>
                      </c:ext>
                    </c:extLst>
                    <c:numCache>
                      <c:formatCode>0.000</c:formatCode>
                      <c:ptCount val="5"/>
                      <c:pt idx="0">
                        <c:v>0.3</c:v>
                      </c:pt>
                      <c:pt idx="1">
                        <c:v>0.7</c:v>
                      </c:pt>
                      <c:pt idx="2">
                        <c:v>0.82500000000000051</c:v>
                      </c:pt>
                      <c:pt idx="3">
                        <c:v>0.17500000000000002</c:v>
                      </c:pt>
                      <c:pt idx="4">
                        <c:v>0.3</c:v>
                      </c:pt>
                    </c:numCache>
                  </c:numRef>
                </c:xVal>
                <c:yVal>
                  <c:numRef>
                    <c:extLst xmlns:c15="http://schemas.microsoft.com/office/drawing/2012/chart">
                      <c:ext xmlns:c15="http://schemas.microsoft.com/office/drawing/2012/chart" uri="{02D57815-91ED-43cb-92C2-25804820EDAC}">
                        <c15:formulaRef>
                          <c15:sqref>ChartData!$BB$10:$BB$14</c15:sqref>
                        </c15:formulaRef>
                      </c:ext>
                    </c:extLst>
                    <c:numCache>
                      <c:formatCode>0.000</c:formatCode>
                      <c:ptCount val="5"/>
                      <c:pt idx="0">
                        <c:v>0.51961524227066325</c:v>
                      </c:pt>
                      <c:pt idx="1">
                        <c:v>0.51961524227066325</c:v>
                      </c:pt>
                      <c:pt idx="2">
                        <c:v>0.30310889132455349</c:v>
                      </c:pt>
                      <c:pt idx="3">
                        <c:v>0.30310889132455349</c:v>
                      </c:pt>
                      <c:pt idx="4">
                        <c:v>0.51961524227066325</c:v>
                      </c:pt>
                    </c:numCache>
                  </c:numRef>
                </c:yVal>
                <c:smooth val="0"/>
                <c:extLst xmlns:c15="http://schemas.microsoft.com/office/drawing/2012/chart">
                  <c:ext xmlns:c16="http://schemas.microsoft.com/office/drawing/2014/chart" uri="{C3380CC4-5D6E-409C-BE32-E72D297353CC}">
                    <c16:uniqueId val="{000000E7-956A-456E-A399-DEEAAAA0A364}"/>
                  </c:ext>
                </c:extLst>
              </c15:ser>
            </c15:filteredScatterSeries>
            <c15:filteredScatterSeries>
              <c15:ser>
                <c:idx val="29"/>
                <c:order val="29"/>
                <c:tx>
                  <c:v>Fine Silty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ChartData!$BA$18:$BA$22</c15:sqref>
                        </c15:formulaRef>
                      </c:ext>
                    </c:extLst>
                    <c:numCache>
                      <c:formatCode>0.000</c:formatCode>
                      <c:ptCount val="5"/>
                      <c:pt idx="0">
                        <c:v>0.67500000000000038</c:v>
                      </c:pt>
                      <c:pt idx="1">
                        <c:v>0.82500000000000051</c:v>
                      </c:pt>
                      <c:pt idx="2">
                        <c:v>0.91000000000000059</c:v>
                      </c:pt>
                      <c:pt idx="3">
                        <c:v>0.76000000000000045</c:v>
                      </c:pt>
                      <c:pt idx="4">
                        <c:v>0.67500000000000038</c:v>
                      </c:pt>
                    </c:numCache>
                  </c:numRef>
                </c:xVal>
                <c:yVal>
                  <c:numRef>
                    <c:extLst xmlns:c15="http://schemas.microsoft.com/office/drawing/2012/chart">
                      <c:ext xmlns:c15="http://schemas.microsoft.com/office/drawing/2012/chart" uri="{02D57815-91ED-43cb-92C2-25804820EDAC}">
                        <c15:formulaRef>
                          <c15:sqref>ChartData!$BB$18:$BB$22</c15:sqref>
                        </c15:formulaRef>
                      </c:ext>
                    </c:extLst>
                    <c:numCache>
                      <c:formatCode>0.000</c:formatCode>
                      <c:ptCount val="5"/>
                      <c:pt idx="0">
                        <c:v>0.30310889132455349</c:v>
                      </c:pt>
                      <c:pt idx="1">
                        <c:v>0.30310889132455349</c:v>
                      </c:pt>
                      <c:pt idx="2">
                        <c:v>0.15588457268119896</c:v>
                      </c:pt>
                      <c:pt idx="3">
                        <c:v>0.15588457268119896</c:v>
                      </c:pt>
                      <c:pt idx="4">
                        <c:v>0.30310889132455349</c:v>
                      </c:pt>
                    </c:numCache>
                  </c:numRef>
                </c:yVal>
                <c:smooth val="0"/>
                <c:extLst xmlns:c15="http://schemas.microsoft.com/office/drawing/2012/chart">
                  <c:ext xmlns:c16="http://schemas.microsoft.com/office/drawing/2014/chart" uri="{C3380CC4-5D6E-409C-BE32-E72D297353CC}">
                    <c16:uniqueId val="{000000E8-956A-456E-A399-DEEAAAA0A364}"/>
                  </c:ext>
                </c:extLst>
              </c15:ser>
            </c15:filteredScatterSeries>
            <c15:filteredScatterSeries>
              <c15:ser>
                <c:idx val="30"/>
                <c:order val="30"/>
                <c:tx>
                  <c:v>Coarse Silty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ChartData!$BA$26:$BA$30</c15:sqref>
                        </c15:formulaRef>
                      </c:ext>
                    </c:extLst>
                    <c:numCache>
                      <c:formatCode>0.000</c:formatCode>
                      <c:ptCount val="5"/>
                      <c:pt idx="0">
                        <c:v>0.76000000000000045</c:v>
                      </c:pt>
                      <c:pt idx="1">
                        <c:v>0.91000000000000059</c:v>
                      </c:pt>
                      <c:pt idx="2">
                        <c:v>1</c:v>
                      </c:pt>
                      <c:pt idx="3">
                        <c:v>0.85000000000000053</c:v>
                      </c:pt>
                      <c:pt idx="4">
                        <c:v>0.76000000000000045</c:v>
                      </c:pt>
                    </c:numCache>
                  </c:numRef>
                </c:xVal>
                <c:yVal>
                  <c:numRef>
                    <c:extLst xmlns:c15="http://schemas.microsoft.com/office/drawing/2012/chart">
                      <c:ext xmlns:c15="http://schemas.microsoft.com/office/drawing/2012/chart" uri="{02D57815-91ED-43cb-92C2-25804820EDAC}">
                        <c15:formulaRef>
                          <c15:sqref>ChartData!$BB$26:$BB$30</c15:sqref>
                        </c15:formulaRef>
                      </c:ext>
                    </c:extLst>
                    <c:numCache>
                      <c:formatCode>0.000</c:formatCode>
                      <c:ptCount val="5"/>
                      <c:pt idx="0">
                        <c:v>0.15588457268119896</c:v>
                      </c:pt>
                      <c:pt idx="1">
                        <c:v>0.15588457268119896</c:v>
                      </c:pt>
                      <c:pt idx="2">
                        <c:v>0</c:v>
                      </c:pt>
                      <c:pt idx="3">
                        <c:v>0</c:v>
                      </c:pt>
                      <c:pt idx="4">
                        <c:v>0.15588457268119896</c:v>
                      </c:pt>
                    </c:numCache>
                  </c:numRef>
                </c:yVal>
                <c:smooth val="0"/>
                <c:extLst xmlns:c15="http://schemas.microsoft.com/office/drawing/2012/chart">
                  <c:ext xmlns:c16="http://schemas.microsoft.com/office/drawing/2014/chart" uri="{C3380CC4-5D6E-409C-BE32-E72D297353CC}">
                    <c16:uniqueId val="{000000E9-956A-456E-A399-DEEAAAA0A364}"/>
                  </c:ext>
                </c:extLst>
              </c15:ser>
            </c15:filteredScatterSeries>
            <c15:filteredScatterSeries>
              <c15:ser>
                <c:idx val="31"/>
                <c:order val="31"/>
                <c:tx>
                  <c:v>Fine Loamy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ChartData!$BA$34:$BA$38</c15:sqref>
                        </c15:formulaRef>
                      </c:ext>
                    </c:extLst>
                    <c:numCache>
                      <c:formatCode>0.000</c:formatCode>
                      <c:ptCount val="5"/>
                      <c:pt idx="0">
                        <c:v>0.17500000000000002</c:v>
                      </c:pt>
                      <c:pt idx="1">
                        <c:v>0.67500000000000038</c:v>
                      </c:pt>
                      <c:pt idx="2">
                        <c:v>0.76000000000000045</c:v>
                      </c:pt>
                      <c:pt idx="3">
                        <c:v>0.09</c:v>
                      </c:pt>
                      <c:pt idx="4">
                        <c:v>0.17500000000000002</c:v>
                      </c:pt>
                    </c:numCache>
                  </c:numRef>
                </c:xVal>
                <c:yVal>
                  <c:numRef>
                    <c:extLst xmlns:c15="http://schemas.microsoft.com/office/drawing/2012/chart">
                      <c:ext xmlns:c15="http://schemas.microsoft.com/office/drawing/2012/chart" uri="{02D57815-91ED-43cb-92C2-25804820EDAC}">
                        <c15:formulaRef>
                          <c15:sqref>ChartData!$BB$34:$BB$38</c15:sqref>
                        </c15:formulaRef>
                      </c:ext>
                    </c:extLst>
                    <c:numCache>
                      <c:formatCode>0.000</c:formatCode>
                      <c:ptCount val="5"/>
                      <c:pt idx="0">
                        <c:v>0.30310889132455349</c:v>
                      </c:pt>
                      <c:pt idx="1">
                        <c:v>0.30310889132455349</c:v>
                      </c:pt>
                      <c:pt idx="2">
                        <c:v>0.15588457268119896</c:v>
                      </c:pt>
                      <c:pt idx="3">
                        <c:v>0.15588457268119896</c:v>
                      </c:pt>
                      <c:pt idx="4">
                        <c:v>0.30310889132455349</c:v>
                      </c:pt>
                    </c:numCache>
                  </c:numRef>
                </c:yVal>
                <c:smooth val="0"/>
                <c:extLst xmlns:c15="http://schemas.microsoft.com/office/drawing/2012/chart">
                  <c:ext xmlns:c16="http://schemas.microsoft.com/office/drawing/2014/chart" uri="{C3380CC4-5D6E-409C-BE32-E72D297353CC}">
                    <c16:uniqueId val="{000000EA-956A-456E-A399-DEEAAAA0A364}"/>
                  </c:ext>
                </c:extLst>
              </c15:ser>
            </c15:filteredScatterSeries>
            <c15:filteredScatterSeries>
              <c15:ser>
                <c:idx val="32"/>
                <c:order val="32"/>
                <c:tx>
                  <c:v>Coarse Loamy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ChartData!$BA$42:$BA$47</c15:sqref>
                        </c15:formulaRef>
                      </c:ext>
                    </c:extLst>
                    <c:numCache>
                      <c:formatCode>0.000</c:formatCode>
                      <c:ptCount val="6"/>
                      <c:pt idx="0">
                        <c:v>0.09</c:v>
                      </c:pt>
                      <c:pt idx="1">
                        <c:v>0.76000000000000045</c:v>
                      </c:pt>
                      <c:pt idx="2">
                        <c:v>0.85000000000000053</c:v>
                      </c:pt>
                      <c:pt idx="3">
                        <c:v>0.3</c:v>
                      </c:pt>
                      <c:pt idx="4">
                        <c:v>7.4999999999999997E-2</c:v>
                      </c:pt>
                      <c:pt idx="5">
                        <c:v>0.09</c:v>
                      </c:pt>
                    </c:numCache>
                  </c:numRef>
                </c:xVal>
                <c:yVal>
                  <c:numRef>
                    <c:extLst xmlns:c15="http://schemas.microsoft.com/office/drawing/2012/chart">
                      <c:ext xmlns:c15="http://schemas.microsoft.com/office/drawing/2012/chart" uri="{02D57815-91ED-43cb-92C2-25804820EDAC}">
                        <c15:formulaRef>
                          <c15:sqref>ChartData!$BB$42:$BB$47</c15:sqref>
                        </c15:formulaRef>
                      </c:ext>
                    </c:extLst>
                    <c:numCache>
                      <c:formatCode>0.000</c:formatCode>
                      <c:ptCount val="6"/>
                      <c:pt idx="0">
                        <c:v>0.15588457268119896</c:v>
                      </c:pt>
                      <c:pt idx="1">
                        <c:v>0.15588457268119896</c:v>
                      </c:pt>
                      <c:pt idx="2">
                        <c:v>0</c:v>
                      </c:pt>
                      <c:pt idx="3">
                        <c:v>0</c:v>
                      </c:pt>
                      <c:pt idx="4">
                        <c:v>0.12990381056766581</c:v>
                      </c:pt>
                      <c:pt idx="5">
                        <c:v>0.15588457268119896</c:v>
                      </c:pt>
                    </c:numCache>
                  </c:numRef>
                </c:yVal>
                <c:smooth val="0"/>
                <c:extLst xmlns:c15="http://schemas.microsoft.com/office/drawing/2012/chart">
                  <c:ext xmlns:c16="http://schemas.microsoft.com/office/drawing/2014/chart" uri="{C3380CC4-5D6E-409C-BE32-E72D297353CC}">
                    <c16:uniqueId val="{000000EB-956A-456E-A399-DEEAAAA0A364}"/>
                  </c:ext>
                </c:extLst>
              </c15:ser>
            </c15:filteredScatterSeries>
            <c15:filteredScatterSeries>
              <c15:ser>
                <c:idx val="33"/>
                <c:order val="33"/>
                <c:tx>
                  <c:v>Sandy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ChartData!$BA$51:$BA$54</c15:sqref>
                        </c15:formulaRef>
                      </c:ext>
                    </c:extLst>
                    <c:numCache>
                      <c:formatCode>0.000</c:formatCode>
                      <c:ptCount val="4"/>
                      <c:pt idx="0">
                        <c:v>7.4999999999999997E-2</c:v>
                      </c:pt>
                      <c:pt idx="1">
                        <c:v>0.3</c:v>
                      </c:pt>
                      <c:pt idx="2">
                        <c:v>0</c:v>
                      </c:pt>
                      <c:pt idx="3">
                        <c:v>7.4999999999999997E-2</c:v>
                      </c:pt>
                    </c:numCache>
                  </c:numRef>
                </c:xVal>
                <c:yVal>
                  <c:numRef>
                    <c:extLst xmlns:c15="http://schemas.microsoft.com/office/drawing/2012/chart">
                      <c:ext xmlns:c15="http://schemas.microsoft.com/office/drawing/2012/chart" uri="{02D57815-91ED-43cb-92C2-25804820EDAC}">
                        <c15:formulaRef>
                          <c15:sqref>ChartData!$BB$51:$BB$54</c15:sqref>
                        </c15:formulaRef>
                      </c:ext>
                    </c:extLst>
                    <c:numCache>
                      <c:formatCode>0.000</c:formatCode>
                      <c:ptCount val="4"/>
                      <c:pt idx="0">
                        <c:v>0.12990381056766581</c:v>
                      </c:pt>
                      <c:pt idx="1">
                        <c:v>0</c:v>
                      </c:pt>
                      <c:pt idx="2">
                        <c:v>0</c:v>
                      </c:pt>
                      <c:pt idx="3">
                        <c:v>0.12990381056766581</c:v>
                      </c:pt>
                    </c:numCache>
                  </c:numRef>
                </c:yVal>
                <c:smooth val="0"/>
                <c:extLst xmlns:c15="http://schemas.microsoft.com/office/drawing/2012/chart">
                  <c:ext xmlns:c16="http://schemas.microsoft.com/office/drawing/2014/chart" uri="{C3380CC4-5D6E-409C-BE32-E72D297353CC}">
                    <c16:uniqueId val="{000000EC-956A-456E-A399-DEEAAAA0A364}"/>
                  </c:ext>
                </c:extLst>
              </c15:ser>
            </c15:filteredScatterSeries>
          </c:ext>
        </c:extLst>
      </c:scatterChart>
      <c:valAx>
        <c:axId val="340533688"/>
        <c:scaling>
          <c:orientation val="minMax"/>
          <c:max val="1.1000000000000001"/>
          <c:min val="-0.1"/>
        </c:scaling>
        <c:delete val="1"/>
        <c:axPos val="b"/>
        <c:numFmt formatCode="0.000" sourceLinked="1"/>
        <c:majorTickMark val="out"/>
        <c:minorTickMark val="none"/>
        <c:tickLblPos val="nextTo"/>
        <c:crossAx val="340534080"/>
        <c:crosses val="autoZero"/>
        <c:crossBetween val="midCat"/>
      </c:valAx>
      <c:valAx>
        <c:axId val="340534080"/>
        <c:scaling>
          <c:orientation val="minMax"/>
          <c:max val="1.05"/>
          <c:min val="-0.15"/>
        </c:scaling>
        <c:delete val="1"/>
        <c:axPos val="l"/>
        <c:numFmt formatCode="0.000" sourceLinked="1"/>
        <c:majorTickMark val="out"/>
        <c:minorTickMark val="none"/>
        <c:tickLblPos val="nextTo"/>
        <c:crossAx val="340533688"/>
        <c:crosses val="autoZero"/>
        <c:crossBetween val="midCat"/>
      </c:valAx>
      <c:spPr>
        <a:noFill/>
        <a:ln w="12700">
          <a:noFill/>
        </a:ln>
        <a:scene3d>
          <a:camera prst="orthographicFront"/>
          <a:lightRig rig="threePt" dir="t"/>
        </a:scene3d>
      </c:spPr>
    </c:plotArea>
    <c:plotVisOnly val="1"/>
    <c:dispBlanksAs val="gap"/>
    <c:showDLblsOverMax val="0"/>
  </c:chart>
  <c:spPr>
    <a:solidFill>
      <a:srgbClr val="FFFFFF"/>
    </a:solidFill>
    <a:ln w="12700">
      <a:noFill/>
      <a:prstDash val="solid"/>
    </a:ln>
    <a:scene3d>
      <a:camera prst="orthographicFront"/>
      <a:lightRig rig="threePt" dir="t"/>
    </a:scene3d>
    <a:sp3d>
      <a:bevelT prst="angle"/>
    </a:sp3d>
  </c:spPr>
  <c:txPr>
    <a:bodyPr/>
    <a:lstStyle/>
    <a:p>
      <a:pPr>
        <a:defRPr sz="800" b="0" i="0" u="none" strike="noStrike" baseline="0">
          <a:solidFill>
            <a:schemeClr val="tx1"/>
          </a:solidFill>
          <a:latin typeface="Arial"/>
          <a:ea typeface="Arial"/>
          <a:cs typeface="Arial"/>
        </a:defRPr>
      </a:pPr>
      <a:endParaRPr lang="en-BE"/>
    </a:p>
  </c:txPr>
  <c:printSettings>
    <c:headerFooter alignWithMargins="0"/>
    <c:pageMargins b="1" l="0.75" r="0.75" t="1" header="0.5" footer="0.5"/>
    <c:pageSetup paperSize="9" orientation="landscape" horizontalDpi="300" verticalDpi="300"/>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tmp"/></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28575</xdr:colOff>
      <xdr:row>0</xdr:row>
      <xdr:rowOff>38100</xdr:rowOff>
    </xdr:from>
    <xdr:to>
      <xdr:col>2</xdr:col>
      <xdr:colOff>1695450</xdr:colOff>
      <xdr:row>40</xdr:row>
      <xdr:rowOff>0</xdr:rowOff>
    </xdr:to>
    <xdr:graphicFrame macro="">
      <xdr:nvGraphicFramePr>
        <xdr:cNvPr id="7" name="Chart_1">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552651</xdr:colOff>
      <xdr:row>25</xdr:row>
      <xdr:rowOff>136064</xdr:rowOff>
    </xdr:from>
    <xdr:to>
      <xdr:col>0</xdr:col>
      <xdr:colOff>792460</xdr:colOff>
      <xdr:row>31</xdr:row>
      <xdr:rowOff>26077</xdr:rowOff>
    </xdr:to>
    <xdr:sp macro="" textlink="">
      <xdr:nvSpPr>
        <xdr:cNvPr id="1106" name="Percent_Clay_1">
          <a:extLst>
            <a:ext uri="{FF2B5EF4-FFF2-40B4-BE49-F238E27FC236}">
              <a16:creationId xmlns:a16="http://schemas.microsoft.com/office/drawing/2014/main" id="{00000000-0008-0000-0000-000052040000}"/>
            </a:ext>
          </a:extLst>
        </xdr:cNvPr>
        <xdr:cNvSpPr txBox="1"/>
      </xdr:nvSpPr>
      <xdr:spPr>
        <a:xfrm rot="18000000">
          <a:off x="213199" y="4761766"/>
          <a:ext cx="918713"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Clay</a:t>
          </a:r>
        </a:p>
      </xdr:txBody>
    </xdr:sp>
    <xdr:clientData/>
  </xdr:twoCellAnchor>
  <xdr:twoCellAnchor editAs="absolute">
    <xdr:from>
      <xdr:col>1</xdr:col>
      <xdr:colOff>680460</xdr:colOff>
      <xdr:row>7</xdr:row>
      <xdr:rowOff>13604</xdr:rowOff>
    </xdr:from>
    <xdr:to>
      <xdr:col>1</xdr:col>
      <xdr:colOff>920269</xdr:colOff>
      <xdr:row>11</xdr:row>
      <xdr:rowOff>168162</xdr:rowOff>
    </xdr:to>
    <xdr:sp macro="" textlink="">
      <xdr:nvSpPr>
        <xdr:cNvPr id="1107" name="Percent_Silt_1">
          <a:extLst>
            <a:ext uri="{FF2B5EF4-FFF2-40B4-BE49-F238E27FC236}">
              <a16:creationId xmlns:a16="http://schemas.microsoft.com/office/drawing/2014/main" id="{00000000-0008-0000-0000-000053040000}"/>
            </a:ext>
          </a:extLst>
        </xdr:cNvPr>
        <xdr:cNvSpPr txBox="1"/>
      </xdr:nvSpPr>
      <xdr:spPr>
        <a:xfrm rot="3600000">
          <a:off x="3799661" y="1514028"/>
          <a:ext cx="840358"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Silt</a:t>
          </a:r>
        </a:p>
      </xdr:txBody>
    </xdr:sp>
    <xdr:clientData/>
  </xdr:twoCellAnchor>
  <xdr:twoCellAnchor editAs="absolute">
    <xdr:from>
      <xdr:col>1</xdr:col>
      <xdr:colOff>1537005</xdr:colOff>
      <xdr:row>36</xdr:row>
      <xdr:rowOff>127671</xdr:rowOff>
    </xdr:from>
    <xdr:to>
      <xdr:col>2</xdr:col>
      <xdr:colOff>765129</xdr:colOff>
      <xdr:row>38</xdr:row>
      <xdr:rowOff>24580</xdr:rowOff>
    </xdr:to>
    <xdr:sp macro="" textlink="">
      <xdr:nvSpPr>
        <xdr:cNvPr id="1108" name="Percent_Sand_1">
          <a:extLst>
            <a:ext uri="{FF2B5EF4-FFF2-40B4-BE49-F238E27FC236}">
              <a16:creationId xmlns:a16="http://schemas.microsoft.com/office/drawing/2014/main" id="{00000000-0008-0000-0000-000054040000}"/>
            </a:ext>
          </a:extLst>
        </xdr:cNvPr>
        <xdr:cNvSpPr txBox="1"/>
      </xdr:nvSpPr>
      <xdr:spPr>
        <a:xfrm>
          <a:off x="4956480" y="6299871"/>
          <a:ext cx="961674"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Sand</a:t>
          </a:r>
        </a:p>
      </xdr:txBody>
    </xdr:sp>
    <xdr:clientData/>
  </xdr:twoCellAnchor>
  <xdr:twoCellAnchor editAs="absolute">
    <xdr:from>
      <xdr:col>0</xdr:col>
      <xdr:colOff>884382</xdr:colOff>
      <xdr:row>23</xdr:row>
      <xdr:rowOff>161924</xdr:rowOff>
    </xdr:from>
    <xdr:to>
      <xdr:col>0</xdr:col>
      <xdr:colOff>1123949</xdr:colOff>
      <xdr:row>26</xdr:row>
      <xdr:rowOff>104774</xdr:rowOff>
    </xdr:to>
    <xdr:cxnSp macro="">
      <xdr:nvCxnSpPr>
        <xdr:cNvPr id="1112" name="Clay_Arrow_Connector_1">
          <a:extLst>
            <a:ext uri="{FF2B5EF4-FFF2-40B4-BE49-F238E27FC236}">
              <a16:creationId xmlns:a16="http://schemas.microsoft.com/office/drawing/2014/main" id="{00000000-0008-0000-0000-000058040000}"/>
            </a:ext>
          </a:extLst>
        </xdr:cNvPr>
        <xdr:cNvCxnSpPr/>
      </xdr:nvCxnSpPr>
      <xdr:spPr>
        <a:xfrm rot="21720000" flipV="1">
          <a:off x="884382" y="4105274"/>
          <a:ext cx="239567" cy="45720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209549</xdr:colOff>
      <xdr:row>30</xdr:row>
      <xdr:rowOff>103731</xdr:rowOff>
    </xdr:from>
    <xdr:to>
      <xdr:col>0</xdr:col>
      <xdr:colOff>447639</xdr:colOff>
      <xdr:row>33</xdr:row>
      <xdr:rowOff>46581</xdr:rowOff>
    </xdr:to>
    <xdr:cxnSp macro="">
      <xdr:nvCxnSpPr>
        <xdr:cNvPr id="1114" name="Clay_Connector_1">
          <a:extLst>
            <a:ext uri="{FF2B5EF4-FFF2-40B4-BE49-F238E27FC236}">
              <a16:creationId xmlns:a16="http://schemas.microsoft.com/office/drawing/2014/main" id="{00000000-0008-0000-0000-00005A040000}"/>
            </a:ext>
          </a:extLst>
        </xdr:cNvPr>
        <xdr:cNvCxnSpPr/>
      </xdr:nvCxnSpPr>
      <xdr:spPr>
        <a:xfrm rot="21720000" flipV="1">
          <a:off x="209549" y="5247231"/>
          <a:ext cx="238090" cy="45720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1105040</xdr:colOff>
      <xdr:row>11</xdr:row>
      <xdr:rowOff>41659</xdr:rowOff>
    </xdr:from>
    <xdr:to>
      <xdr:col>1</xdr:col>
      <xdr:colOff>1105040</xdr:colOff>
      <xdr:row>13</xdr:row>
      <xdr:rowOff>155959</xdr:rowOff>
    </xdr:to>
    <xdr:cxnSp macro="">
      <xdr:nvCxnSpPr>
        <xdr:cNvPr id="1116" name="Silt_Arrow_Connector_1">
          <a:extLst>
            <a:ext uri="{FF2B5EF4-FFF2-40B4-BE49-F238E27FC236}">
              <a16:creationId xmlns:a16="http://schemas.microsoft.com/office/drawing/2014/main" id="{00000000-0008-0000-0000-00005C040000}"/>
            </a:ext>
          </a:extLst>
        </xdr:cNvPr>
        <xdr:cNvCxnSpPr/>
      </xdr:nvCxnSpPr>
      <xdr:spPr>
        <a:xfrm rot="3600000">
          <a:off x="4295915" y="2156209"/>
          <a:ext cx="457200" cy="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481742</xdr:colOff>
      <xdr:row>5</xdr:row>
      <xdr:rowOff>6594</xdr:rowOff>
    </xdr:from>
    <xdr:to>
      <xdr:col>1</xdr:col>
      <xdr:colOff>481742</xdr:colOff>
      <xdr:row>7</xdr:row>
      <xdr:rowOff>120894</xdr:rowOff>
    </xdr:to>
    <xdr:cxnSp macro="">
      <xdr:nvCxnSpPr>
        <xdr:cNvPr id="1118" name="Silt_Connector_1">
          <a:extLst>
            <a:ext uri="{FF2B5EF4-FFF2-40B4-BE49-F238E27FC236}">
              <a16:creationId xmlns:a16="http://schemas.microsoft.com/office/drawing/2014/main" id="{00000000-0008-0000-0000-00005E040000}"/>
            </a:ext>
          </a:extLst>
        </xdr:cNvPr>
        <xdr:cNvCxnSpPr/>
      </xdr:nvCxnSpPr>
      <xdr:spPr>
        <a:xfrm rot="3600000">
          <a:off x="3672617" y="1092444"/>
          <a:ext cx="457200" cy="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1141535</xdr:colOff>
      <xdr:row>37</xdr:row>
      <xdr:rowOff>71620</xdr:rowOff>
    </xdr:from>
    <xdr:to>
      <xdr:col>1</xdr:col>
      <xdr:colOff>1598735</xdr:colOff>
      <xdr:row>37</xdr:row>
      <xdr:rowOff>71620</xdr:rowOff>
    </xdr:to>
    <xdr:cxnSp macro="">
      <xdr:nvCxnSpPr>
        <xdr:cNvPr id="1120" name="Sand_Arrow_Connector_1">
          <a:extLst>
            <a:ext uri="{FF2B5EF4-FFF2-40B4-BE49-F238E27FC236}">
              <a16:creationId xmlns:a16="http://schemas.microsoft.com/office/drawing/2014/main" id="{00000000-0008-0000-0000-000060040000}"/>
            </a:ext>
          </a:extLst>
        </xdr:cNvPr>
        <xdr:cNvCxnSpPr/>
      </xdr:nvCxnSpPr>
      <xdr:spPr>
        <a:xfrm flipH="1">
          <a:off x="4561010" y="6415270"/>
          <a:ext cx="457200" cy="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703385</xdr:colOff>
      <xdr:row>37</xdr:row>
      <xdr:rowOff>81145</xdr:rowOff>
    </xdr:from>
    <xdr:to>
      <xdr:col>2</xdr:col>
      <xdr:colOff>1160585</xdr:colOff>
      <xdr:row>37</xdr:row>
      <xdr:rowOff>85725</xdr:rowOff>
    </xdr:to>
    <xdr:cxnSp macro="">
      <xdr:nvCxnSpPr>
        <xdr:cNvPr id="1122" name="Sand_Connector_1">
          <a:extLst>
            <a:ext uri="{FF2B5EF4-FFF2-40B4-BE49-F238E27FC236}">
              <a16:creationId xmlns:a16="http://schemas.microsoft.com/office/drawing/2014/main" id="{00000000-0008-0000-0000-000062040000}"/>
            </a:ext>
          </a:extLst>
        </xdr:cNvPr>
        <xdr:cNvCxnSpPr/>
      </xdr:nvCxnSpPr>
      <xdr:spPr>
        <a:xfrm>
          <a:off x="5856410" y="6424795"/>
          <a:ext cx="457200" cy="458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161923</xdr:colOff>
      <xdr:row>0</xdr:row>
      <xdr:rowOff>152425</xdr:rowOff>
    </xdr:from>
    <xdr:ext cx="6553201" cy="298800"/>
    <xdr:sp macro="" textlink="">
      <xdr:nvSpPr>
        <xdr:cNvPr id="1123" name="Triangle_chart_title">
          <a:extLst>
            <a:ext uri="{FF2B5EF4-FFF2-40B4-BE49-F238E27FC236}">
              <a16:creationId xmlns:a16="http://schemas.microsoft.com/office/drawing/2014/main" id="{00000000-0008-0000-0000-000063040000}"/>
            </a:ext>
          </a:extLst>
        </xdr:cNvPr>
        <xdr:cNvSpPr txBox="1"/>
      </xdr:nvSpPr>
      <xdr:spPr>
        <a:xfrm>
          <a:off x="161923" y="152425"/>
          <a:ext cx="6553201"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latin typeface="Arial" panose="020B0604020202020204" pitchFamily="34" charset="0"/>
              <a:cs typeface="Arial" panose="020B0604020202020204" pitchFamily="34" charset="0"/>
            </a:rPr>
            <a:t>MultiPointTriangle </a:t>
          </a:r>
          <a:r>
            <a:rPr lang="en-US" sz="1000">
              <a:latin typeface="Arial" panose="020B0604020202020204" pitchFamily="34" charset="0"/>
              <a:cs typeface="Arial" panose="020B0604020202020204" pitchFamily="34" charset="0"/>
            </a:rPr>
            <a:t>(v1</a:t>
          </a:r>
          <a:r>
            <a:rPr lang="en-US" sz="1000" baseline="0">
              <a:latin typeface="Arial" panose="020B0604020202020204" pitchFamily="34" charset="0"/>
              <a:cs typeface="Arial" panose="020B0604020202020204" pitchFamily="34" charset="0"/>
            </a:rPr>
            <a:t>)</a:t>
          </a:r>
          <a:endParaRPr lang="en-US" sz="1000">
            <a:latin typeface="Arial" panose="020B0604020202020204" pitchFamily="34" charset="0"/>
            <a:cs typeface="Arial" panose="020B0604020202020204" pitchFamily="34" charset="0"/>
          </a:endParaRPr>
        </a:p>
      </xdr:txBody>
    </xdr:sp>
    <xdr:clientData/>
  </xdr:oneCellAnchor>
  <xdr:twoCellAnchor editAs="absolute">
    <xdr:from>
      <xdr:col>1</xdr:col>
      <xdr:colOff>238126</xdr:colOff>
      <xdr:row>3</xdr:row>
      <xdr:rowOff>133349</xdr:rowOff>
    </xdr:from>
    <xdr:to>
      <xdr:col>2</xdr:col>
      <xdr:colOff>699136</xdr:colOff>
      <xdr:row>5</xdr:row>
      <xdr:rowOff>64769</xdr:rowOff>
    </xdr:to>
    <xdr:sp macro="" textlink="#REF!">
      <xdr:nvSpPr>
        <xdr:cNvPr id="28" name="LS_Error_TB">
          <a:extLst>
            <a:ext uri="{FF2B5EF4-FFF2-40B4-BE49-F238E27FC236}">
              <a16:creationId xmlns:a16="http://schemas.microsoft.com/office/drawing/2014/main" id="{00000000-0008-0000-0000-00001C000000}"/>
            </a:ext>
          </a:extLst>
        </xdr:cNvPr>
        <xdr:cNvSpPr txBox="1"/>
      </xdr:nvSpPr>
      <xdr:spPr>
        <a:xfrm>
          <a:off x="3657601" y="647699"/>
          <a:ext cx="219456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2428ED0-A3AC-4791-A109-9D4A8E2993D1}" type="TxLink">
            <a:rPr lang="en-US" sz="800" b="0" i="0" u="none" strike="noStrike">
              <a:solidFill>
                <a:srgbClr val="FF0000"/>
              </a:solidFill>
              <a:latin typeface="Arial"/>
              <a:cs typeface="Arial"/>
            </a:rPr>
            <a:pPr algn="l"/>
            <a:t> </a:t>
          </a:fld>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37</xdr:row>
          <xdr:rowOff>28575</xdr:rowOff>
        </xdr:from>
        <xdr:to>
          <xdr:col>6</xdr:col>
          <xdr:colOff>1200150</xdr:colOff>
          <xdr:row>38</xdr:row>
          <xdr:rowOff>161925</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37</xdr:row>
          <xdr:rowOff>28575</xdr:rowOff>
        </xdr:from>
        <xdr:to>
          <xdr:col>6</xdr:col>
          <xdr:colOff>104775</xdr:colOff>
          <xdr:row>38</xdr:row>
          <xdr:rowOff>161925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1438275</xdr:colOff>
          <xdr:row>37</xdr:row>
          <xdr:rowOff>28575</xdr:rowOff>
        </xdr:from>
        <xdr:to>
          <xdr:col>8</xdr:col>
          <xdr:colOff>0</xdr:colOff>
          <xdr:row>38</xdr:row>
          <xdr:rowOff>152400</xdr:rowOff>
        </xdr:to>
        <xdr:sp macro="" textlink="">
          <xdr:nvSpPr>
            <xdr:cNvPr id="1028" name="CommandButton3"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0.02441</cdr:x>
      <cdr:y>0.32389</cdr:y>
    </cdr:from>
    <cdr:to>
      <cdr:x>0.18066</cdr:x>
      <cdr:y>0.36458</cdr:y>
    </cdr:to>
    <cdr:sp macro="" textlink="">
      <cdr:nvSpPr>
        <cdr:cNvPr id="2" name="TextBox 1"/>
        <cdr:cNvSpPr txBox="1"/>
      </cdr:nvSpPr>
      <cdr:spPr>
        <a:xfrm xmlns:a="http://schemas.openxmlformats.org/drawingml/2006/main">
          <a:off x="142875" y="1895475"/>
          <a:ext cx="914400" cy="2381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8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0.01302</cdr:x>
      <cdr:y>0.03092</cdr:y>
    </cdr:from>
    <cdr:to>
      <cdr:x>0.35649</cdr:x>
      <cdr:y>0.30114</cdr:y>
    </cdr:to>
    <cdr:pic>
      <cdr:nvPicPr>
        <cdr:cNvPr id="5" name="Picture 4">
          <a:extLst xmlns:a="http://schemas.openxmlformats.org/drawingml/2006/main">
            <a:ext uri="{FF2B5EF4-FFF2-40B4-BE49-F238E27FC236}">
              <a16:creationId xmlns:a16="http://schemas.microsoft.com/office/drawing/2014/main" id="{4F5CAD69-D903-4BA4-B706-2F1CE64C03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76200" y="180975"/>
          <a:ext cx="2010056" cy="1581371"/>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mailto:mark.vanlear@usda.gov" TargetMode="External"/><Relationship Id="rId1" Type="http://schemas.openxmlformats.org/officeDocument/2006/relationships/hyperlink" Target="mailto:mark.vanlear@usda.gov"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5255"/>
  <sheetViews>
    <sheetView showGridLines="0" showRowColHeaders="0" tabSelected="1" zoomScaleNormal="100" workbookViewId="0">
      <selection activeCell="N27" sqref="N27"/>
    </sheetView>
  </sheetViews>
  <sheetFormatPr defaultColWidth="9.140625" defaultRowHeight="12" customHeight="1" x14ac:dyDescent="0.2"/>
  <cols>
    <col min="1" max="1" width="51.28515625" style="32" customWidth="1"/>
    <col min="2" max="3" width="26" style="32" customWidth="1"/>
    <col min="4" max="4" width="1.7109375" style="47" customWidth="1"/>
    <col min="5" max="5" width="10.7109375" style="47" customWidth="1"/>
    <col min="6" max="6" width="1.7109375" style="47" customWidth="1"/>
    <col min="7" max="7" width="23.85546875" style="48" customWidth="1"/>
    <col min="8" max="8" width="10.140625" style="47" customWidth="1"/>
    <col min="9" max="9" width="1.7109375" style="32" customWidth="1"/>
    <col min="10" max="10" width="6.7109375" style="32" customWidth="1"/>
    <col min="11" max="20" width="7.7109375" style="32" customWidth="1"/>
    <col min="21" max="21" width="28.7109375" style="32" customWidth="1"/>
    <col min="22" max="42" width="9.140625" style="32"/>
    <col min="43" max="43" width="9.140625" style="6"/>
    <col min="44" max="16384" width="9.140625" style="32"/>
  </cols>
  <sheetData>
    <row r="1" spans="3:43" ht="14.1" customHeight="1" x14ac:dyDescent="0.2">
      <c r="I1" s="54"/>
      <c r="V1" s="54"/>
      <c r="W1" s="54"/>
      <c r="X1" s="54"/>
      <c r="Y1" s="54"/>
      <c r="Z1" s="54"/>
      <c r="AA1" s="54"/>
      <c r="AB1" s="6"/>
      <c r="AQ1" s="32"/>
    </row>
    <row r="2" spans="3:43" ht="14.1" customHeight="1" x14ac:dyDescent="0.2">
      <c r="E2" s="92" t="s">
        <v>171</v>
      </c>
      <c r="F2" s="93"/>
      <c r="G2" s="93"/>
      <c r="H2" s="93"/>
      <c r="I2" s="54"/>
      <c r="J2" s="72" t="s">
        <v>173</v>
      </c>
      <c r="K2" s="72" t="s">
        <v>20</v>
      </c>
      <c r="L2" s="72" t="s">
        <v>31</v>
      </c>
      <c r="M2" s="72" t="s">
        <v>30</v>
      </c>
      <c r="N2" s="72" t="s">
        <v>175</v>
      </c>
      <c r="O2" s="72" t="s">
        <v>176</v>
      </c>
      <c r="P2" s="72" t="s">
        <v>177</v>
      </c>
      <c r="Q2" s="72" t="s">
        <v>50</v>
      </c>
      <c r="R2" s="72" t="s">
        <v>51</v>
      </c>
      <c r="S2" s="72" t="s">
        <v>3</v>
      </c>
      <c r="T2" s="72" t="s">
        <v>4</v>
      </c>
      <c r="U2" s="72" t="s">
        <v>174</v>
      </c>
      <c r="V2" s="54"/>
      <c r="W2" s="54"/>
      <c r="X2" s="54"/>
      <c r="Y2" s="54"/>
      <c r="Z2" s="54"/>
      <c r="AA2" s="54"/>
      <c r="AB2" s="6"/>
      <c r="AQ2" s="32"/>
    </row>
    <row r="3" spans="3:43" ht="14.1" customHeight="1" x14ac:dyDescent="0.2">
      <c r="E3" s="94"/>
      <c r="F3" s="94"/>
      <c r="G3" s="94"/>
      <c r="H3" s="94"/>
      <c r="J3" s="86">
        <v>1</v>
      </c>
      <c r="K3" s="87">
        <v>1</v>
      </c>
      <c r="L3" s="88">
        <v>0</v>
      </c>
      <c r="M3" s="88">
        <v>0</v>
      </c>
      <c r="N3" s="88"/>
      <c r="O3" s="88"/>
      <c r="P3" s="88"/>
      <c r="Q3" s="88"/>
      <c r="R3" s="88"/>
      <c r="S3" s="89">
        <v>0</v>
      </c>
      <c r="T3" s="89">
        <v>0</v>
      </c>
      <c r="U3" s="89" t="s">
        <v>67</v>
      </c>
      <c r="V3" s="54"/>
      <c r="W3" s="54"/>
      <c r="X3" s="54"/>
      <c r="Y3" s="54"/>
      <c r="Z3" s="54"/>
      <c r="AA3" s="54"/>
      <c r="AB3" s="6"/>
      <c r="AQ3" s="32"/>
    </row>
    <row r="4" spans="3:43" ht="14.1" customHeight="1" x14ac:dyDescent="0.2">
      <c r="E4" s="94"/>
      <c r="F4" s="94"/>
      <c r="G4" s="94"/>
      <c r="H4" s="94"/>
      <c r="J4" s="86">
        <v>2</v>
      </c>
      <c r="K4" s="90">
        <v>0.71899999999999997</v>
      </c>
      <c r="L4" s="90">
        <v>3.2000000000000001E-2</v>
      </c>
      <c r="M4" s="90">
        <v>0.24900000000000003</v>
      </c>
      <c r="N4" s="90"/>
      <c r="O4" s="90"/>
      <c r="P4" s="90"/>
      <c r="Q4" s="90"/>
      <c r="R4" s="90"/>
      <c r="S4" s="91">
        <v>0.26500000000000001</v>
      </c>
      <c r="T4" s="91">
        <v>2.7712812921102035E-2</v>
      </c>
      <c r="U4" s="91" t="s">
        <v>71</v>
      </c>
      <c r="AB4" s="6"/>
      <c r="AQ4" s="32"/>
    </row>
    <row r="5" spans="3:43" ht="14.1" customHeight="1" x14ac:dyDescent="0.2">
      <c r="E5" s="94"/>
      <c r="F5" s="94"/>
      <c r="G5" s="94"/>
      <c r="H5" s="94"/>
      <c r="J5" s="86">
        <v>3</v>
      </c>
      <c r="K5" s="90">
        <v>0.66500000000000004</v>
      </c>
      <c r="L5" s="90">
        <v>5.2999999999999999E-2</v>
      </c>
      <c r="M5" s="90">
        <v>0.28199999999999997</v>
      </c>
      <c r="N5" s="90"/>
      <c r="O5" s="90"/>
      <c r="P5" s="90"/>
      <c r="Q5" s="90"/>
      <c r="R5" s="90"/>
      <c r="S5" s="91">
        <v>0.3085</v>
      </c>
      <c r="T5" s="91">
        <v>4.5899346400575247E-2</v>
      </c>
      <c r="U5" s="91" t="s">
        <v>71</v>
      </c>
      <c r="AB5" s="6"/>
      <c r="AQ5" s="32"/>
    </row>
    <row r="6" spans="3:43" ht="14.1" customHeight="1" x14ac:dyDescent="0.2">
      <c r="E6" s="94"/>
      <c r="F6" s="94"/>
      <c r="G6" s="94"/>
      <c r="H6" s="94"/>
      <c r="J6" s="86">
        <v>4</v>
      </c>
      <c r="K6" s="90">
        <v>0.61199999999999999</v>
      </c>
      <c r="L6" s="90">
        <v>5.0999999999999997E-2</v>
      </c>
      <c r="M6" s="90">
        <v>0.33700000000000002</v>
      </c>
      <c r="N6" s="90"/>
      <c r="O6" s="90"/>
      <c r="P6" s="90"/>
      <c r="Q6" s="90"/>
      <c r="R6" s="90"/>
      <c r="S6" s="91">
        <v>0.36250000000000004</v>
      </c>
      <c r="T6" s="91">
        <v>4.4167295593006368E-2</v>
      </c>
      <c r="U6" s="91" t="s">
        <v>71</v>
      </c>
      <c r="AB6" s="6"/>
      <c r="AQ6" s="32"/>
    </row>
    <row r="7" spans="3:43" ht="14.1" customHeight="1" x14ac:dyDescent="0.2">
      <c r="E7" s="94"/>
      <c r="F7" s="94"/>
      <c r="G7" s="94"/>
      <c r="H7" s="94"/>
      <c r="J7" s="86">
        <v>5</v>
      </c>
      <c r="K7" s="90">
        <v>0.56799999999999995</v>
      </c>
      <c r="L7" s="90">
        <v>7.5999999999999998E-2</v>
      </c>
      <c r="M7" s="90">
        <v>0.35600000000000004</v>
      </c>
      <c r="N7" s="90"/>
      <c r="O7" s="90"/>
      <c r="P7" s="90"/>
      <c r="Q7" s="90"/>
      <c r="R7" s="90"/>
      <c r="S7" s="91">
        <v>0.39400000000000002</v>
      </c>
      <c r="T7" s="91">
        <v>6.5817930687617335E-2</v>
      </c>
      <c r="U7" s="91" t="s">
        <v>71</v>
      </c>
      <c r="AB7" s="6"/>
      <c r="AQ7" s="32"/>
    </row>
    <row r="8" spans="3:43" ht="14.1" customHeight="1" x14ac:dyDescent="0.2">
      <c r="J8" s="86">
        <v>6</v>
      </c>
      <c r="K8" s="90">
        <v>0.47399999999999998</v>
      </c>
      <c r="L8" s="90">
        <v>0.24099999999999999</v>
      </c>
      <c r="M8" s="90">
        <v>0.28500000000000003</v>
      </c>
      <c r="N8" s="90"/>
      <c r="O8" s="90"/>
      <c r="P8" s="90"/>
      <c r="Q8" s="90"/>
      <c r="R8" s="90"/>
      <c r="S8" s="91">
        <v>0.40550000000000003</v>
      </c>
      <c r="T8" s="91">
        <v>0.20871212231204969</v>
      </c>
      <c r="U8" s="91" t="s">
        <v>73</v>
      </c>
      <c r="AB8" s="6"/>
      <c r="AQ8" s="32"/>
    </row>
    <row r="9" spans="3:43" ht="14.1" customHeight="1" x14ac:dyDescent="0.2">
      <c r="E9" s="96" t="s">
        <v>120</v>
      </c>
      <c r="F9" s="74"/>
      <c r="G9" s="75" t="s">
        <v>57</v>
      </c>
      <c r="H9" s="76">
        <v>0.4</v>
      </c>
      <c r="J9" s="86">
        <v>7</v>
      </c>
      <c r="K9" s="90">
        <v>0.21</v>
      </c>
      <c r="L9" s="90">
        <v>0.13</v>
      </c>
      <c r="M9" s="90">
        <v>0.66</v>
      </c>
      <c r="N9" s="90"/>
      <c r="O9" s="90"/>
      <c r="P9" s="90"/>
      <c r="Q9" s="90"/>
      <c r="R9" s="90"/>
      <c r="S9" s="91">
        <v>0.72500000000000009</v>
      </c>
      <c r="T9" s="91">
        <v>0.11258330249197702</v>
      </c>
      <c r="U9" s="91" t="s">
        <v>75</v>
      </c>
      <c r="AB9" s="6"/>
      <c r="AQ9" s="32"/>
    </row>
    <row r="10" spans="3:43" ht="14.1" customHeight="1" x14ac:dyDescent="0.2">
      <c r="E10" s="97"/>
      <c r="F10" s="74"/>
      <c r="G10" s="75"/>
      <c r="H10" s="73"/>
      <c r="J10" s="86">
        <v>8</v>
      </c>
      <c r="K10" s="90"/>
      <c r="L10" s="90"/>
      <c r="M10" s="90"/>
      <c r="N10" s="90"/>
      <c r="O10" s="90"/>
      <c r="P10" s="90"/>
      <c r="Q10" s="90"/>
      <c r="R10" s="90"/>
      <c r="S10" s="91"/>
      <c r="T10" s="91"/>
      <c r="U10" s="91"/>
      <c r="AB10" s="6"/>
      <c r="AQ10" s="32"/>
    </row>
    <row r="11" spans="3:43" ht="14.1" customHeight="1" x14ac:dyDescent="0.2">
      <c r="E11" s="97"/>
      <c r="F11" s="74"/>
      <c r="G11" s="77" t="s">
        <v>59</v>
      </c>
      <c r="H11" s="76">
        <v>0.08</v>
      </c>
      <c r="J11" s="86">
        <v>9</v>
      </c>
      <c r="K11" s="90"/>
      <c r="L11" s="90"/>
      <c r="M11" s="90"/>
      <c r="N11" s="90"/>
      <c r="O11" s="90"/>
      <c r="P11" s="90"/>
      <c r="Q11" s="90"/>
      <c r="R11" s="90"/>
      <c r="S11" s="91"/>
      <c r="T11" s="91"/>
      <c r="U11" s="91"/>
      <c r="AQ11" s="32"/>
    </row>
    <row r="12" spans="3:43" ht="14.1" customHeight="1" x14ac:dyDescent="0.2">
      <c r="E12" s="97"/>
      <c r="F12" s="74"/>
      <c r="G12" s="77"/>
      <c r="H12" s="78"/>
      <c r="J12" s="86">
        <v>10</v>
      </c>
      <c r="K12" s="90"/>
      <c r="L12" s="90"/>
      <c r="M12" s="90"/>
      <c r="N12" s="90"/>
      <c r="O12" s="90"/>
      <c r="P12" s="90"/>
      <c r="Q12" s="90"/>
      <c r="R12" s="90"/>
      <c r="S12" s="91"/>
      <c r="T12" s="91"/>
      <c r="U12" s="91"/>
      <c r="AQ12" s="32"/>
    </row>
    <row r="13" spans="3:43" ht="14.1" customHeight="1" x14ac:dyDescent="0.2">
      <c r="E13" s="97"/>
      <c r="F13" s="74"/>
      <c r="G13" s="77" t="s">
        <v>58</v>
      </c>
      <c r="H13" s="79">
        <f>IF(H9+H11&gt;1, "ERROR",1-H9-H11)</f>
        <v>0.52</v>
      </c>
      <c r="J13" s="86">
        <v>11</v>
      </c>
      <c r="K13" s="90"/>
      <c r="L13" s="90"/>
      <c r="M13" s="90"/>
      <c r="N13" s="90"/>
      <c r="O13" s="90"/>
      <c r="P13" s="90"/>
      <c r="Q13" s="90"/>
      <c r="R13" s="90"/>
      <c r="S13" s="91"/>
      <c r="T13" s="91"/>
      <c r="U13" s="91"/>
      <c r="AQ13" s="32"/>
    </row>
    <row r="14" spans="3:43" ht="14.1" customHeight="1" x14ac:dyDescent="0.2">
      <c r="G14" s="66"/>
      <c r="H14" s="67"/>
      <c r="J14" s="86">
        <v>12</v>
      </c>
      <c r="K14" s="90"/>
      <c r="L14" s="90"/>
      <c r="M14" s="90"/>
      <c r="N14" s="90"/>
      <c r="O14" s="90"/>
      <c r="P14" s="90"/>
      <c r="Q14" s="90"/>
      <c r="R14" s="90"/>
      <c r="S14" s="91"/>
      <c r="T14" s="91"/>
      <c r="U14" s="91"/>
      <c r="AQ14" s="32"/>
    </row>
    <row r="15" spans="3:43" ht="14.1" customHeight="1" x14ac:dyDescent="0.2">
      <c r="E15" s="95"/>
      <c r="F15" s="95"/>
      <c r="G15" s="95"/>
      <c r="H15" s="95"/>
      <c r="J15" s="86">
        <v>13</v>
      </c>
      <c r="K15" s="90"/>
      <c r="L15" s="90"/>
      <c r="M15" s="90"/>
      <c r="N15" s="90"/>
      <c r="O15" s="90"/>
      <c r="P15" s="90"/>
      <c r="Q15" s="90"/>
      <c r="R15" s="90"/>
      <c r="S15" s="91"/>
      <c r="T15" s="91"/>
      <c r="U15" s="91"/>
      <c r="AQ15" s="32"/>
    </row>
    <row r="16" spans="3:43" ht="14.1" customHeight="1" x14ac:dyDescent="0.2">
      <c r="C16" s="49"/>
      <c r="D16" s="50"/>
      <c r="G16" s="66"/>
      <c r="H16" s="67"/>
      <c r="J16" s="86">
        <v>14</v>
      </c>
      <c r="K16" s="90"/>
      <c r="L16" s="90"/>
      <c r="M16" s="90"/>
      <c r="N16" s="90"/>
      <c r="O16" s="90"/>
      <c r="P16" s="90"/>
      <c r="Q16" s="90"/>
      <c r="R16" s="90"/>
      <c r="S16" s="91"/>
      <c r="T16" s="91"/>
      <c r="U16" s="91"/>
      <c r="AQ16" s="32"/>
    </row>
    <row r="17" spans="3:43" ht="14.1" customHeight="1" x14ac:dyDescent="0.2">
      <c r="C17" s="49"/>
      <c r="D17" s="50"/>
      <c r="E17" s="96" t="s">
        <v>122</v>
      </c>
      <c r="F17" s="80"/>
      <c r="G17" s="81" t="s">
        <v>121</v>
      </c>
      <c r="H17" s="76"/>
      <c r="J17" s="86">
        <v>15</v>
      </c>
      <c r="K17" s="90"/>
      <c r="L17" s="90"/>
      <c r="M17" s="90"/>
      <c r="N17" s="90"/>
      <c r="O17" s="90"/>
      <c r="P17" s="90"/>
      <c r="Q17" s="90"/>
      <c r="R17" s="90"/>
      <c r="S17" s="91"/>
      <c r="T17" s="91"/>
      <c r="U17" s="91"/>
      <c r="AQ17" s="32"/>
    </row>
    <row r="18" spans="3:43" ht="14.1" customHeight="1" x14ac:dyDescent="0.2">
      <c r="C18" s="49"/>
      <c r="D18" s="50"/>
      <c r="E18" s="97"/>
      <c r="F18" s="80"/>
      <c r="G18" s="81"/>
      <c r="H18" s="80"/>
      <c r="J18" s="86">
        <v>16</v>
      </c>
      <c r="K18" s="90"/>
      <c r="L18" s="90"/>
      <c r="M18" s="90"/>
      <c r="N18" s="90"/>
      <c r="O18" s="90"/>
      <c r="P18" s="90"/>
      <c r="Q18" s="90"/>
      <c r="R18" s="90"/>
      <c r="S18" s="91"/>
      <c r="T18" s="91"/>
      <c r="U18" s="91"/>
      <c r="AQ18" s="32"/>
    </row>
    <row r="19" spans="3:43" ht="14.1" customHeight="1" x14ac:dyDescent="0.2">
      <c r="C19" s="49"/>
      <c r="D19" s="50"/>
      <c r="E19" s="97"/>
      <c r="F19" s="80"/>
      <c r="G19" s="82" t="s">
        <v>60</v>
      </c>
      <c r="H19" s="76"/>
      <c r="J19" s="86">
        <v>17</v>
      </c>
      <c r="K19" s="90"/>
      <c r="L19" s="90"/>
      <c r="M19" s="90"/>
      <c r="N19" s="90"/>
      <c r="O19" s="90"/>
      <c r="P19" s="90"/>
      <c r="Q19" s="90"/>
      <c r="R19" s="90"/>
      <c r="S19" s="91"/>
      <c r="T19" s="91"/>
      <c r="U19" s="91"/>
      <c r="AQ19" s="32"/>
    </row>
    <row r="20" spans="3:43" ht="14.1" customHeight="1" x14ac:dyDescent="0.2">
      <c r="C20" s="49"/>
      <c r="D20" s="50"/>
      <c r="E20" s="97"/>
      <c r="F20" s="80"/>
      <c r="G20" s="82"/>
      <c r="H20" s="73"/>
      <c r="J20" s="86">
        <v>18</v>
      </c>
      <c r="K20" s="90"/>
      <c r="L20" s="90"/>
      <c r="M20" s="90"/>
      <c r="N20" s="90"/>
      <c r="O20" s="90"/>
      <c r="P20" s="90"/>
      <c r="Q20" s="90"/>
      <c r="R20" s="90"/>
      <c r="S20" s="91"/>
      <c r="T20" s="91"/>
      <c r="U20" s="91"/>
      <c r="AQ20" s="32"/>
    </row>
    <row r="21" spans="3:43" ht="14.1" customHeight="1" x14ac:dyDescent="0.2">
      <c r="C21" s="49"/>
      <c r="D21" s="50"/>
      <c r="E21" s="97"/>
      <c r="F21" s="80"/>
      <c r="G21" s="82" t="s">
        <v>61</v>
      </c>
      <c r="H21" s="76"/>
      <c r="J21" s="86">
        <v>19</v>
      </c>
      <c r="K21" s="90"/>
      <c r="L21" s="90"/>
      <c r="M21" s="90"/>
      <c r="N21" s="90"/>
      <c r="O21" s="90"/>
      <c r="P21" s="90"/>
      <c r="Q21" s="90"/>
      <c r="R21" s="90"/>
      <c r="S21" s="91"/>
      <c r="T21" s="91"/>
      <c r="U21" s="91"/>
      <c r="AQ21" s="32"/>
    </row>
    <row r="22" spans="3:43" ht="14.1" customHeight="1" x14ac:dyDescent="0.2">
      <c r="C22" s="49"/>
      <c r="D22" s="50"/>
      <c r="E22" s="97"/>
      <c r="F22" s="80"/>
      <c r="G22" s="82"/>
      <c r="H22" s="73"/>
      <c r="J22" s="86">
        <v>20</v>
      </c>
      <c r="K22" s="90"/>
      <c r="L22" s="90"/>
      <c r="M22" s="90"/>
      <c r="N22" s="90"/>
      <c r="O22" s="90"/>
      <c r="P22" s="90"/>
      <c r="Q22" s="90"/>
      <c r="R22" s="90"/>
      <c r="S22" s="91"/>
      <c r="T22" s="91"/>
      <c r="U22" s="91"/>
      <c r="AQ22" s="32"/>
    </row>
    <row r="23" spans="3:43" ht="14.1" customHeight="1" x14ac:dyDescent="0.2">
      <c r="C23" s="49"/>
      <c r="D23" s="53"/>
      <c r="E23" s="97"/>
      <c r="F23" s="80"/>
      <c r="G23" s="82" t="s">
        <v>62</v>
      </c>
      <c r="H23" s="76"/>
      <c r="J23" s="86">
        <v>21</v>
      </c>
      <c r="K23" s="90"/>
      <c r="L23" s="90"/>
      <c r="M23" s="90"/>
      <c r="N23" s="90"/>
      <c r="O23" s="90"/>
      <c r="P23" s="90"/>
      <c r="Q23" s="90"/>
      <c r="R23" s="90"/>
      <c r="S23" s="91"/>
      <c r="T23" s="91"/>
      <c r="U23" s="91"/>
      <c r="AQ23" s="32"/>
    </row>
    <row r="24" spans="3:43" ht="14.1" customHeight="1" x14ac:dyDescent="0.2">
      <c r="C24" s="49"/>
      <c r="D24" s="53"/>
      <c r="E24" s="97"/>
      <c r="F24" s="80"/>
      <c r="G24" s="82"/>
      <c r="H24" s="73"/>
      <c r="J24" s="86">
        <v>22</v>
      </c>
      <c r="K24" s="90"/>
      <c r="L24" s="90"/>
      <c r="M24" s="90"/>
      <c r="N24" s="90"/>
      <c r="O24" s="90"/>
      <c r="P24" s="90"/>
      <c r="Q24" s="90"/>
      <c r="R24" s="90"/>
      <c r="S24" s="91"/>
      <c r="T24" s="91"/>
      <c r="U24" s="91"/>
      <c r="AQ24" s="32"/>
    </row>
    <row r="25" spans="3:43" ht="14.1" customHeight="1" x14ac:dyDescent="0.2">
      <c r="C25" s="49"/>
      <c r="D25" s="53"/>
      <c r="E25" s="97"/>
      <c r="F25" s="80"/>
      <c r="G25" s="82" t="s">
        <v>63</v>
      </c>
      <c r="H25" s="76"/>
      <c r="J25" s="86">
        <v>23</v>
      </c>
      <c r="K25" s="90"/>
      <c r="L25" s="90"/>
      <c r="M25" s="90"/>
      <c r="N25" s="90"/>
      <c r="O25" s="90"/>
      <c r="P25" s="90"/>
      <c r="Q25" s="90"/>
      <c r="R25" s="90"/>
      <c r="S25" s="91"/>
      <c r="T25" s="91"/>
      <c r="U25" s="91"/>
      <c r="AQ25" s="32"/>
    </row>
    <row r="26" spans="3:43" ht="14.1" customHeight="1" x14ac:dyDescent="0.2">
      <c r="C26" s="49"/>
      <c r="D26" s="50"/>
      <c r="E26" s="74"/>
      <c r="F26" s="74"/>
      <c r="G26" s="83"/>
      <c r="H26" s="74"/>
      <c r="J26" s="86">
        <v>24</v>
      </c>
      <c r="K26" s="90"/>
      <c r="L26" s="90"/>
      <c r="M26" s="90"/>
      <c r="N26" s="90"/>
      <c r="O26" s="90"/>
      <c r="P26" s="90"/>
      <c r="Q26" s="90"/>
      <c r="R26" s="90"/>
      <c r="S26" s="91"/>
      <c r="T26" s="91"/>
      <c r="U26" s="91"/>
      <c r="AQ26" s="32"/>
    </row>
    <row r="27" spans="3:43" ht="14.1" customHeight="1" x14ac:dyDescent="0.2">
      <c r="C27" s="49"/>
      <c r="D27" s="50"/>
      <c r="E27" s="74"/>
      <c r="F27" s="74"/>
      <c r="G27" s="84" t="s">
        <v>172</v>
      </c>
      <c r="H27" s="85">
        <f>SUM(H17:H25)</f>
        <v>0</v>
      </c>
      <c r="J27" s="86">
        <v>25</v>
      </c>
      <c r="K27" s="90"/>
      <c r="L27" s="90"/>
      <c r="M27" s="90"/>
      <c r="N27" s="90"/>
      <c r="O27" s="90"/>
      <c r="P27" s="90"/>
      <c r="Q27" s="90"/>
      <c r="R27" s="90"/>
      <c r="S27" s="91"/>
      <c r="T27" s="91"/>
      <c r="U27" s="91"/>
      <c r="AQ27" s="32"/>
    </row>
    <row r="28" spans="3:43" ht="14.1" customHeight="1" x14ac:dyDescent="0.2">
      <c r="C28" s="49"/>
      <c r="D28" s="50"/>
      <c r="E28" s="101" t="str">
        <f>IF(OR(H17&gt;0,H19&gt;0,H21&gt;0,H23&gt;0,H25&gt;0)*AND(H27&lt;&gt;H9),"ERROR: Sand Fractions do not equal Total Sand","")</f>
        <v/>
      </c>
      <c r="F28" s="101"/>
      <c r="G28" s="102"/>
      <c r="H28" s="101"/>
      <c r="J28" s="86">
        <v>26</v>
      </c>
      <c r="K28" s="90"/>
      <c r="L28" s="90"/>
      <c r="M28" s="90"/>
      <c r="N28" s="90"/>
      <c r="O28" s="90"/>
      <c r="P28" s="90"/>
      <c r="Q28" s="90"/>
      <c r="R28" s="90"/>
      <c r="S28" s="91"/>
      <c r="T28" s="91"/>
      <c r="U28" s="91"/>
      <c r="AQ28" s="32"/>
    </row>
    <row r="29" spans="3:43" ht="14.1" customHeight="1" x14ac:dyDescent="0.2">
      <c r="C29" s="49"/>
      <c r="D29" s="50"/>
      <c r="J29" s="86">
        <v>27</v>
      </c>
      <c r="K29" s="90"/>
      <c r="L29" s="90"/>
      <c r="M29" s="90"/>
      <c r="N29" s="90"/>
      <c r="O29" s="90"/>
      <c r="P29" s="90"/>
      <c r="Q29" s="90"/>
      <c r="R29" s="90"/>
      <c r="S29" s="91"/>
      <c r="T29" s="91"/>
      <c r="U29" s="91"/>
      <c r="AQ29" s="32"/>
    </row>
    <row r="30" spans="3:43" ht="14.1" customHeight="1" x14ac:dyDescent="0.2">
      <c r="E30" s="95"/>
      <c r="F30" s="95"/>
      <c r="G30" s="95"/>
      <c r="H30" s="95"/>
      <c r="J30" s="86">
        <v>28</v>
      </c>
      <c r="K30" s="90"/>
      <c r="L30" s="90"/>
      <c r="M30" s="90"/>
      <c r="N30" s="90"/>
      <c r="O30" s="90"/>
      <c r="P30" s="90"/>
      <c r="Q30" s="90"/>
      <c r="R30" s="90"/>
      <c r="S30" s="91"/>
      <c r="T30" s="91"/>
      <c r="U30" s="91"/>
      <c r="AQ30" s="32"/>
    </row>
    <row r="31" spans="3:43" ht="14.1" customHeight="1" x14ac:dyDescent="0.2">
      <c r="C31" s="51"/>
      <c r="D31" s="52"/>
      <c r="J31" s="86">
        <v>29</v>
      </c>
      <c r="K31" s="90"/>
      <c r="L31" s="90"/>
      <c r="M31" s="90"/>
      <c r="N31" s="90"/>
      <c r="O31" s="90"/>
      <c r="P31" s="90"/>
      <c r="Q31" s="90"/>
      <c r="R31" s="90"/>
      <c r="S31" s="91"/>
      <c r="T31" s="91"/>
      <c r="U31" s="91"/>
      <c r="AQ31" s="32"/>
    </row>
    <row r="32" spans="3:43" ht="14.1" customHeight="1" x14ac:dyDescent="0.2">
      <c r="E32" s="96" t="s">
        <v>64</v>
      </c>
      <c r="F32" s="74"/>
      <c r="G32" s="98" t="str">
        <f>CHOOSE(Calc!A$14,CHOOSE(Calc!A$24, Calc!C$2,Calc!C$18,Calc!C$19,Calc!C$20,Calc!C$21,Calc!C$22,Calc!C$23),CHOOSE(Calc!A$34, Calc!C$3,Calc!C$28,Calc!C$29,Calc!C$30,Calc!C$31,Calc!C$32,Calc!C$33),CHOOSE(Calc!A$50, Calc!C$4,Calc!C$37,Calc!C$38,Calc!C$39,Calc!C$40,Calc!C$41,Calc!C$42,Calc!C$43,Calc!C$44,Calc!C$45,Calc!C$46,Calc!C$47,Calc!C$48,Calc!C$49),Calc!C$5,Calc!C$6,Calc!C$7,Calc!C$8,Calc!C$9,Calc!C$10,Calc!C$11,Calc!C$12,Calc!C$13)</f>
        <v>SILT LOAM</v>
      </c>
      <c r="H32" s="99"/>
      <c r="J32" s="86">
        <v>30</v>
      </c>
      <c r="K32" s="90"/>
      <c r="L32" s="90"/>
      <c r="M32" s="90"/>
      <c r="N32" s="90"/>
      <c r="O32" s="90"/>
      <c r="P32" s="90"/>
      <c r="Q32" s="90"/>
      <c r="R32" s="90"/>
      <c r="S32" s="91"/>
      <c r="T32" s="91"/>
      <c r="U32" s="91"/>
      <c r="AQ32" s="32"/>
    </row>
    <row r="33" spans="1:43" ht="14.1" customHeight="1" x14ac:dyDescent="0.2">
      <c r="E33" s="97"/>
      <c r="F33" s="74"/>
      <c r="G33" s="99"/>
      <c r="H33" s="99"/>
      <c r="J33" s="86">
        <v>31</v>
      </c>
      <c r="K33" s="90"/>
      <c r="L33" s="90"/>
      <c r="M33" s="90"/>
      <c r="N33" s="90"/>
      <c r="O33" s="90"/>
      <c r="P33" s="90"/>
      <c r="Q33" s="90"/>
      <c r="R33" s="90"/>
      <c r="S33" s="91"/>
      <c r="T33" s="91"/>
      <c r="U33" s="91"/>
      <c r="AQ33" s="32"/>
    </row>
    <row r="34" spans="1:43" ht="14.1" customHeight="1" x14ac:dyDescent="0.2">
      <c r="E34" s="97"/>
      <c r="F34" s="74"/>
      <c r="G34" s="99"/>
      <c r="H34" s="99"/>
      <c r="J34" s="86">
        <v>32</v>
      </c>
      <c r="K34" s="90"/>
      <c r="L34" s="90"/>
      <c r="M34" s="90"/>
      <c r="N34" s="90"/>
      <c r="O34" s="90"/>
      <c r="P34" s="90"/>
      <c r="Q34" s="90"/>
      <c r="R34" s="90"/>
      <c r="S34" s="91"/>
      <c r="T34" s="91"/>
      <c r="U34" s="91"/>
      <c r="AQ34" s="32"/>
    </row>
    <row r="35" spans="1:43" ht="14.1" customHeight="1" x14ac:dyDescent="0.2">
      <c r="E35" s="97"/>
      <c r="F35" s="74"/>
      <c r="G35" s="100"/>
      <c r="H35" s="100"/>
      <c r="J35" s="86">
        <v>33</v>
      </c>
      <c r="K35" s="90"/>
      <c r="L35" s="90"/>
      <c r="M35" s="90"/>
      <c r="N35" s="90"/>
      <c r="O35" s="90"/>
      <c r="P35" s="90"/>
      <c r="Q35" s="90"/>
      <c r="R35" s="90"/>
      <c r="S35" s="91"/>
      <c r="T35" s="91"/>
      <c r="U35" s="91"/>
      <c r="AQ35" s="32"/>
    </row>
    <row r="36" spans="1:43" ht="14.1" customHeight="1" x14ac:dyDescent="0.2">
      <c r="E36" s="64"/>
      <c r="F36" s="69"/>
      <c r="G36" s="70"/>
      <c r="H36" s="65"/>
      <c r="J36" s="86">
        <v>34</v>
      </c>
      <c r="K36" s="90"/>
      <c r="L36" s="90"/>
      <c r="M36" s="90"/>
      <c r="N36" s="90"/>
      <c r="O36" s="90"/>
      <c r="P36" s="90"/>
      <c r="Q36" s="90"/>
      <c r="R36" s="90"/>
      <c r="S36" s="91"/>
      <c r="T36" s="91"/>
      <c r="U36" s="91"/>
      <c r="AQ36" s="32"/>
    </row>
    <row r="37" spans="1:43" ht="14.1" customHeight="1" x14ac:dyDescent="0.25">
      <c r="A37" s="63" t="s">
        <v>170</v>
      </c>
      <c r="B37" s="63"/>
      <c r="C37" s="62" t="s">
        <v>169</v>
      </c>
      <c r="D37" s="62"/>
      <c r="F37" s="68"/>
      <c r="J37" s="86">
        <v>35</v>
      </c>
      <c r="K37" s="90"/>
      <c r="L37" s="90"/>
      <c r="M37" s="90"/>
      <c r="N37" s="90"/>
      <c r="O37" s="90"/>
      <c r="P37" s="90"/>
      <c r="Q37" s="90"/>
      <c r="R37" s="90"/>
      <c r="S37" s="91"/>
      <c r="T37" s="91"/>
      <c r="U37" s="91"/>
      <c r="AQ37" s="32"/>
    </row>
    <row r="38" spans="1:43" ht="14.1" customHeight="1" x14ac:dyDescent="0.2">
      <c r="C38" s="63"/>
      <c r="J38" s="86">
        <v>36</v>
      </c>
      <c r="K38" s="90"/>
      <c r="L38" s="90"/>
      <c r="M38" s="90"/>
      <c r="N38" s="90"/>
      <c r="O38" s="90"/>
      <c r="P38" s="90"/>
      <c r="Q38" s="90"/>
      <c r="R38" s="90"/>
      <c r="S38" s="91"/>
      <c r="T38" s="91"/>
      <c r="U38" s="91"/>
      <c r="AQ38" s="32"/>
    </row>
    <row r="39" spans="1:43" ht="14.1" customHeight="1" x14ac:dyDescent="0.2">
      <c r="J39" s="86">
        <v>37</v>
      </c>
      <c r="K39" s="90"/>
      <c r="L39" s="90"/>
      <c r="M39" s="90"/>
      <c r="N39" s="90"/>
      <c r="O39" s="90"/>
      <c r="P39" s="90"/>
      <c r="Q39" s="90"/>
      <c r="R39" s="90"/>
      <c r="S39" s="91"/>
      <c r="T39" s="91"/>
      <c r="U39" s="91"/>
      <c r="AQ39" s="32"/>
    </row>
    <row r="40" spans="1:43" ht="14.1" customHeight="1" x14ac:dyDescent="0.2">
      <c r="J40" s="86">
        <v>38</v>
      </c>
      <c r="K40" s="90"/>
      <c r="L40" s="90"/>
      <c r="M40" s="90"/>
      <c r="N40" s="90"/>
      <c r="O40" s="90"/>
      <c r="P40" s="90"/>
      <c r="Q40" s="90"/>
      <c r="R40" s="90"/>
      <c r="S40" s="91"/>
      <c r="T40" s="91"/>
      <c r="U40" s="91"/>
      <c r="AQ40" s="32"/>
    </row>
    <row r="41" spans="1:43" ht="12" customHeight="1" x14ac:dyDescent="0.25">
      <c r="A41" s="63"/>
      <c r="B41" s="63" t="s">
        <v>170</v>
      </c>
      <c r="C41" s="62" t="s">
        <v>169</v>
      </c>
      <c r="J41" s="86">
        <v>39</v>
      </c>
      <c r="K41" s="90"/>
      <c r="L41" s="90"/>
      <c r="M41" s="90"/>
      <c r="N41" s="90"/>
      <c r="O41" s="90"/>
      <c r="P41" s="90"/>
      <c r="Q41" s="90"/>
      <c r="R41" s="90"/>
      <c r="S41" s="91"/>
      <c r="T41" s="91"/>
      <c r="U41" s="91"/>
      <c r="AQ41" s="32"/>
    </row>
    <row r="42" spans="1:43" ht="12" customHeight="1" x14ac:dyDescent="0.2">
      <c r="J42" s="86">
        <v>40</v>
      </c>
      <c r="K42" s="90"/>
      <c r="L42" s="90"/>
      <c r="M42" s="90"/>
      <c r="N42" s="90"/>
      <c r="O42" s="90"/>
      <c r="P42" s="90"/>
      <c r="Q42" s="90"/>
      <c r="R42" s="90"/>
      <c r="S42" s="91"/>
      <c r="T42" s="91"/>
      <c r="U42" s="91"/>
      <c r="AQ42" s="32"/>
    </row>
    <row r="43" spans="1:43" ht="12" customHeight="1" x14ac:dyDescent="0.2">
      <c r="AQ43" s="32"/>
    </row>
    <row r="44" spans="1:43" ht="12" customHeight="1" x14ac:dyDescent="0.2">
      <c r="AQ44" s="32"/>
    </row>
    <row r="45" spans="1:43" ht="12" customHeight="1" x14ac:dyDescent="0.2">
      <c r="AQ45" s="32"/>
    </row>
    <row r="46" spans="1:43" ht="12" customHeight="1" x14ac:dyDescent="0.2">
      <c r="AQ46" s="32"/>
    </row>
    <row r="47" spans="1:43" ht="12" customHeight="1" x14ac:dyDescent="0.2">
      <c r="AQ47" s="32"/>
    </row>
    <row r="48" spans="1:43" ht="12" customHeight="1" x14ac:dyDescent="0.2">
      <c r="AQ48" s="32"/>
    </row>
    <row r="49" spans="43:43" ht="12" customHeight="1" x14ac:dyDescent="0.2">
      <c r="AQ49" s="32"/>
    </row>
    <row r="50" spans="43:43" ht="12" customHeight="1" x14ac:dyDescent="0.2">
      <c r="AQ50" s="32"/>
    </row>
    <row r="51" spans="43:43" ht="12" customHeight="1" x14ac:dyDescent="0.2">
      <c r="AQ51" s="32"/>
    </row>
    <row r="52" spans="43:43" ht="12" customHeight="1" x14ac:dyDescent="0.2">
      <c r="AQ52" s="32"/>
    </row>
    <row r="53" spans="43:43" ht="12" customHeight="1" x14ac:dyDescent="0.2">
      <c r="AQ53" s="32"/>
    </row>
    <row r="54" spans="43:43" ht="12" customHeight="1" x14ac:dyDescent="0.2">
      <c r="AQ54" s="32"/>
    </row>
    <row r="55" spans="43:43" ht="12" customHeight="1" x14ac:dyDescent="0.2">
      <c r="AQ55" s="32"/>
    </row>
    <row r="56" spans="43:43" ht="12" customHeight="1" x14ac:dyDescent="0.2">
      <c r="AQ56" s="32"/>
    </row>
    <row r="57" spans="43:43" ht="12" customHeight="1" x14ac:dyDescent="0.2">
      <c r="AQ57" s="32"/>
    </row>
    <row r="58" spans="43:43" ht="12" customHeight="1" x14ac:dyDescent="0.2">
      <c r="AQ58" s="32"/>
    </row>
    <row r="59" spans="43:43" ht="12" customHeight="1" x14ac:dyDescent="0.2">
      <c r="AQ59" s="32"/>
    </row>
    <row r="60" spans="43:43" ht="12" customHeight="1" x14ac:dyDescent="0.2">
      <c r="AQ60" s="32"/>
    </row>
    <row r="61" spans="43:43" ht="12" customHeight="1" x14ac:dyDescent="0.2">
      <c r="AQ61" s="32"/>
    </row>
    <row r="62" spans="43:43" ht="12" customHeight="1" x14ac:dyDescent="0.2">
      <c r="AQ62" s="32"/>
    </row>
    <row r="63" spans="43:43" ht="12" customHeight="1" x14ac:dyDescent="0.2">
      <c r="AQ63" s="32"/>
    </row>
    <row r="64" spans="43:43" ht="12" customHeight="1" x14ac:dyDescent="0.2">
      <c r="AQ64" s="32"/>
    </row>
    <row r="65" spans="43:43" ht="12" customHeight="1" x14ac:dyDescent="0.2">
      <c r="AQ65" s="32"/>
    </row>
    <row r="66" spans="43:43" ht="12" customHeight="1" x14ac:dyDescent="0.2">
      <c r="AQ66" s="32"/>
    </row>
    <row r="67" spans="43:43" ht="12" customHeight="1" x14ac:dyDescent="0.2">
      <c r="AQ67" s="32"/>
    </row>
    <row r="68" spans="43:43" ht="12" customHeight="1" x14ac:dyDescent="0.2">
      <c r="AQ68" s="32"/>
    </row>
    <row r="69" spans="43:43" ht="12" customHeight="1" x14ac:dyDescent="0.2">
      <c r="AQ69" s="32"/>
    </row>
    <row r="70" spans="43:43" ht="24" customHeight="1" x14ac:dyDescent="0.2">
      <c r="AQ70" s="32"/>
    </row>
    <row r="71" spans="43:43" ht="12" customHeight="1" x14ac:dyDescent="0.2">
      <c r="AQ71" s="32"/>
    </row>
    <row r="72" spans="43:43" ht="12" customHeight="1" x14ac:dyDescent="0.2">
      <c r="AQ72" s="32"/>
    </row>
    <row r="73" spans="43:43" ht="12" customHeight="1" x14ac:dyDescent="0.2">
      <c r="AQ73" s="32"/>
    </row>
    <row r="74" spans="43:43" ht="12" customHeight="1" x14ac:dyDescent="0.2">
      <c r="AQ74" s="32"/>
    </row>
    <row r="75" spans="43:43" ht="12" customHeight="1" x14ac:dyDescent="0.2">
      <c r="AQ75" s="32"/>
    </row>
    <row r="76" spans="43:43" ht="12" customHeight="1" x14ac:dyDescent="0.2">
      <c r="AQ76" s="32"/>
    </row>
    <row r="77" spans="43:43" ht="12" customHeight="1" x14ac:dyDescent="0.2">
      <c r="AQ77" s="32"/>
    </row>
    <row r="78" spans="43:43" ht="12" customHeight="1" x14ac:dyDescent="0.2">
      <c r="AQ78" s="32"/>
    </row>
    <row r="79" spans="43:43" ht="12" customHeight="1" x14ac:dyDescent="0.2">
      <c r="AQ79" s="32"/>
    </row>
    <row r="80" spans="43:43" ht="12" customHeight="1" x14ac:dyDescent="0.2">
      <c r="AQ80" s="32"/>
    </row>
    <row r="81" spans="43:43" ht="12" customHeight="1" x14ac:dyDescent="0.2">
      <c r="AQ81" s="32"/>
    </row>
    <row r="82" spans="43:43" ht="12" customHeight="1" x14ac:dyDescent="0.2">
      <c r="AQ82" s="32"/>
    </row>
    <row r="83" spans="43:43" ht="12" customHeight="1" x14ac:dyDescent="0.2">
      <c r="AQ83" s="32"/>
    </row>
    <row r="84" spans="43:43" ht="12" customHeight="1" x14ac:dyDescent="0.2">
      <c r="AQ84" s="32"/>
    </row>
    <row r="85" spans="43:43" ht="12" customHeight="1" x14ac:dyDescent="0.2">
      <c r="AQ85" s="32"/>
    </row>
    <row r="86" spans="43:43" ht="12" customHeight="1" x14ac:dyDescent="0.2">
      <c r="AQ86" s="32"/>
    </row>
    <row r="87" spans="43:43" ht="12" customHeight="1" x14ac:dyDescent="0.2">
      <c r="AQ87" s="32"/>
    </row>
    <row r="88" spans="43:43" ht="12" customHeight="1" x14ac:dyDescent="0.2">
      <c r="AQ88" s="32"/>
    </row>
    <row r="89" spans="43:43" ht="12" customHeight="1" x14ac:dyDescent="0.2">
      <c r="AQ89" s="32"/>
    </row>
    <row r="90" spans="43:43" ht="12" customHeight="1" x14ac:dyDescent="0.2">
      <c r="AQ90" s="32"/>
    </row>
    <row r="91" spans="43:43" ht="12" customHeight="1" x14ac:dyDescent="0.2">
      <c r="AQ91" s="32"/>
    </row>
    <row r="92" spans="43:43" ht="12" customHeight="1" x14ac:dyDescent="0.2">
      <c r="AQ92" s="32"/>
    </row>
    <row r="93" spans="43:43" ht="12" customHeight="1" x14ac:dyDescent="0.2">
      <c r="AQ93" s="32"/>
    </row>
    <row r="94" spans="43:43" ht="12" customHeight="1" x14ac:dyDescent="0.2">
      <c r="AQ94" s="32"/>
    </row>
    <row r="95" spans="43:43" ht="12" customHeight="1" x14ac:dyDescent="0.2">
      <c r="AQ95" s="32"/>
    </row>
    <row r="96" spans="43:43" ht="12" customHeight="1" x14ac:dyDescent="0.2">
      <c r="AQ96" s="32"/>
    </row>
    <row r="97" spans="43:43" ht="12" customHeight="1" x14ac:dyDescent="0.2">
      <c r="AQ97" s="32"/>
    </row>
    <row r="98" spans="43:43" ht="12" customHeight="1" x14ac:dyDescent="0.2">
      <c r="AQ98" s="32"/>
    </row>
    <row r="99" spans="43:43" ht="12" customHeight="1" x14ac:dyDescent="0.2">
      <c r="AQ99" s="32"/>
    </row>
    <row r="100" spans="43:43" ht="12" customHeight="1" x14ac:dyDescent="0.2">
      <c r="AQ100" s="32"/>
    </row>
    <row r="101" spans="43:43" ht="12" customHeight="1" x14ac:dyDescent="0.2">
      <c r="AQ101" s="32"/>
    </row>
    <row r="102" spans="43:43" ht="12" customHeight="1" x14ac:dyDescent="0.2">
      <c r="AQ102" s="32"/>
    </row>
    <row r="103" spans="43:43" ht="12" customHeight="1" x14ac:dyDescent="0.2">
      <c r="AQ103" s="32"/>
    </row>
    <row r="104" spans="43:43" ht="12" customHeight="1" x14ac:dyDescent="0.2">
      <c r="AQ104" s="32"/>
    </row>
    <row r="105" spans="43:43" ht="12" customHeight="1" x14ac:dyDescent="0.2">
      <c r="AQ105" s="32"/>
    </row>
    <row r="106" spans="43:43" ht="12" customHeight="1" x14ac:dyDescent="0.2">
      <c r="AQ106" s="32"/>
    </row>
    <row r="107" spans="43:43" ht="12" customHeight="1" x14ac:dyDescent="0.2">
      <c r="AQ107" s="32"/>
    </row>
    <row r="108" spans="43:43" ht="12" customHeight="1" x14ac:dyDescent="0.2">
      <c r="AQ108" s="32"/>
    </row>
    <row r="109" spans="43:43" ht="12" customHeight="1" x14ac:dyDescent="0.2">
      <c r="AQ109" s="32"/>
    </row>
    <row r="110" spans="43:43" ht="12" customHeight="1" x14ac:dyDescent="0.2">
      <c r="AQ110" s="32"/>
    </row>
    <row r="111" spans="43:43" ht="12" customHeight="1" x14ac:dyDescent="0.2">
      <c r="AQ111" s="32"/>
    </row>
    <row r="112" spans="43:43" ht="12" customHeight="1" x14ac:dyDescent="0.2">
      <c r="AQ112" s="32"/>
    </row>
    <row r="113" spans="43:43" ht="12" customHeight="1" x14ac:dyDescent="0.2">
      <c r="AQ113" s="32"/>
    </row>
    <row r="114" spans="43:43" ht="12" customHeight="1" x14ac:dyDescent="0.2">
      <c r="AQ114" s="32"/>
    </row>
    <row r="115" spans="43:43" ht="12" customHeight="1" x14ac:dyDescent="0.2">
      <c r="AQ115" s="32"/>
    </row>
    <row r="116" spans="43:43" ht="12" customHeight="1" x14ac:dyDescent="0.2">
      <c r="AQ116" s="32"/>
    </row>
    <row r="117" spans="43:43" ht="12" customHeight="1" x14ac:dyDescent="0.2">
      <c r="AQ117" s="32"/>
    </row>
    <row r="118" spans="43:43" ht="12" customHeight="1" x14ac:dyDescent="0.2">
      <c r="AQ118" s="32"/>
    </row>
    <row r="119" spans="43:43" ht="12" customHeight="1" x14ac:dyDescent="0.2">
      <c r="AQ119" s="32"/>
    </row>
    <row r="120" spans="43:43" ht="12" customHeight="1" x14ac:dyDescent="0.2">
      <c r="AQ120" s="32"/>
    </row>
    <row r="121" spans="43:43" ht="12" customHeight="1" x14ac:dyDescent="0.2">
      <c r="AQ121" s="32"/>
    </row>
    <row r="122" spans="43:43" ht="12" customHeight="1" x14ac:dyDescent="0.2">
      <c r="AQ122" s="32"/>
    </row>
    <row r="123" spans="43:43" ht="12" customHeight="1" x14ac:dyDescent="0.2">
      <c r="AQ123" s="32"/>
    </row>
    <row r="124" spans="43:43" ht="12" customHeight="1" x14ac:dyDescent="0.2">
      <c r="AQ124" s="32"/>
    </row>
    <row r="125" spans="43:43" ht="12" customHeight="1" x14ac:dyDescent="0.2">
      <c r="AQ125" s="32"/>
    </row>
    <row r="126" spans="43:43" ht="12" customHeight="1" x14ac:dyDescent="0.2">
      <c r="AQ126" s="32"/>
    </row>
    <row r="127" spans="43:43" ht="12" customHeight="1" x14ac:dyDescent="0.2">
      <c r="AQ127" s="32"/>
    </row>
    <row r="128" spans="43:43" ht="12" customHeight="1" x14ac:dyDescent="0.2">
      <c r="AQ128" s="32"/>
    </row>
    <row r="129" spans="43:43" ht="12" customHeight="1" x14ac:dyDescent="0.2">
      <c r="AQ129" s="32"/>
    </row>
    <row r="130" spans="43:43" ht="12" customHeight="1" x14ac:dyDescent="0.2">
      <c r="AQ130" s="32"/>
    </row>
    <row r="131" spans="43:43" ht="12" customHeight="1" x14ac:dyDescent="0.2">
      <c r="AQ131" s="32"/>
    </row>
    <row r="132" spans="43:43" ht="12" customHeight="1" x14ac:dyDescent="0.2">
      <c r="AQ132" s="32"/>
    </row>
    <row r="133" spans="43:43" ht="12" customHeight="1" x14ac:dyDescent="0.2">
      <c r="AQ133" s="32"/>
    </row>
    <row r="134" spans="43:43" ht="12" customHeight="1" x14ac:dyDescent="0.2">
      <c r="AQ134" s="32"/>
    </row>
    <row r="135" spans="43:43" ht="12" customHeight="1" x14ac:dyDescent="0.2">
      <c r="AQ135" s="32"/>
    </row>
    <row r="136" spans="43:43" ht="12" customHeight="1" x14ac:dyDescent="0.2">
      <c r="AQ136" s="32"/>
    </row>
    <row r="137" spans="43:43" ht="12" customHeight="1" x14ac:dyDescent="0.2">
      <c r="AQ137" s="32"/>
    </row>
    <row r="138" spans="43:43" ht="12" customHeight="1" x14ac:dyDescent="0.2">
      <c r="AQ138" s="32"/>
    </row>
    <row r="139" spans="43:43" ht="12" customHeight="1" x14ac:dyDescent="0.2">
      <c r="AQ139" s="32"/>
    </row>
    <row r="140" spans="43:43" ht="12" customHeight="1" x14ac:dyDescent="0.2">
      <c r="AQ140" s="32"/>
    </row>
    <row r="141" spans="43:43" ht="12" customHeight="1" x14ac:dyDescent="0.2">
      <c r="AQ141" s="32"/>
    </row>
    <row r="142" spans="43:43" ht="12" customHeight="1" x14ac:dyDescent="0.2">
      <c r="AQ142" s="32"/>
    </row>
    <row r="143" spans="43:43" ht="12" customHeight="1" x14ac:dyDescent="0.2">
      <c r="AQ143" s="32"/>
    </row>
    <row r="144" spans="43:43" ht="12" customHeight="1" x14ac:dyDescent="0.2">
      <c r="AQ144" s="32"/>
    </row>
    <row r="145" spans="43:43" ht="12" customHeight="1" x14ac:dyDescent="0.2">
      <c r="AQ145" s="32"/>
    </row>
    <row r="146" spans="43:43" ht="12" customHeight="1" x14ac:dyDescent="0.2">
      <c r="AQ146" s="32"/>
    </row>
    <row r="147" spans="43:43" ht="12" customHeight="1" x14ac:dyDescent="0.2">
      <c r="AQ147" s="32"/>
    </row>
    <row r="148" spans="43:43" ht="12" customHeight="1" x14ac:dyDescent="0.2">
      <c r="AQ148" s="32"/>
    </row>
    <row r="149" spans="43:43" ht="12" customHeight="1" x14ac:dyDescent="0.2">
      <c r="AQ149" s="32"/>
    </row>
    <row r="150" spans="43:43" ht="12" customHeight="1" x14ac:dyDescent="0.2">
      <c r="AQ150" s="32"/>
    </row>
    <row r="151" spans="43:43" ht="12" customHeight="1" x14ac:dyDescent="0.2">
      <c r="AQ151" s="32"/>
    </row>
    <row r="152" spans="43:43" ht="12" customHeight="1" x14ac:dyDescent="0.2">
      <c r="AQ152" s="32"/>
    </row>
    <row r="153" spans="43:43" ht="12" customHeight="1" x14ac:dyDescent="0.2">
      <c r="AQ153" s="32"/>
    </row>
    <row r="154" spans="43:43" ht="12" customHeight="1" x14ac:dyDescent="0.2">
      <c r="AQ154" s="32"/>
    </row>
    <row r="155" spans="43:43" ht="12" customHeight="1" x14ac:dyDescent="0.2">
      <c r="AQ155" s="32"/>
    </row>
    <row r="156" spans="43:43" ht="12" customHeight="1" x14ac:dyDescent="0.2">
      <c r="AQ156" s="32"/>
    </row>
    <row r="157" spans="43:43" ht="12" customHeight="1" x14ac:dyDescent="0.2">
      <c r="AQ157" s="32"/>
    </row>
    <row r="158" spans="43:43" ht="12" customHeight="1" x14ac:dyDescent="0.2">
      <c r="AQ158" s="32"/>
    </row>
    <row r="159" spans="43:43" ht="12" customHeight="1" x14ac:dyDescent="0.2">
      <c r="AQ159" s="32"/>
    </row>
    <row r="160" spans="43:43" ht="12" customHeight="1" x14ac:dyDescent="0.2">
      <c r="AQ160" s="32"/>
    </row>
    <row r="161" spans="43:43" ht="12" customHeight="1" x14ac:dyDescent="0.2">
      <c r="AQ161" s="32"/>
    </row>
    <row r="162" spans="43:43" ht="12" customHeight="1" x14ac:dyDescent="0.2">
      <c r="AQ162" s="32"/>
    </row>
    <row r="163" spans="43:43" ht="12" customHeight="1" x14ac:dyDescent="0.2">
      <c r="AQ163" s="32"/>
    </row>
    <row r="164" spans="43:43" ht="12" customHeight="1" x14ac:dyDescent="0.2">
      <c r="AQ164" s="32"/>
    </row>
    <row r="165" spans="43:43" ht="12" customHeight="1" x14ac:dyDescent="0.2">
      <c r="AQ165" s="32"/>
    </row>
    <row r="166" spans="43:43" ht="12" customHeight="1" x14ac:dyDescent="0.2">
      <c r="AQ166" s="32"/>
    </row>
    <row r="167" spans="43:43" ht="12" customHeight="1" x14ac:dyDescent="0.2">
      <c r="AQ167" s="32"/>
    </row>
    <row r="168" spans="43:43" ht="12" customHeight="1" x14ac:dyDescent="0.2">
      <c r="AQ168" s="32"/>
    </row>
    <row r="169" spans="43:43" ht="12" customHeight="1" x14ac:dyDescent="0.2">
      <c r="AQ169" s="32"/>
    </row>
    <row r="170" spans="43:43" ht="12" customHeight="1" x14ac:dyDescent="0.2">
      <c r="AQ170" s="32"/>
    </row>
    <row r="171" spans="43:43" ht="12" customHeight="1" x14ac:dyDescent="0.2">
      <c r="AQ171" s="32"/>
    </row>
    <row r="172" spans="43:43" ht="12" customHeight="1" x14ac:dyDescent="0.2">
      <c r="AQ172" s="32"/>
    </row>
    <row r="173" spans="43:43" ht="12" customHeight="1" x14ac:dyDescent="0.2">
      <c r="AQ173" s="32"/>
    </row>
    <row r="174" spans="43:43" ht="12" customHeight="1" x14ac:dyDescent="0.2">
      <c r="AQ174" s="32"/>
    </row>
    <row r="175" spans="43:43" ht="12" customHeight="1" x14ac:dyDescent="0.2">
      <c r="AQ175" s="32"/>
    </row>
    <row r="176" spans="43:43" ht="12" customHeight="1" x14ac:dyDescent="0.2">
      <c r="AQ176" s="32"/>
    </row>
    <row r="177" spans="43:43" ht="12" customHeight="1" x14ac:dyDescent="0.2">
      <c r="AQ177" s="32"/>
    </row>
    <row r="178" spans="43:43" ht="12" customHeight="1" x14ac:dyDescent="0.2">
      <c r="AQ178" s="32"/>
    </row>
    <row r="179" spans="43:43" ht="12" customHeight="1" x14ac:dyDescent="0.2">
      <c r="AQ179" s="32"/>
    </row>
    <row r="180" spans="43:43" ht="12" customHeight="1" x14ac:dyDescent="0.2">
      <c r="AQ180" s="32"/>
    </row>
    <row r="181" spans="43:43" ht="12" customHeight="1" x14ac:dyDescent="0.2">
      <c r="AQ181" s="32"/>
    </row>
    <row r="182" spans="43:43" ht="12" customHeight="1" x14ac:dyDescent="0.2">
      <c r="AQ182" s="32"/>
    </row>
    <row r="183" spans="43:43" ht="12" customHeight="1" x14ac:dyDescent="0.2">
      <c r="AQ183" s="32"/>
    </row>
    <row r="184" spans="43:43" ht="12" customHeight="1" x14ac:dyDescent="0.2">
      <c r="AQ184" s="32"/>
    </row>
    <row r="185" spans="43:43" ht="12" customHeight="1" x14ac:dyDescent="0.2">
      <c r="AQ185" s="32"/>
    </row>
    <row r="186" spans="43:43" ht="12" customHeight="1" x14ac:dyDescent="0.2">
      <c r="AQ186" s="32"/>
    </row>
    <row r="187" spans="43:43" ht="12" customHeight="1" x14ac:dyDescent="0.2">
      <c r="AQ187" s="32"/>
    </row>
    <row r="188" spans="43:43" ht="12" customHeight="1" x14ac:dyDescent="0.2">
      <c r="AQ188" s="32"/>
    </row>
    <row r="189" spans="43:43" ht="12" customHeight="1" x14ac:dyDescent="0.2">
      <c r="AQ189" s="32"/>
    </row>
    <row r="190" spans="43:43" ht="12" customHeight="1" x14ac:dyDescent="0.2">
      <c r="AQ190" s="32"/>
    </row>
    <row r="191" spans="43:43" ht="12" customHeight="1" x14ac:dyDescent="0.2">
      <c r="AQ191" s="32"/>
    </row>
    <row r="192" spans="43:43" ht="12" customHeight="1" x14ac:dyDescent="0.2">
      <c r="AQ192" s="32"/>
    </row>
    <row r="193" spans="43:43" ht="12" customHeight="1" x14ac:dyDescent="0.2">
      <c r="AQ193" s="32"/>
    </row>
    <row r="194" spans="43:43" ht="12" customHeight="1" x14ac:dyDescent="0.2">
      <c r="AQ194" s="32"/>
    </row>
    <row r="195" spans="43:43" ht="12" customHeight="1" x14ac:dyDescent="0.2">
      <c r="AQ195" s="32"/>
    </row>
    <row r="196" spans="43:43" ht="12" customHeight="1" x14ac:dyDescent="0.2">
      <c r="AQ196" s="32"/>
    </row>
    <row r="197" spans="43:43" ht="12" customHeight="1" x14ac:dyDescent="0.2">
      <c r="AQ197" s="32"/>
    </row>
    <row r="198" spans="43:43" ht="12" customHeight="1" x14ac:dyDescent="0.2">
      <c r="AQ198" s="32"/>
    </row>
    <row r="199" spans="43:43" ht="12" customHeight="1" x14ac:dyDescent="0.2">
      <c r="AQ199" s="32"/>
    </row>
    <row r="200" spans="43:43" ht="12" customHeight="1" x14ac:dyDescent="0.2">
      <c r="AQ200" s="32"/>
    </row>
    <row r="201" spans="43:43" ht="12" customHeight="1" x14ac:dyDescent="0.2">
      <c r="AQ201" s="32"/>
    </row>
    <row r="202" spans="43:43" ht="12" customHeight="1" x14ac:dyDescent="0.2">
      <c r="AQ202" s="32"/>
    </row>
    <row r="203" spans="43:43" ht="12" customHeight="1" x14ac:dyDescent="0.2">
      <c r="AQ203" s="32"/>
    </row>
    <row r="204" spans="43:43" ht="12" customHeight="1" x14ac:dyDescent="0.2">
      <c r="AQ204" s="32"/>
    </row>
    <row r="205" spans="43:43" ht="12" customHeight="1" x14ac:dyDescent="0.2">
      <c r="AQ205" s="32"/>
    </row>
    <row r="206" spans="43:43" ht="12" customHeight="1" x14ac:dyDescent="0.2">
      <c r="AQ206" s="32"/>
    </row>
    <row r="207" spans="43:43" ht="12" customHeight="1" x14ac:dyDescent="0.2">
      <c r="AQ207" s="32"/>
    </row>
    <row r="208" spans="43:43" ht="12" customHeight="1" x14ac:dyDescent="0.2">
      <c r="AQ208" s="32"/>
    </row>
    <row r="209" spans="43:43" ht="12" customHeight="1" x14ac:dyDescent="0.2">
      <c r="AQ209" s="32"/>
    </row>
    <row r="210" spans="43:43" ht="12" customHeight="1" x14ac:dyDescent="0.2">
      <c r="AQ210" s="32"/>
    </row>
    <row r="211" spans="43:43" ht="12" customHeight="1" x14ac:dyDescent="0.2">
      <c r="AQ211" s="32"/>
    </row>
    <row r="212" spans="43:43" ht="12" customHeight="1" x14ac:dyDescent="0.2">
      <c r="AQ212" s="32"/>
    </row>
    <row r="213" spans="43:43" ht="12" customHeight="1" x14ac:dyDescent="0.2">
      <c r="AQ213" s="32"/>
    </row>
    <row r="214" spans="43:43" ht="12" customHeight="1" x14ac:dyDescent="0.2">
      <c r="AQ214" s="32"/>
    </row>
    <row r="215" spans="43:43" ht="12" customHeight="1" x14ac:dyDescent="0.2">
      <c r="AQ215" s="32"/>
    </row>
    <row r="216" spans="43:43" ht="12" customHeight="1" x14ac:dyDescent="0.2">
      <c r="AQ216" s="32"/>
    </row>
    <row r="217" spans="43:43" ht="12" customHeight="1" x14ac:dyDescent="0.2">
      <c r="AQ217" s="32"/>
    </row>
    <row r="218" spans="43:43" ht="12" customHeight="1" x14ac:dyDescent="0.2">
      <c r="AQ218" s="32"/>
    </row>
    <row r="219" spans="43:43" ht="12" customHeight="1" x14ac:dyDescent="0.2">
      <c r="AQ219" s="32"/>
    </row>
    <row r="220" spans="43:43" ht="12" customHeight="1" x14ac:dyDescent="0.2">
      <c r="AQ220" s="32"/>
    </row>
    <row r="221" spans="43:43" ht="12" customHeight="1" x14ac:dyDescent="0.2">
      <c r="AQ221" s="32"/>
    </row>
    <row r="222" spans="43:43" ht="12" customHeight="1" x14ac:dyDescent="0.2">
      <c r="AQ222" s="32"/>
    </row>
    <row r="223" spans="43:43" ht="12" customHeight="1" x14ac:dyDescent="0.2">
      <c r="AQ223" s="32"/>
    </row>
    <row r="224" spans="43:43" ht="12" customHeight="1" x14ac:dyDescent="0.2">
      <c r="AQ224" s="32"/>
    </row>
    <row r="225" spans="43:43" ht="12" customHeight="1" x14ac:dyDescent="0.2">
      <c r="AQ225" s="32"/>
    </row>
    <row r="226" spans="43:43" ht="12" customHeight="1" x14ac:dyDescent="0.2">
      <c r="AQ226" s="32"/>
    </row>
    <row r="227" spans="43:43" ht="12" customHeight="1" x14ac:dyDescent="0.2">
      <c r="AQ227" s="32"/>
    </row>
    <row r="228" spans="43:43" ht="12" customHeight="1" x14ac:dyDescent="0.2">
      <c r="AQ228" s="32"/>
    </row>
    <row r="229" spans="43:43" ht="12" customHeight="1" x14ac:dyDescent="0.2">
      <c r="AQ229" s="32"/>
    </row>
    <row r="230" spans="43:43" ht="12" customHeight="1" x14ac:dyDescent="0.2">
      <c r="AQ230" s="32"/>
    </row>
    <row r="231" spans="43:43" ht="12" customHeight="1" x14ac:dyDescent="0.2">
      <c r="AQ231" s="32"/>
    </row>
    <row r="232" spans="43:43" ht="12" customHeight="1" x14ac:dyDescent="0.2">
      <c r="AQ232" s="32"/>
    </row>
    <row r="233" spans="43:43" ht="12" customHeight="1" x14ac:dyDescent="0.2">
      <c r="AQ233" s="32"/>
    </row>
    <row r="234" spans="43:43" ht="12" customHeight="1" x14ac:dyDescent="0.2">
      <c r="AQ234" s="32"/>
    </row>
    <row r="235" spans="43:43" ht="12" customHeight="1" x14ac:dyDescent="0.2">
      <c r="AQ235" s="32"/>
    </row>
    <row r="236" spans="43:43" ht="12" customHeight="1" x14ac:dyDescent="0.2">
      <c r="AQ236" s="32"/>
    </row>
    <row r="237" spans="43:43" ht="12" customHeight="1" x14ac:dyDescent="0.2">
      <c r="AQ237" s="32"/>
    </row>
    <row r="238" spans="43:43" ht="12" customHeight="1" x14ac:dyDescent="0.2">
      <c r="AQ238" s="32"/>
    </row>
    <row r="239" spans="43:43" ht="12" customHeight="1" x14ac:dyDescent="0.2">
      <c r="AQ239" s="32"/>
    </row>
    <row r="240" spans="43:43" ht="12" customHeight="1" x14ac:dyDescent="0.2">
      <c r="AQ240" s="32"/>
    </row>
    <row r="241" spans="43:43" ht="12" customHeight="1" x14ac:dyDescent="0.2">
      <c r="AQ241" s="32"/>
    </row>
    <row r="242" spans="43:43" ht="12" customHeight="1" x14ac:dyDescent="0.2">
      <c r="AQ242" s="32"/>
    </row>
    <row r="243" spans="43:43" ht="12" customHeight="1" x14ac:dyDescent="0.2">
      <c r="AQ243" s="32"/>
    </row>
    <row r="244" spans="43:43" ht="12" customHeight="1" x14ac:dyDescent="0.2">
      <c r="AQ244" s="32"/>
    </row>
    <row r="245" spans="43:43" ht="12" customHeight="1" x14ac:dyDescent="0.2">
      <c r="AQ245" s="32"/>
    </row>
    <row r="246" spans="43:43" ht="12" customHeight="1" x14ac:dyDescent="0.2">
      <c r="AQ246" s="32"/>
    </row>
    <row r="247" spans="43:43" ht="12" customHeight="1" x14ac:dyDescent="0.2">
      <c r="AQ247" s="32"/>
    </row>
    <row r="248" spans="43:43" ht="12" customHeight="1" x14ac:dyDescent="0.2">
      <c r="AQ248" s="32"/>
    </row>
    <row r="249" spans="43:43" ht="12" customHeight="1" x14ac:dyDescent="0.2">
      <c r="AQ249" s="32"/>
    </row>
    <row r="250" spans="43:43" ht="12" customHeight="1" x14ac:dyDescent="0.2">
      <c r="AQ250" s="32"/>
    </row>
    <row r="251" spans="43:43" ht="12" customHeight="1" x14ac:dyDescent="0.2">
      <c r="AQ251" s="32"/>
    </row>
    <row r="252" spans="43:43" ht="12" customHeight="1" x14ac:dyDescent="0.2">
      <c r="AQ252" s="32"/>
    </row>
    <row r="253" spans="43:43" ht="12" customHeight="1" x14ac:dyDescent="0.2">
      <c r="AQ253" s="32"/>
    </row>
    <row r="254" spans="43:43" ht="12" customHeight="1" x14ac:dyDescent="0.2">
      <c r="AQ254" s="32"/>
    </row>
    <row r="255" spans="43:43" ht="12" customHeight="1" x14ac:dyDescent="0.2">
      <c r="AQ255" s="32"/>
    </row>
    <row r="256" spans="43:43" ht="12" customHeight="1" x14ac:dyDescent="0.2">
      <c r="AQ256" s="32"/>
    </row>
    <row r="257" spans="43:43" ht="12" customHeight="1" x14ac:dyDescent="0.2">
      <c r="AQ257" s="32"/>
    </row>
    <row r="258" spans="43:43" ht="12" customHeight="1" x14ac:dyDescent="0.2">
      <c r="AQ258" s="32"/>
    </row>
    <row r="259" spans="43:43" ht="12" customHeight="1" x14ac:dyDescent="0.2">
      <c r="AQ259" s="32"/>
    </row>
    <row r="260" spans="43:43" ht="12" customHeight="1" x14ac:dyDescent="0.2">
      <c r="AQ260" s="32"/>
    </row>
    <row r="261" spans="43:43" ht="12" customHeight="1" x14ac:dyDescent="0.2">
      <c r="AQ261" s="32"/>
    </row>
    <row r="262" spans="43:43" ht="12" customHeight="1" x14ac:dyDescent="0.2">
      <c r="AQ262" s="32"/>
    </row>
    <row r="263" spans="43:43" ht="12" customHeight="1" x14ac:dyDescent="0.2">
      <c r="AQ263" s="32"/>
    </row>
    <row r="264" spans="43:43" ht="12" customHeight="1" x14ac:dyDescent="0.2">
      <c r="AQ264" s="32"/>
    </row>
    <row r="265" spans="43:43" ht="12" customHeight="1" x14ac:dyDescent="0.2">
      <c r="AQ265" s="32"/>
    </row>
    <row r="266" spans="43:43" ht="12" customHeight="1" x14ac:dyDescent="0.2">
      <c r="AQ266" s="32"/>
    </row>
    <row r="267" spans="43:43" ht="12" customHeight="1" x14ac:dyDescent="0.2">
      <c r="AQ267" s="32"/>
    </row>
    <row r="268" spans="43:43" ht="12" customHeight="1" x14ac:dyDescent="0.2">
      <c r="AQ268" s="32"/>
    </row>
    <row r="269" spans="43:43" ht="12" customHeight="1" x14ac:dyDescent="0.2">
      <c r="AQ269" s="32"/>
    </row>
    <row r="270" spans="43:43" ht="12" customHeight="1" x14ac:dyDescent="0.2">
      <c r="AQ270" s="32"/>
    </row>
    <row r="271" spans="43:43" ht="12" customHeight="1" x14ac:dyDescent="0.2">
      <c r="AQ271" s="32"/>
    </row>
    <row r="272" spans="43:43" ht="12" customHeight="1" x14ac:dyDescent="0.2">
      <c r="AQ272" s="32"/>
    </row>
    <row r="273" spans="43:43" ht="12" customHeight="1" x14ac:dyDescent="0.2">
      <c r="AQ273" s="32"/>
    </row>
    <row r="274" spans="43:43" ht="12" customHeight="1" x14ac:dyDescent="0.2">
      <c r="AQ274" s="32"/>
    </row>
    <row r="275" spans="43:43" ht="12" customHeight="1" x14ac:dyDescent="0.2">
      <c r="AQ275" s="32"/>
    </row>
    <row r="276" spans="43:43" ht="12" customHeight="1" x14ac:dyDescent="0.2">
      <c r="AQ276" s="32"/>
    </row>
    <row r="277" spans="43:43" ht="12" customHeight="1" x14ac:dyDescent="0.2">
      <c r="AQ277" s="32"/>
    </row>
    <row r="278" spans="43:43" ht="12" customHeight="1" x14ac:dyDescent="0.2">
      <c r="AQ278" s="32"/>
    </row>
    <row r="279" spans="43:43" ht="12" customHeight="1" x14ac:dyDescent="0.2">
      <c r="AQ279" s="32"/>
    </row>
    <row r="280" spans="43:43" ht="12" customHeight="1" x14ac:dyDescent="0.2">
      <c r="AQ280" s="32"/>
    </row>
    <row r="281" spans="43:43" ht="12" customHeight="1" x14ac:dyDescent="0.2">
      <c r="AQ281" s="32"/>
    </row>
    <row r="282" spans="43:43" ht="12" customHeight="1" x14ac:dyDescent="0.2">
      <c r="AQ282" s="32"/>
    </row>
    <row r="283" spans="43:43" ht="12" customHeight="1" x14ac:dyDescent="0.2">
      <c r="AQ283" s="32"/>
    </row>
    <row r="284" spans="43:43" ht="12" customHeight="1" x14ac:dyDescent="0.2">
      <c r="AQ284" s="32"/>
    </row>
    <row r="285" spans="43:43" ht="12" customHeight="1" x14ac:dyDescent="0.2">
      <c r="AQ285" s="32"/>
    </row>
    <row r="286" spans="43:43" ht="12" customHeight="1" x14ac:dyDescent="0.2">
      <c r="AQ286" s="32"/>
    </row>
    <row r="287" spans="43:43" ht="12" customHeight="1" x14ac:dyDescent="0.2">
      <c r="AQ287" s="32"/>
    </row>
    <row r="288" spans="43:43" ht="12" customHeight="1" x14ac:dyDescent="0.2">
      <c r="AQ288" s="32"/>
    </row>
    <row r="289" spans="43:43" ht="12" customHeight="1" x14ac:dyDescent="0.2">
      <c r="AQ289" s="32"/>
    </row>
    <row r="290" spans="43:43" ht="12" customHeight="1" x14ac:dyDescent="0.2">
      <c r="AQ290" s="32"/>
    </row>
    <row r="291" spans="43:43" ht="12" customHeight="1" x14ac:dyDescent="0.2">
      <c r="AQ291" s="32"/>
    </row>
    <row r="292" spans="43:43" ht="12" customHeight="1" x14ac:dyDescent="0.2">
      <c r="AQ292" s="32"/>
    </row>
    <row r="293" spans="43:43" ht="12" customHeight="1" x14ac:dyDescent="0.2">
      <c r="AQ293" s="32"/>
    </row>
    <row r="294" spans="43:43" ht="12" customHeight="1" x14ac:dyDescent="0.2">
      <c r="AQ294" s="32"/>
    </row>
    <row r="295" spans="43:43" ht="12" customHeight="1" x14ac:dyDescent="0.2">
      <c r="AQ295" s="32"/>
    </row>
    <row r="296" spans="43:43" ht="12" customHeight="1" x14ac:dyDescent="0.2">
      <c r="AQ296" s="32"/>
    </row>
    <row r="297" spans="43:43" ht="12" customHeight="1" x14ac:dyDescent="0.2">
      <c r="AQ297" s="32"/>
    </row>
    <row r="298" spans="43:43" ht="12" customHeight="1" x14ac:dyDescent="0.2">
      <c r="AQ298" s="32"/>
    </row>
    <row r="299" spans="43:43" ht="12" customHeight="1" x14ac:dyDescent="0.2">
      <c r="AQ299" s="32"/>
    </row>
    <row r="300" spans="43:43" ht="12" customHeight="1" x14ac:dyDescent="0.2">
      <c r="AQ300" s="32"/>
    </row>
    <row r="301" spans="43:43" ht="12" customHeight="1" x14ac:dyDescent="0.2">
      <c r="AQ301" s="32"/>
    </row>
    <row r="302" spans="43:43" ht="12" customHeight="1" x14ac:dyDescent="0.2">
      <c r="AQ302" s="32"/>
    </row>
    <row r="303" spans="43:43" ht="12" customHeight="1" x14ac:dyDescent="0.2">
      <c r="AQ303" s="32"/>
    </row>
    <row r="304" spans="43:43" ht="12" customHeight="1" x14ac:dyDescent="0.2">
      <c r="AQ304" s="32"/>
    </row>
    <row r="305" spans="43:43" ht="12" customHeight="1" x14ac:dyDescent="0.2">
      <c r="AQ305" s="32"/>
    </row>
    <row r="306" spans="43:43" ht="12" customHeight="1" x14ac:dyDescent="0.2">
      <c r="AQ306" s="32"/>
    </row>
    <row r="307" spans="43:43" ht="12" customHeight="1" x14ac:dyDescent="0.2">
      <c r="AQ307" s="32"/>
    </row>
    <row r="308" spans="43:43" ht="12" customHeight="1" x14ac:dyDescent="0.2">
      <c r="AQ308" s="32"/>
    </row>
    <row r="309" spans="43:43" ht="12" customHeight="1" x14ac:dyDescent="0.2">
      <c r="AQ309" s="32"/>
    </row>
    <row r="310" spans="43:43" ht="12" customHeight="1" x14ac:dyDescent="0.2">
      <c r="AQ310" s="32"/>
    </row>
    <row r="311" spans="43:43" ht="12" customHeight="1" x14ac:dyDescent="0.2">
      <c r="AQ311" s="32"/>
    </row>
    <row r="312" spans="43:43" ht="12" customHeight="1" x14ac:dyDescent="0.2">
      <c r="AQ312" s="32"/>
    </row>
    <row r="313" spans="43:43" ht="12" customHeight="1" x14ac:dyDescent="0.2">
      <c r="AQ313" s="32"/>
    </row>
    <row r="314" spans="43:43" ht="12" customHeight="1" x14ac:dyDescent="0.2">
      <c r="AQ314" s="32"/>
    </row>
    <row r="315" spans="43:43" ht="12" customHeight="1" x14ac:dyDescent="0.2">
      <c r="AQ315" s="32"/>
    </row>
    <row r="316" spans="43:43" ht="12" customHeight="1" x14ac:dyDescent="0.2">
      <c r="AQ316" s="32"/>
    </row>
    <row r="317" spans="43:43" ht="12" customHeight="1" x14ac:dyDescent="0.2">
      <c r="AQ317" s="32"/>
    </row>
    <row r="318" spans="43:43" ht="12" customHeight="1" x14ac:dyDescent="0.2">
      <c r="AQ318" s="32"/>
    </row>
    <row r="319" spans="43:43" ht="12" customHeight="1" x14ac:dyDescent="0.2">
      <c r="AQ319" s="32"/>
    </row>
    <row r="320" spans="43:43" ht="12" customHeight="1" x14ac:dyDescent="0.2">
      <c r="AQ320" s="32"/>
    </row>
    <row r="321" spans="43:43" ht="12" customHeight="1" x14ac:dyDescent="0.2">
      <c r="AQ321" s="32"/>
    </row>
    <row r="322" spans="43:43" ht="12" customHeight="1" x14ac:dyDescent="0.2">
      <c r="AQ322" s="32"/>
    </row>
    <row r="323" spans="43:43" ht="12" customHeight="1" x14ac:dyDescent="0.2">
      <c r="AQ323" s="32"/>
    </row>
    <row r="324" spans="43:43" ht="12" customHeight="1" x14ac:dyDescent="0.2">
      <c r="AQ324" s="32"/>
    </row>
    <row r="325" spans="43:43" ht="12" customHeight="1" x14ac:dyDescent="0.2">
      <c r="AQ325" s="32"/>
    </row>
    <row r="326" spans="43:43" ht="12" customHeight="1" x14ac:dyDescent="0.2">
      <c r="AQ326" s="32"/>
    </row>
    <row r="327" spans="43:43" ht="12" customHeight="1" x14ac:dyDescent="0.2">
      <c r="AQ327" s="32"/>
    </row>
    <row r="328" spans="43:43" ht="12" customHeight="1" x14ac:dyDescent="0.2">
      <c r="AQ328" s="32"/>
    </row>
    <row r="329" spans="43:43" ht="12" customHeight="1" x14ac:dyDescent="0.2">
      <c r="AQ329" s="32"/>
    </row>
    <row r="330" spans="43:43" ht="12" customHeight="1" x14ac:dyDescent="0.2">
      <c r="AQ330" s="32"/>
    </row>
    <row r="331" spans="43:43" ht="12" customHeight="1" x14ac:dyDescent="0.2">
      <c r="AQ331" s="32"/>
    </row>
    <row r="332" spans="43:43" ht="12" customHeight="1" x14ac:dyDescent="0.2">
      <c r="AQ332" s="32"/>
    </row>
    <row r="333" spans="43:43" ht="12" customHeight="1" x14ac:dyDescent="0.2">
      <c r="AQ333" s="32"/>
    </row>
    <row r="334" spans="43:43" ht="12" customHeight="1" x14ac:dyDescent="0.2">
      <c r="AQ334" s="32"/>
    </row>
    <row r="335" spans="43:43" ht="12" customHeight="1" x14ac:dyDescent="0.2">
      <c r="AQ335" s="32"/>
    </row>
    <row r="336" spans="43:43" ht="12" customHeight="1" x14ac:dyDescent="0.2">
      <c r="AQ336" s="32"/>
    </row>
    <row r="337" spans="43:43" ht="12" customHeight="1" x14ac:dyDescent="0.2">
      <c r="AQ337" s="32"/>
    </row>
    <row r="338" spans="43:43" ht="12" customHeight="1" x14ac:dyDescent="0.2">
      <c r="AQ338" s="32"/>
    </row>
    <row r="339" spans="43:43" ht="12" customHeight="1" x14ac:dyDescent="0.2">
      <c r="AQ339" s="32"/>
    </row>
    <row r="340" spans="43:43" ht="12" customHeight="1" x14ac:dyDescent="0.2">
      <c r="AQ340" s="32"/>
    </row>
    <row r="341" spans="43:43" ht="12" customHeight="1" x14ac:dyDescent="0.2">
      <c r="AQ341" s="32"/>
    </row>
    <row r="342" spans="43:43" ht="12" customHeight="1" x14ac:dyDescent="0.2">
      <c r="AQ342" s="32"/>
    </row>
    <row r="343" spans="43:43" ht="12" customHeight="1" x14ac:dyDescent="0.2">
      <c r="AQ343" s="32"/>
    </row>
    <row r="344" spans="43:43" ht="12" customHeight="1" x14ac:dyDescent="0.2">
      <c r="AQ344" s="32"/>
    </row>
    <row r="345" spans="43:43" ht="12" customHeight="1" x14ac:dyDescent="0.2">
      <c r="AQ345" s="32"/>
    </row>
    <row r="346" spans="43:43" ht="12" customHeight="1" x14ac:dyDescent="0.2">
      <c r="AQ346" s="32"/>
    </row>
    <row r="347" spans="43:43" ht="12" customHeight="1" x14ac:dyDescent="0.2">
      <c r="AQ347" s="32"/>
    </row>
    <row r="348" spans="43:43" ht="12" customHeight="1" x14ac:dyDescent="0.2">
      <c r="AQ348" s="32"/>
    </row>
    <row r="349" spans="43:43" ht="12" customHeight="1" x14ac:dyDescent="0.2">
      <c r="AQ349" s="32"/>
    </row>
    <row r="350" spans="43:43" ht="12" customHeight="1" x14ac:dyDescent="0.2">
      <c r="AQ350" s="32"/>
    </row>
    <row r="351" spans="43:43" ht="12" customHeight="1" x14ac:dyDescent="0.2">
      <c r="AQ351" s="32"/>
    </row>
    <row r="352" spans="43:43" ht="12" customHeight="1" x14ac:dyDescent="0.2">
      <c r="AQ352" s="32"/>
    </row>
    <row r="353" spans="43:43" ht="12" customHeight="1" x14ac:dyDescent="0.2">
      <c r="AQ353" s="32"/>
    </row>
    <row r="354" spans="43:43" ht="12" customHeight="1" x14ac:dyDescent="0.2">
      <c r="AQ354" s="32"/>
    </row>
    <row r="355" spans="43:43" ht="12" customHeight="1" x14ac:dyDescent="0.2">
      <c r="AQ355" s="32"/>
    </row>
    <row r="356" spans="43:43" ht="12" customHeight="1" x14ac:dyDescent="0.2">
      <c r="AQ356" s="32"/>
    </row>
    <row r="357" spans="43:43" ht="12" customHeight="1" x14ac:dyDescent="0.2">
      <c r="AQ357" s="32"/>
    </row>
    <row r="358" spans="43:43" ht="12" customHeight="1" x14ac:dyDescent="0.2">
      <c r="AQ358" s="32"/>
    </row>
    <row r="359" spans="43:43" ht="12" customHeight="1" x14ac:dyDescent="0.2">
      <c r="AQ359" s="32"/>
    </row>
    <row r="360" spans="43:43" ht="12" customHeight="1" x14ac:dyDescent="0.2">
      <c r="AQ360" s="32"/>
    </row>
    <row r="361" spans="43:43" ht="12" customHeight="1" x14ac:dyDescent="0.2">
      <c r="AQ361" s="32"/>
    </row>
    <row r="362" spans="43:43" ht="12" customHeight="1" x14ac:dyDescent="0.2">
      <c r="AQ362" s="32"/>
    </row>
    <row r="363" spans="43:43" ht="12" customHeight="1" x14ac:dyDescent="0.2">
      <c r="AQ363" s="32"/>
    </row>
    <row r="364" spans="43:43" ht="12" customHeight="1" x14ac:dyDescent="0.2">
      <c r="AQ364" s="32"/>
    </row>
    <row r="365" spans="43:43" ht="12" customHeight="1" x14ac:dyDescent="0.2">
      <c r="AQ365" s="32"/>
    </row>
    <row r="366" spans="43:43" ht="12" customHeight="1" x14ac:dyDescent="0.2">
      <c r="AQ366" s="32"/>
    </row>
    <row r="367" spans="43:43" ht="12" customHeight="1" x14ac:dyDescent="0.2">
      <c r="AQ367" s="32"/>
    </row>
    <row r="368" spans="43:43" ht="12" customHeight="1" x14ac:dyDescent="0.2">
      <c r="AQ368" s="32"/>
    </row>
    <row r="369" spans="43:43" ht="12" customHeight="1" x14ac:dyDescent="0.2">
      <c r="AQ369" s="32"/>
    </row>
    <row r="370" spans="43:43" ht="12" customHeight="1" x14ac:dyDescent="0.2">
      <c r="AQ370" s="32"/>
    </row>
    <row r="371" spans="43:43" ht="12" customHeight="1" x14ac:dyDescent="0.2">
      <c r="AQ371" s="32"/>
    </row>
    <row r="372" spans="43:43" ht="12" customHeight="1" x14ac:dyDescent="0.2">
      <c r="AQ372" s="32"/>
    </row>
    <row r="373" spans="43:43" ht="12" customHeight="1" x14ac:dyDescent="0.2">
      <c r="AQ373" s="32"/>
    </row>
    <row r="374" spans="43:43" ht="12" customHeight="1" x14ac:dyDescent="0.2">
      <c r="AQ374" s="32"/>
    </row>
    <row r="375" spans="43:43" ht="12" customHeight="1" x14ac:dyDescent="0.2">
      <c r="AQ375" s="32"/>
    </row>
    <row r="376" spans="43:43" ht="12" customHeight="1" x14ac:dyDescent="0.2">
      <c r="AQ376" s="32"/>
    </row>
    <row r="377" spans="43:43" ht="12" customHeight="1" x14ac:dyDescent="0.2">
      <c r="AQ377" s="32"/>
    </row>
    <row r="378" spans="43:43" ht="12" customHeight="1" x14ac:dyDescent="0.2">
      <c r="AQ378" s="32"/>
    </row>
    <row r="379" spans="43:43" ht="12" customHeight="1" x14ac:dyDescent="0.2">
      <c r="AQ379" s="32"/>
    </row>
    <row r="380" spans="43:43" ht="12" customHeight="1" x14ac:dyDescent="0.2">
      <c r="AQ380" s="32"/>
    </row>
    <row r="381" spans="43:43" ht="12" customHeight="1" x14ac:dyDescent="0.2">
      <c r="AQ381" s="32"/>
    </row>
    <row r="382" spans="43:43" ht="12" customHeight="1" x14ac:dyDescent="0.2">
      <c r="AQ382" s="32"/>
    </row>
    <row r="383" spans="43:43" ht="12" customHeight="1" x14ac:dyDescent="0.2">
      <c r="AQ383" s="32"/>
    </row>
    <row r="384" spans="43:43" ht="12" customHeight="1" x14ac:dyDescent="0.2">
      <c r="AQ384" s="32"/>
    </row>
    <row r="385" spans="43:43" ht="12" customHeight="1" x14ac:dyDescent="0.2">
      <c r="AQ385" s="32"/>
    </row>
    <row r="386" spans="43:43" ht="12" customHeight="1" x14ac:dyDescent="0.2">
      <c r="AQ386" s="32"/>
    </row>
    <row r="387" spans="43:43" ht="12" customHeight="1" x14ac:dyDescent="0.2">
      <c r="AQ387" s="32"/>
    </row>
    <row r="388" spans="43:43" ht="12" customHeight="1" x14ac:dyDescent="0.2">
      <c r="AQ388" s="32"/>
    </row>
    <row r="389" spans="43:43" ht="12" customHeight="1" x14ac:dyDescent="0.2">
      <c r="AQ389" s="32"/>
    </row>
    <row r="390" spans="43:43" ht="12" customHeight="1" x14ac:dyDescent="0.2">
      <c r="AQ390" s="32"/>
    </row>
    <row r="391" spans="43:43" ht="12" customHeight="1" x14ac:dyDescent="0.2">
      <c r="AQ391" s="32"/>
    </row>
    <row r="392" spans="43:43" ht="12" customHeight="1" x14ac:dyDescent="0.2">
      <c r="AQ392" s="32"/>
    </row>
    <row r="393" spans="43:43" ht="12" customHeight="1" x14ac:dyDescent="0.2">
      <c r="AQ393" s="32"/>
    </row>
    <row r="394" spans="43:43" ht="12" customHeight="1" x14ac:dyDescent="0.2">
      <c r="AQ394" s="32"/>
    </row>
    <row r="395" spans="43:43" ht="12" customHeight="1" x14ac:dyDescent="0.2">
      <c r="AQ395" s="32"/>
    </row>
    <row r="396" spans="43:43" ht="12" customHeight="1" x14ac:dyDescent="0.2">
      <c r="AQ396" s="32"/>
    </row>
    <row r="397" spans="43:43" ht="12" customHeight="1" x14ac:dyDescent="0.2">
      <c r="AQ397" s="32"/>
    </row>
    <row r="398" spans="43:43" ht="12" customHeight="1" x14ac:dyDescent="0.2">
      <c r="AQ398" s="32"/>
    </row>
    <row r="399" spans="43:43" ht="12" customHeight="1" x14ac:dyDescent="0.2">
      <c r="AQ399" s="32"/>
    </row>
    <row r="400" spans="43:43" ht="12" customHeight="1" x14ac:dyDescent="0.2">
      <c r="AQ400" s="32"/>
    </row>
    <row r="401" spans="43:43" ht="12" customHeight="1" x14ac:dyDescent="0.2">
      <c r="AQ401" s="32"/>
    </row>
    <row r="402" spans="43:43" ht="12" customHeight="1" x14ac:dyDescent="0.2">
      <c r="AQ402" s="32"/>
    </row>
    <row r="403" spans="43:43" ht="12" customHeight="1" x14ac:dyDescent="0.2">
      <c r="AQ403" s="32"/>
    </row>
    <row r="404" spans="43:43" ht="12" customHeight="1" x14ac:dyDescent="0.2">
      <c r="AQ404" s="32"/>
    </row>
    <row r="405" spans="43:43" ht="12" customHeight="1" x14ac:dyDescent="0.2">
      <c r="AQ405" s="32"/>
    </row>
    <row r="406" spans="43:43" ht="12" customHeight="1" x14ac:dyDescent="0.2">
      <c r="AQ406" s="32"/>
    </row>
    <row r="407" spans="43:43" ht="12" customHeight="1" x14ac:dyDescent="0.2">
      <c r="AQ407" s="32"/>
    </row>
    <row r="408" spans="43:43" ht="12" customHeight="1" x14ac:dyDescent="0.2">
      <c r="AQ408" s="32"/>
    </row>
    <row r="409" spans="43:43" ht="12" customHeight="1" x14ac:dyDescent="0.2">
      <c r="AQ409" s="32"/>
    </row>
    <row r="410" spans="43:43" ht="12" customHeight="1" x14ac:dyDescent="0.2">
      <c r="AQ410" s="32"/>
    </row>
    <row r="411" spans="43:43" ht="12" customHeight="1" x14ac:dyDescent="0.2">
      <c r="AQ411" s="32"/>
    </row>
    <row r="412" spans="43:43" ht="12" customHeight="1" x14ac:dyDescent="0.2">
      <c r="AQ412" s="32"/>
    </row>
    <row r="413" spans="43:43" ht="12" customHeight="1" x14ac:dyDescent="0.2">
      <c r="AQ413" s="32"/>
    </row>
    <row r="414" spans="43:43" ht="12" customHeight="1" x14ac:dyDescent="0.2">
      <c r="AQ414" s="32"/>
    </row>
    <row r="415" spans="43:43" ht="12" customHeight="1" x14ac:dyDescent="0.2">
      <c r="AQ415" s="32"/>
    </row>
    <row r="416" spans="43:43" ht="12" customHeight="1" x14ac:dyDescent="0.2">
      <c r="AQ416" s="32"/>
    </row>
    <row r="417" spans="43:43" ht="12" customHeight="1" x14ac:dyDescent="0.2">
      <c r="AQ417" s="32"/>
    </row>
    <row r="418" spans="43:43" ht="12" customHeight="1" x14ac:dyDescent="0.2">
      <c r="AQ418" s="32"/>
    </row>
    <row r="419" spans="43:43" ht="12" customHeight="1" x14ac:dyDescent="0.2">
      <c r="AQ419" s="32"/>
    </row>
    <row r="420" spans="43:43" ht="12" customHeight="1" x14ac:dyDescent="0.2">
      <c r="AQ420" s="32"/>
    </row>
    <row r="421" spans="43:43" ht="12" customHeight="1" x14ac:dyDescent="0.2">
      <c r="AQ421" s="32"/>
    </row>
    <row r="422" spans="43:43" ht="12" customHeight="1" x14ac:dyDescent="0.2">
      <c r="AQ422" s="32"/>
    </row>
    <row r="423" spans="43:43" ht="12" customHeight="1" x14ac:dyDescent="0.2">
      <c r="AQ423" s="32"/>
    </row>
    <row r="424" spans="43:43" ht="12" customHeight="1" x14ac:dyDescent="0.2">
      <c r="AQ424" s="32"/>
    </row>
    <row r="425" spans="43:43" ht="12" customHeight="1" x14ac:dyDescent="0.2">
      <c r="AQ425" s="32"/>
    </row>
    <row r="426" spans="43:43" ht="12" customHeight="1" x14ac:dyDescent="0.2">
      <c r="AQ426" s="32"/>
    </row>
    <row r="427" spans="43:43" ht="12" customHeight="1" x14ac:dyDescent="0.2">
      <c r="AQ427" s="32"/>
    </row>
    <row r="428" spans="43:43" ht="12" customHeight="1" x14ac:dyDescent="0.2">
      <c r="AQ428" s="32"/>
    </row>
    <row r="429" spans="43:43" ht="12" customHeight="1" x14ac:dyDescent="0.2">
      <c r="AQ429" s="32"/>
    </row>
    <row r="430" spans="43:43" ht="12" customHeight="1" x14ac:dyDescent="0.2">
      <c r="AQ430" s="32"/>
    </row>
    <row r="431" spans="43:43" ht="12" customHeight="1" x14ac:dyDescent="0.2">
      <c r="AQ431" s="32"/>
    </row>
    <row r="432" spans="43:43" ht="12" customHeight="1" x14ac:dyDescent="0.2">
      <c r="AQ432" s="32"/>
    </row>
    <row r="433" spans="43:43" ht="12" customHeight="1" x14ac:dyDescent="0.2">
      <c r="AQ433" s="32"/>
    </row>
    <row r="434" spans="43:43" ht="12" customHeight="1" x14ac:dyDescent="0.2">
      <c r="AQ434" s="32"/>
    </row>
    <row r="435" spans="43:43" ht="12" customHeight="1" x14ac:dyDescent="0.2">
      <c r="AQ435" s="32"/>
    </row>
    <row r="436" spans="43:43" ht="12" customHeight="1" x14ac:dyDescent="0.2">
      <c r="AQ436" s="32"/>
    </row>
    <row r="437" spans="43:43" ht="12" customHeight="1" x14ac:dyDescent="0.2">
      <c r="AQ437" s="32"/>
    </row>
    <row r="438" spans="43:43" ht="12" customHeight="1" x14ac:dyDescent="0.2">
      <c r="AQ438" s="32"/>
    </row>
    <row r="439" spans="43:43" ht="12" customHeight="1" x14ac:dyDescent="0.2">
      <c r="AQ439" s="32"/>
    </row>
    <row r="440" spans="43:43" ht="12" customHeight="1" x14ac:dyDescent="0.2">
      <c r="AQ440" s="32"/>
    </row>
    <row r="441" spans="43:43" ht="12" customHeight="1" x14ac:dyDescent="0.2">
      <c r="AQ441" s="32"/>
    </row>
    <row r="442" spans="43:43" ht="12" customHeight="1" x14ac:dyDescent="0.2">
      <c r="AQ442" s="32"/>
    </row>
    <row r="443" spans="43:43" ht="12" customHeight="1" x14ac:dyDescent="0.2">
      <c r="AQ443" s="32"/>
    </row>
    <row r="444" spans="43:43" ht="12" customHeight="1" x14ac:dyDescent="0.2">
      <c r="AQ444" s="32"/>
    </row>
    <row r="445" spans="43:43" ht="12" customHeight="1" x14ac:dyDescent="0.2">
      <c r="AQ445" s="32"/>
    </row>
    <row r="446" spans="43:43" ht="12" customHeight="1" x14ac:dyDescent="0.2">
      <c r="AQ446" s="32"/>
    </row>
    <row r="447" spans="43:43" ht="12" customHeight="1" x14ac:dyDescent="0.2">
      <c r="AQ447" s="32"/>
    </row>
    <row r="448" spans="43:43" ht="12" customHeight="1" x14ac:dyDescent="0.2">
      <c r="AQ448" s="32"/>
    </row>
    <row r="449" spans="43:43" ht="12" customHeight="1" x14ac:dyDescent="0.2">
      <c r="AQ449" s="32"/>
    </row>
    <row r="450" spans="43:43" ht="12" customHeight="1" x14ac:dyDescent="0.2">
      <c r="AQ450" s="32"/>
    </row>
    <row r="451" spans="43:43" ht="12" customHeight="1" x14ac:dyDescent="0.2">
      <c r="AQ451" s="32"/>
    </row>
    <row r="452" spans="43:43" ht="12" customHeight="1" x14ac:dyDescent="0.2">
      <c r="AQ452" s="32"/>
    </row>
    <row r="453" spans="43:43" ht="12" customHeight="1" x14ac:dyDescent="0.2">
      <c r="AQ453" s="32"/>
    </row>
    <row r="454" spans="43:43" ht="12" customHeight="1" x14ac:dyDescent="0.2">
      <c r="AQ454" s="32"/>
    </row>
    <row r="455" spans="43:43" ht="12" customHeight="1" x14ac:dyDescent="0.2">
      <c r="AQ455" s="32"/>
    </row>
    <row r="456" spans="43:43" ht="12" customHeight="1" x14ac:dyDescent="0.2">
      <c r="AQ456" s="32"/>
    </row>
    <row r="457" spans="43:43" ht="12" customHeight="1" x14ac:dyDescent="0.2">
      <c r="AQ457" s="32"/>
    </row>
    <row r="458" spans="43:43" ht="12" customHeight="1" x14ac:dyDescent="0.2">
      <c r="AQ458" s="32"/>
    </row>
    <row r="459" spans="43:43" ht="12" customHeight="1" x14ac:dyDescent="0.2">
      <c r="AQ459" s="32"/>
    </row>
    <row r="460" spans="43:43" ht="12" customHeight="1" x14ac:dyDescent="0.2">
      <c r="AQ460" s="32"/>
    </row>
    <row r="461" spans="43:43" ht="12" customHeight="1" x14ac:dyDescent="0.2">
      <c r="AQ461" s="32"/>
    </row>
    <row r="462" spans="43:43" ht="12" customHeight="1" x14ac:dyDescent="0.2">
      <c r="AQ462" s="32"/>
    </row>
    <row r="463" spans="43:43" ht="12" customHeight="1" x14ac:dyDescent="0.2">
      <c r="AQ463" s="32"/>
    </row>
    <row r="464" spans="43:43" ht="12" customHeight="1" x14ac:dyDescent="0.2">
      <c r="AQ464" s="32"/>
    </row>
    <row r="465" spans="43:43" ht="12" customHeight="1" x14ac:dyDescent="0.2">
      <c r="AQ465" s="32"/>
    </row>
    <row r="466" spans="43:43" ht="12" customHeight="1" x14ac:dyDescent="0.2">
      <c r="AQ466" s="32"/>
    </row>
    <row r="467" spans="43:43" ht="12" customHeight="1" x14ac:dyDescent="0.2">
      <c r="AQ467" s="32"/>
    </row>
    <row r="468" spans="43:43" ht="12" customHeight="1" x14ac:dyDescent="0.2">
      <c r="AQ468" s="32"/>
    </row>
    <row r="469" spans="43:43" ht="12" customHeight="1" x14ac:dyDescent="0.2">
      <c r="AQ469" s="32"/>
    </row>
    <row r="470" spans="43:43" ht="12" customHeight="1" x14ac:dyDescent="0.2">
      <c r="AQ470" s="32"/>
    </row>
    <row r="471" spans="43:43" ht="12" customHeight="1" x14ac:dyDescent="0.2">
      <c r="AQ471" s="32"/>
    </row>
    <row r="472" spans="43:43" ht="12" customHeight="1" x14ac:dyDescent="0.2">
      <c r="AQ472" s="32"/>
    </row>
    <row r="473" spans="43:43" ht="12" customHeight="1" x14ac:dyDescent="0.2">
      <c r="AQ473" s="32"/>
    </row>
    <row r="474" spans="43:43" ht="12" customHeight="1" x14ac:dyDescent="0.2">
      <c r="AQ474" s="32"/>
    </row>
    <row r="475" spans="43:43" ht="12" customHeight="1" x14ac:dyDescent="0.2">
      <c r="AQ475" s="32"/>
    </row>
    <row r="476" spans="43:43" ht="12" customHeight="1" x14ac:dyDescent="0.2">
      <c r="AQ476" s="32"/>
    </row>
    <row r="477" spans="43:43" ht="12" customHeight="1" x14ac:dyDescent="0.2">
      <c r="AQ477" s="32"/>
    </row>
    <row r="478" spans="43:43" ht="12" customHeight="1" x14ac:dyDescent="0.2">
      <c r="AQ478" s="32"/>
    </row>
    <row r="479" spans="43:43" ht="12" customHeight="1" x14ac:dyDescent="0.2">
      <c r="AQ479" s="32"/>
    </row>
    <row r="480" spans="43:43" ht="12" customHeight="1" x14ac:dyDescent="0.2">
      <c r="AQ480" s="32"/>
    </row>
    <row r="481" spans="43:43" ht="12" customHeight="1" x14ac:dyDescent="0.2">
      <c r="AQ481" s="32"/>
    </row>
    <row r="482" spans="43:43" ht="12" customHeight="1" x14ac:dyDescent="0.2">
      <c r="AQ482" s="32"/>
    </row>
    <row r="483" spans="43:43" ht="12" customHeight="1" x14ac:dyDescent="0.2">
      <c r="AQ483" s="32"/>
    </row>
    <row r="484" spans="43:43" ht="12" customHeight="1" x14ac:dyDescent="0.2">
      <c r="AQ484" s="32"/>
    </row>
    <row r="485" spans="43:43" ht="12" customHeight="1" x14ac:dyDescent="0.2">
      <c r="AQ485" s="32"/>
    </row>
    <row r="486" spans="43:43" ht="12" customHeight="1" x14ac:dyDescent="0.2">
      <c r="AQ486" s="32"/>
    </row>
    <row r="487" spans="43:43" ht="12" customHeight="1" x14ac:dyDescent="0.2">
      <c r="AQ487" s="32"/>
    </row>
    <row r="488" spans="43:43" ht="12" customHeight="1" x14ac:dyDescent="0.2">
      <c r="AQ488" s="32"/>
    </row>
    <row r="489" spans="43:43" ht="12" customHeight="1" x14ac:dyDescent="0.2">
      <c r="AQ489" s="32"/>
    </row>
    <row r="490" spans="43:43" ht="12" customHeight="1" x14ac:dyDescent="0.2">
      <c r="AQ490" s="32"/>
    </row>
    <row r="491" spans="43:43" ht="12" customHeight="1" x14ac:dyDescent="0.2">
      <c r="AQ491" s="32"/>
    </row>
    <row r="492" spans="43:43" ht="12" customHeight="1" x14ac:dyDescent="0.2">
      <c r="AQ492" s="32"/>
    </row>
    <row r="493" spans="43:43" ht="12" customHeight="1" x14ac:dyDescent="0.2">
      <c r="AQ493" s="32"/>
    </row>
    <row r="494" spans="43:43" ht="12" customHeight="1" x14ac:dyDescent="0.2">
      <c r="AQ494" s="32"/>
    </row>
    <row r="495" spans="43:43" ht="12" customHeight="1" x14ac:dyDescent="0.2">
      <c r="AQ495" s="32"/>
    </row>
    <row r="496" spans="43:43" ht="12" customHeight="1" x14ac:dyDescent="0.2">
      <c r="AQ496" s="32"/>
    </row>
    <row r="497" spans="43:43" ht="12" customHeight="1" x14ac:dyDescent="0.2">
      <c r="AQ497" s="32"/>
    </row>
    <row r="498" spans="43:43" ht="12" customHeight="1" x14ac:dyDescent="0.2">
      <c r="AQ498" s="32"/>
    </row>
    <row r="499" spans="43:43" ht="12" customHeight="1" x14ac:dyDescent="0.2">
      <c r="AQ499" s="32"/>
    </row>
    <row r="500" spans="43:43" ht="12" customHeight="1" x14ac:dyDescent="0.2">
      <c r="AQ500" s="32"/>
    </row>
    <row r="501" spans="43:43" ht="12" customHeight="1" x14ac:dyDescent="0.2">
      <c r="AQ501" s="32"/>
    </row>
    <row r="502" spans="43:43" ht="12" customHeight="1" x14ac:dyDescent="0.2">
      <c r="AQ502" s="32"/>
    </row>
    <row r="503" spans="43:43" ht="12" customHeight="1" x14ac:dyDescent="0.2">
      <c r="AQ503" s="32"/>
    </row>
    <row r="504" spans="43:43" ht="12" customHeight="1" x14ac:dyDescent="0.2">
      <c r="AQ504" s="32"/>
    </row>
    <row r="505" spans="43:43" ht="12" customHeight="1" x14ac:dyDescent="0.2">
      <c r="AQ505" s="32"/>
    </row>
    <row r="506" spans="43:43" ht="12" customHeight="1" x14ac:dyDescent="0.2">
      <c r="AQ506" s="32"/>
    </row>
    <row r="507" spans="43:43" ht="12" customHeight="1" x14ac:dyDescent="0.2">
      <c r="AQ507" s="32"/>
    </row>
    <row r="508" spans="43:43" ht="12" customHeight="1" x14ac:dyDescent="0.2">
      <c r="AQ508" s="32"/>
    </row>
    <row r="509" spans="43:43" ht="12" customHeight="1" x14ac:dyDescent="0.2">
      <c r="AQ509" s="32"/>
    </row>
    <row r="510" spans="43:43" ht="12" customHeight="1" x14ac:dyDescent="0.2">
      <c r="AQ510" s="32"/>
    </row>
    <row r="511" spans="43:43" ht="12" customHeight="1" x14ac:dyDescent="0.2">
      <c r="AQ511" s="32"/>
    </row>
    <row r="512" spans="43:43" ht="12" customHeight="1" x14ac:dyDescent="0.2">
      <c r="AQ512" s="32"/>
    </row>
    <row r="513" spans="43:43" ht="12" customHeight="1" x14ac:dyDescent="0.2">
      <c r="AQ513" s="32"/>
    </row>
    <row r="514" spans="43:43" ht="12" customHeight="1" x14ac:dyDescent="0.2">
      <c r="AQ514" s="32"/>
    </row>
    <row r="515" spans="43:43" ht="12" customHeight="1" x14ac:dyDescent="0.2">
      <c r="AQ515" s="32"/>
    </row>
    <row r="516" spans="43:43" ht="12" customHeight="1" x14ac:dyDescent="0.2">
      <c r="AQ516" s="32"/>
    </row>
    <row r="517" spans="43:43" ht="12" customHeight="1" x14ac:dyDescent="0.2">
      <c r="AQ517" s="32"/>
    </row>
    <row r="518" spans="43:43" ht="12" customHeight="1" x14ac:dyDescent="0.2">
      <c r="AQ518" s="32"/>
    </row>
    <row r="519" spans="43:43" ht="12" customHeight="1" x14ac:dyDescent="0.2">
      <c r="AQ519" s="32"/>
    </row>
    <row r="520" spans="43:43" ht="12" customHeight="1" x14ac:dyDescent="0.2">
      <c r="AQ520" s="32"/>
    </row>
    <row r="521" spans="43:43" ht="12" customHeight="1" x14ac:dyDescent="0.2">
      <c r="AQ521" s="32"/>
    </row>
    <row r="522" spans="43:43" ht="12" customHeight="1" x14ac:dyDescent="0.2">
      <c r="AQ522" s="32"/>
    </row>
    <row r="523" spans="43:43" ht="12" customHeight="1" x14ac:dyDescent="0.2">
      <c r="AQ523" s="32"/>
    </row>
    <row r="524" spans="43:43" ht="12" customHeight="1" x14ac:dyDescent="0.2">
      <c r="AQ524" s="32"/>
    </row>
    <row r="525" spans="43:43" ht="12" customHeight="1" x14ac:dyDescent="0.2">
      <c r="AQ525" s="32"/>
    </row>
    <row r="526" spans="43:43" ht="12" customHeight="1" x14ac:dyDescent="0.2">
      <c r="AQ526" s="32"/>
    </row>
    <row r="527" spans="43:43" ht="12" customHeight="1" x14ac:dyDescent="0.2">
      <c r="AQ527" s="32"/>
    </row>
    <row r="528" spans="43:43" ht="12" customHeight="1" x14ac:dyDescent="0.2">
      <c r="AQ528" s="32"/>
    </row>
    <row r="529" spans="43:43" ht="12" customHeight="1" x14ac:dyDescent="0.2">
      <c r="AQ529" s="32"/>
    </row>
    <row r="530" spans="43:43" ht="12" customHeight="1" x14ac:dyDescent="0.2">
      <c r="AQ530" s="32"/>
    </row>
    <row r="531" spans="43:43" ht="12" customHeight="1" x14ac:dyDescent="0.2">
      <c r="AQ531" s="32"/>
    </row>
    <row r="532" spans="43:43" ht="12" customHeight="1" x14ac:dyDescent="0.2">
      <c r="AQ532" s="32"/>
    </row>
    <row r="533" spans="43:43" ht="12" customHeight="1" x14ac:dyDescent="0.2">
      <c r="AQ533" s="32"/>
    </row>
    <row r="534" spans="43:43" ht="12" customHeight="1" x14ac:dyDescent="0.2">
      <c r="AQ534" s="32"/>
    </row>
    <row r="535" spans="43:43" ht="12" customHeight="1" x14ac:dyDescent="0.2">
      <c r="AQ535" s="32"/>
    </row>
    <row r="536" spans="43:43" ht="12" customHeight="1" x14ac:dyDescent="0.2">
      <c r="AQ536" s="32"/>
    </row>
    <row r="537" spans="43:43" ht="12" customHeight="1" x14ac:dyDescent="0.2">
      <c r="AQ537" s="32"/>
    </row>
    <row r="538" spans="43:43" ht="12" customHeight="1" x14ac:dyDescent="0.2">
      <c r="AQ538" s="32"/>
    </row>
    <row r="539" spans="43:43" ht="12" customHeight="1" x14ac:dyDescent="0.2">
      <c r="AQ539" s="32"/>
    </row>
    <row r="540" spans="43:43" ht="12" customHeight="1" x14ac:dyDescent="0.2">
      <c r="AQ540" s="32"/>
    </row>
    <row r="541" spans="43:43" ht="12" customHeight="1" x14ac:dyDescent="0.2">
      <c r="AQ541" s="32"/>
    </row>
    <row r="542" spans="43:43" ht="12" customHeight="1" x14ac:dyDescent="0.2">
      <c r="AQ542" s="32"/>
    </row>
    <row r="543" spans="43:43" ht="12" customHeight="1" x14ac:dyDescent="0.2">
      <c r="AQ543" s="32"/>
    </row>
    <row r="544" spans="43:43" ht="12" customHeight="1" x14ac:dyDescent="0.2">
      <c r="AQ544" s="32"/>
    </row>
    <row r="545" spans="43:43" ht="12" customHeight="1" x14ac:dyDescent="0.2">
      <c r="AQ545" s="32"/>
    </row>
    <row r="546" spans="43:43" ht="12" customHeight="1" x14ac:dyDescent="0.2">
      <c r="AQ546" s="32"/>
    </row>
    <row r="547" spans="43:43" ht="12" customHeight="1" x14ac:dyDescent="0.2">
      <c r="AQ547" s="32"/>
    </row>
    <row r="548" spans="43:43" ht="12" customHeight="1" x14ac:dyDescent="0.2">
      <c r="AQ548" s="32"/>
    </row>
    <row r="549" spans="43:43" ht="12" customHeight="1" x14ac:dyDescent="0.2">
      <c r="AQ549" s="32"/>
    </row>
    <row r="550" spans="43:43" ht="12" customHeight="1" x14ac:dyDescent="0.2">
      <c r="AQ550" s="32"/>
    </row>
    <row r="551" spans="43:43" ht="12" customHeight="1" x14ac:dyDescent="0.2">
      <c r="AQ551" s="32"/>
    </row>
    <row r="552" spans="43:43" ht="12" customHeight="1" x14ac:dyDescent="0.2">
      <c r="AQ552" s="32"/>
    </row>
    <row r="553" spans="43:43" ht="12" customHeight="1" x14ac:dyDescent="0.2">
      <c r="AQ553" s="32"/>
    </row>
    <row r="554" spans="43:43" ht="12" customHeight="1" x14ac:dyDescent="0.2">
      <c r="AQ554" s="32"/>
    </row>
    <row r="555" spans="43:43" ht="12" customHeight="1" x14ac:dyDescent="0.2">
      <c r="AQ555" s="32"/>
    </row>
    <row r="556" spans="43:43" ht="12" customHeight="1" x14ac:dyDescent="0.2">
      <c r="AQ556" s="32"/>
    </row>
    <row r="557" spans="43:43" ht="12" customHeight="1" x14ac:dyDescent="0.2">
      <c r="AQ557" s="32"/>
    </row>
    <row r="558" spans="43:43" ht="12" customHeight="1" x14ac:dyDescent="0.2">
      <c r="AQ558" s="32"/>
    </row>
    <row r="559" spans="43:43" ht="12" customHeight="1" x14ac:dyDescent="0.2">
      <c r="AQ559" s="32"/>
    </row>
    <row r="560" spans="43:43" ht="12" customHeight="1" x14ac:dyDescent="0.2">
      <c r="AQ560" s="32"/>
    </row>
    <row r="561" spans="43:43" ht="12" customHeight="1" x14ac:dyDescent="0.2">
      <c r="AQ561" s="32"/>
    </row>
    <row r="562" spans="43:43" ht="12" customHeight="1" x14ac:dyDescent="0.2">
      <c r="AQ562" s="32"/>
    </row>
    <row r="563" spans="43:43" ht="12" customHeight="1" x14ac:dyDescent="0.2">
      <c r="AQ563" s="32"/>
    </row>
    <row r="564" spans="43:43" ht="12" customHeight="1" x14ac:dyDescent="0.2">
      <c r="AQ564" s="32"/>
    </row>
    <row r="565" spans="43:43" ht="12" customHeight="1" x14ac:dyDescent="0.2">
      <c r="AQ565" s="32"/>
    </row>
    <row r="566" spans="43:43" ht="12" customHeight="1" x14ac:dyDescent="0.2">
      <c r="AQ566" s="32"/>
    </row>
    <row r="567" spans="43:43" ht="12" customHeight="1" x14ac:dyDescent="0.2">
      <c r="AQ567" s="32"/>
    </row>
    <row r="568" spans="43:43" ht="12" customHeight="1" x14ac:dyDescent="0.2">
      <c r="AQ568" s="32"/>
    </row>
    <row r="569" spans="43:43" ht="12" customHeight="1" x14ac:dyDescent="0.2">
      <c r="AQ569" s="32"/>
    </row>
    <row r="570" spans="43:43" ht="12" customHeight="1" x14ac:dyDescent="0.2">
      <c r="AQ570" s="32"/>
    </row>
    <row r="571" spans="43:43" ht="12" customHeight="1" x14ac:dyDescent="0.2">
      <c r="AQ571" s="32"/>
    </row>
    <row r="572" spans="43:43" ht="12" customHeight="1" x14ac:dyDescent="0.2">
      <c r="AQ572" s="32"/>
    </row>
    <row r="573" spans="43:43" ht="12" customHeight="1" x14ac:dyDescent="0.2">
      <c r="AQ573" s="32"/>
    </row>
    <row r="574" spans="43:43" ht="12" customHeight="1" x14ac:dyDescent="0.2">
      <c r="AQ574" s="32"/>
    </row>
    <row r="575" spans="43:43" ht="12" customHeight="1" x14ac:dyDescent="0.2">
      <c r="AQ575" s="32"/>
    </row>
    <row r="576" spans="43:43" ht="12" customHeight="1" x14ac:dyDescent="0.2">
      <c r="AQ576" s="32"/>
    </row>
    <row r="577" spans="43:43" ht="12" customHeight="1" x14ac:dyDescent="0.2">
      <c r="AQ577" s="32"/>
    </row>
    <row r="578" spans="43:43" ht="12" customHeight="1" x14ac:dyDescent="0.2">
      <c r="AQ578" s="32"/>
    </row>
    <row r="579" spans="43:43" ht="12" customHeight="1" x14ac:dyDescent="0.2">
      <c r="AQ579" s="32"/>
    </row>
    <row r="580" spans="43:43" ht="12" customHeight="1" x14ac:dyDescent="0.2">
      <c r="AQ580" s="32"/>
    </row>
    <row r="581" spans="43:43" ht="12" customHeight="1" x14ac:dyDescent="0.2">
      <c r="AQ581" s="32"/>
    </row>
    <row r="582" spans="43:43" ht="12" customHeight="1" x14ac:dyDescent="0.2">
      <c r="AQ582" s="32"/>
    </row>
    <row r="583" spans="43:43" ht="12" customHeight="1" x14ac:dyDescent="0.2">
      <c r="AQ583" s="32"/>
    </row>
    <row r="584" spans="43:43" ht="12" customHeight="1" x14ac:dyDescent="0.2">
      <c r="AQ584" s="32"/>
    </row>
    <row r="585" spans="43:43" ht="12" customHeight="1" x14ac:dyDescent="0.2">
      <c r="AQ585" s="32"/>
    </row>
    <row r="586" spans="43:43" ht="12" customHeight="1" x14ac:dyDescent="0.2">
      <c r="AQ586" s="32"/>
    </row>
    <row r="587" spans="43:43" ht="12" customHeight="1" x14ac:dyDescent="0.2">
      <c r="AQ587" s="32"/>
    </row>
    <row r="588" spans="43:43" ht="12" customHeight="1" x14ac:dyDescent="0.2">
      <c r="AQ588" s="32"/>
    </row>
    <row r="589" spans="43:43" ht="12" customHeight="1" x14ac:dyDescent="0.2">
      <c r="AQ589" s="32"/>
    </row>
    <row r="590" spans="43:43" ht="12" customHeight="1" x14ac:dyDescent="0.2">
      <c r="AQ590" s="32"/>
    </row>
    <row r="591" spans="43:43" ht="12" customHeight="1" x14ac:dyDescent="0.2">
      <c r="AQ591" s="32"/>
    </row>
    <row r="592" spans="43:43" ht="12" customHeight="1" x14ac:dyDescent="0.2">
      <c r="AQ592" s="32"/>
    </row>
    <row r="593" spans="43:43" ht="12" customHeight="1" x14ac:dyDescent="0.2">
      <c r="AQ593" s="32"/>
    </row>
    <row r="594" spans="43:43" ht="12" customHeight="1" x14ac:dyDescent="0.2">
      <c r="AQ594" s="32"/>
    </row>
    <row r="595" spans="43:43" ht="12" customHeight="1" x14ac:dyDescent="0.2">
      <c r="AQ595" s="32"/>
    </row>
    <row r="596" spans="43:43" ht="12" customHeight="1" x14ac:dyDescent="0.2">
      <c r="AQ596" s="32"/>
    </row>
    <row r="597" spans="43:43" ht="12" customHeight="1" x14ac:dyDescent="0.2">
      <c r="AQ597" s="32"/>
    </row>
    <row r="598" spans="43:43" ht="12" customHeight="1" x14ac:dyDescent="0.2">
      <c r="AQ598" s="32"/>
    </row>
    <row r="599" spans="43:43" ht="12" customHeight="1" x14ac:dyDescent="0.2">
      <c r="AQ599" s="32"/>
    </row>
    <row r="600" spans="43:43" ht="12" customHeight="1" x14ac:dyDescent="0.2">
      <c r="AQ600" s="32"/>
    </row>
    <row r="601" spans="43:43" ht="12" customHeight="1" x14ac:dyDescent="0.2">
      <c r="AQ601" s="32"/>
    </row>
    <row r="602" spans="43:43" ht="12" customHeight="1" x14ac:dyDescent="0.2">
      <c r="AQ602" s="32"/>
    </row>
    <row r="603" spans="43:43" ht="12" customHeight="1" x14ac:dyDescent="0.2">
      <c r="AQ603" s="32"/>
    </row>
    <row r="604" spans="43:43" ht="12" customHeight="1" x14ac:dyDescent="0.2">
      <c r="AQ604" s="32"/>
    </row>
    <row r="605" spans="43:43" ht="12" customHeight="1" x14ac:dyDescent="0.2">
      <c r="AQ605" s="32"/>
    </row>
    <row r="606" spans="43:43" ht="12" customHeight="1" x14ac:dyDescent="0.2">
      <c r="AQ606" s="32"/>
    </row>
    <row r="607" spans="43:43" ht="12" customHeight="1" x14ac:dyDescent="0.2">
      <c r="AQ607" s="32"/>
    </row>
    <row r="608" spans="43:43" ht="12" customHeight="1" x14ac:dyDescent="0.2">
      <c r="AQ608" s="32"/>
    </row>
    <row r="609" spans="43:43" ht="12" customHeight="1" x14ac:dyDescent="0.2">
      <c r="AQ609" s="32"/>
    </row>
    <row r="610" spans="43:43" ht="12" customHeight="1" x14ac:dyDescent="0.2">
      <c r="AQ610" s="32"/>
    </row>
    <row r="611" spans="43:43" ht="12" customHeight="1" x14ac:dyDescent="0.2">
      <c r="AQ611" s="32"/>
    </row>
    <row r="612" spans="43:43" ht="12" customHeight="1" x14ac:dyDescent="0.2">
      <c r="AQ612" s="32"/>
    </row>
    <row r="613" spans="43:43" ht="12" customHeight="1" x14ac:dyDescent="0.2">
      <c r="AQ613" s="32"/>
    </row>
    <row r="614" spans="43:43" ht="12" customHeight="1" x14ac:dyDescent="0.2">
      <c r="AQ614" s="32"/>
    </row>
    <row r="615" spans="43:43" ht="12" customHeight="1" x14ac:dyDescent="0.2">
      <c r="AQ615" s="32"/>
    </row>
    <row r="616" spans="43:43" ht="12" customHeight="1" x14ac:dyDescent="0.2">
      <c r="AQ616" s="32"/>
    </row>
    <row r="617" spans="43:43" ht="12" customHeight="1" x14ac:dyDescent="0.2">
      <c r="AQ617" s="32"/>
    </row>
    <row r="618" spans="43:43" ht="12" customHeight="1" x14ac:dyDescent="0.2">
      <c r="AQ618" s="32"/>
    </row>
    <row r="619" spans="43:43" ht="12" customHeight="1" x14ac:dyDescent="0.2">
      <c r="AQ619" s="32"/>
    </row>
    <row r="620" spans="43:43" ht="12" customHeight="1" x14ac:dyDescent="0.2">
      <c r="AQ620" s="32"/>
    </row>
    <row r="621" spans="43:43" ht="12" customHeight="1" x14ac:dyDescent="0.2">
      <c r="AQ621" s="32"/>
    </row>
    <row r="622" spans="43:43" ht="12" customHeight="1" x14ac:dyDescent="0.2">
      <c r="AQ622" s="32"/>
    </row>
    <row r="623" spans="43:43" ht="12" customHeight="1" x14ac:dyDescent="0.2">
      <c r="AQ623" s="32"/>
    </row>
    <row r="624" spans="43:43" ht="12" customHeight="1" x14ac:dyDescent="0.2">
      <c r="AQ624" s="32"/>
    </row>
    <row r="625" spans="43:43" ht="12" customHeight="1" x14ac:dyDescent="0.2">
      <c r="AQ625" s="32"/>
    </row>
    <row r="626" spans="43:43" ht="12" customHeight="1" x14ac:dyDescent="0.2">
      <c r="AQ626" s="32"/>
    </row>
    <row r="627" spans="43:43" ht="12" customHeight="1" x14ac:dyDescent="0.2">
      <c r="AQ627" s="32"/>
    </row>
    <row r="628" spans="43:43" ht="12" customHeight="1" x14ac:dyDescent="0.2">
      <c r="AQ628" s="32"/>
    </row>
    <row r="629" spans="43:43" ht="12" customHeight="1" x14ac:dyDescent="0.2">
      <c r="AQ629" s="32"/>
    </row>
    <row r="630" spans="43:43" ht="12" customHeight="1" x14ac:dyDescent="0.2">
      <c r="AQ630" s="32"/>
    </row>
    <row r="631" spans="43:43" ht="12" customHeight="1" x14ac:dyDescent="0.2">
      <c r="AQ631" s="32"/>
    </row>
    <row r="632" spans="43:43" ht="12" customHeight="1" x14ac:dyDescent="0.2">
      <c r="AQ632" s="32"/>
    </row>
    <row r="633" spans="43:43" ht="12" customHeight="1" x14ac:dyDescent="0.2">
      <c r="AQ633" s="32"/>
    </row>
    <row r="634" spans="43:43" ht="12" customHeight="1" x14ac:dyDescent="0.2">
      <c r="AQ634" s="32"/>
    </row>
    <row r="635" spans="43:43" ht="12" customHeight="1" x14ac:dyDescent="0.2">
      <c r="AQ635" s="32"/>
    </row>
    <row r="636" spans="43:43" ht="12" customHeight="1" x14ac:dyDescent="0.2">
      <c r="AQ636" s="32"/>
    </row>
    <row r="637" spans="43:43" ht="12" customHeight="1" x14ac:dyDescent="0.2">
      <c r="AQ637" s="32"/>
    </row>
    <row r="638" spans="43:43" ht="12" customHeight="1" x14ac:dyDescent="0.2">
      <c r="AQ638" s="32"/>
    </row>
    <row r="639" spans="43:43" ht="12" customHeight="1" x14ac:dyDescent="0.2">
      <c r="AQ639" s="32"/>
    </row>
    <row r="640" spans="43:43" ht="12" customHeight="1" x14ac:dyDescent="0.2">
      <c r="AQ640" s="32"/>
    </row>
    <row r="641" spans="43:43" ht="12" customHeight="1" x14ac:dyDescent="0.2">
      <c r="AQ641" s="32"/>
    </row>
    <row r="642" spans="43:43" ht="12" customHeight="1" x14ac:dyDescent="0.2">
      <c r="AQ642" s="32"/>
    </row>
    <row r="643" spans="43:43" ht="12" customHeight="1" x14ac:dyDescent="0.2">
      <c r="AQ643" s="32"/>
    </row>
    <row r="644" spans="43:43" ht="12" customHeight="1" x14ac:dyDescent="0.2">
      <c r="AQ644" s="32"/>
    </row>
    <row r="645" spans="43:43" ht="12" customHeight="1" x14ac:dyDescent="0.2">
      <c r="AQ645" s="32"/>
    </row>
    <row r="646" spans="43:43" ht="12" customHeight="1" x14ac:dyDescent="0.2">
      <c r="AQ646" s="32"/>
    </row>
    <row r="647" spans="43:43" ht="12" customHeight="1" x14ac:dyDescent="0.2">
      <c r="AQ647" s="32"/>
    </row>
    <row r="648" spans="43:43" ht="12" customHeight="1" x14ac:dyDescent="0.2">
      <c r="AQ648" s="32"/>
    </row>
    <row r="649" spans="43:43" ht="12" customHeight="1" x14ac:dyDescent="0.2">
      <c r="AQ649" s="32"/>
    </row>
    <row r="650" spans="43:43" ht="12" customHeight="1" x14ac:dyDescent="0.2">
      <c r="AQ650" s="32"/>
    </row>
    <row r="651" spans="43:43" ht="12" customHeight="1" x14ac:dyDescent="0.2">
      <c r="AQ651" s="32"/>
    </row>
    <row r="652" spans="43:43" ht="12" customHeight="1" x14ac:dyDescent="0.2">
      <c r="AQ652" s="32"/>
    </row>
    <row r="653" spans="43:43" ht="12" customHeight="1" x14ac:dyDescent="0.2">
      <c r="AQ653" s="32"/>
    </row>
    <row r="654" spans="43:43" ht="12" customHeight="1" x14ac:dyDescent="0.2">
      <c r="AQ654" s="32"/>
    </row>
    <row r="655" spans="43:43" ht="12" customHeight="1" x14ac:dyDescent="0.2">
      <c r="AQ655" s="32"/>
    </row>
    <row r="656" spans="43:43" ht="12" customHeight="1" x14ac:dyDescent="0.2">
      <c r="AQ656" s="32"/>
    </row>
    <row r="657" spans="43:43" ht="12" customHeight="1" x14ac:dyDescent="0.2">
      <c r="AQ657" s="32"/>
    </row>
    <row r="658" spans="43:43" ht="12" customHeight="1" x14ac:dyDescent="0.2">
      <c r="AQ658" s="32"/>
    </row>
    <row r="659" spans="43:43" ht="12" customHeight="1" x14ac:dyDescent="0.2">
      <c r="AQ659" s="32"/>
    </row>
    <row r="660" spans="43:43" ht="12" customHeight="1" x14ac:dyDescent="0.2">
      <c r="AQ660" s="32"/>
    </row>
    <row r="661" spans="43:43" ht="12" customHeight="1" x14ac:dyDescent="0.2">
      <c r="AQ661" s="32"/>
    </row>
    <row r="662" spans="43:43" ht="12" customHeight="1" x14ac:dyDescent="0.2">
      <c r="AQ662" s="32"/>
    </row>
    <row r="663" spans="43:43" ht="12" customHeight="1" x14ac:dyDescent="0.2">
      <c r="AQ663" s="32"/>
    </row>
    <row r="664" spans="43:43" ht="12" customHeight="1" x14ac:dyDescent="0.2">
      <c r="AQ664" s="32"/>
    </row>
    <row r="665" spans="43:43" ht="12" customHeight="1" x14ac:dyDescent="0.2">
      <c r="AQ665" s="32"/>
    </row>
    <row r="666" spans="43:43" ht="12" customHeight="1" x14ac:dyDescent="0.2">
      <c r="AQ666" s="32"/>
    </row>
    <row r="667" spans="43:43" ht="12" customHeight="1" x14ac:dyDescent="0.2">
      <c r="AQ667" s="32"/>
    </row>
    <row r="668" spans="43:43" ht="12" customHeight="1" x14ac:dyDescent="0.2">
      <c r="AQ668" s="32"/>
    </row>
    <row r="669" spans="43:43" ht="12" customHeight="1" x14ac:dyDescent="0.2">
      <c r="AQ669" s="32"/>
    </row>
    <row r="670" spans="43:43" ht="12" customHeight="1" x14ac:dyDescent="0.2">
      <c r="AQ670" s="32"/>
    </row>
    <row r="671" spans="43:43" ht="12" customHeight="1" x14ac:dyDescent="0.2">
      <c r="AQ671" s="32"/>
    </row>
    <row r="672" spans="43:43" ht="12" customHeight="1" x14ac:dyDescent="0.2">
      <c r="AQ672" s="32"/>
    </row>
    <row r="673" spans="43:43" ht="12" customHeight="1" x14ac:dyDescent="0.2">
      <c r="AQ673" s="32"/>
    </row>
    <row r="674" spans="43:43" ht="12" customHeight="1" x14ac:dyDescent="0.2">
      <c r="AQ674" s="32"/>
    </row>
    <row r="675" spans="43:43" ht="12" customHeight="1" x14ac:dyDescent="0.2">
      <c r="AQ675" s="32"/>
    </row>
    <row r="676" spans="43:43" ht="12" customHeight="1" x14ac:dyDescent="0.2">
      <c r="AQ676" s="32"/>
    </row>
    <row r="677" spans="43:43" ht="12" customHeight="1" x14ac:dyDescent="0.2">
      <c r="AQ677" s="32"/>
    </row>
    <row r="678" spans="43:43" ht="12" customHeight="1" x14ac:dyDescent="0.2">
      <c r="AQ678" s="32"/>
    </row>
    <row r="679" spans="43:43" ht="12" customHeight="1" x14ac:dyDescent="0.2">
      <c r="AQ679" s="32"/>
    </row>
    <row r="680" spans="43:43" ht="12" customHeight="1" x14ac:dyDescent="0.2">
      <c r="AQ680" s="32"/>
    </row>
    <row r="681" spans="43:43" ht="12" customHeight="1" x14ac:dyDescent="0.2">
      <c r="AQ681" s="32"/>
    </row>
    <row r="682" spans="43:43" ht="12" customHeight="1" x14ac:dyDescent="0.2">
      <c r="AQ682" s="32"/>
    </row>
    <row r="683" spans="43:43" ht="12" customHeight="1" x14ac:dyDescent="0.2">
      <c r="AQ683" s="32"/>
    </row>
    <row r="684" spans="43:43" ht="12" customHeight="1" x14ac:dyDescent="0.2">
      <c r="AQ684" s="32"/>
    </row>
    <row r="685" spans="43:43" ht="12" customHeight="1" x14ac:dyDescent="0.2">
      <c r="AQ685" s="32"/>
    </row>
    <row r="686" spans="43:43" ht="12" customHeight="1" x14ac:dyDescent="0.2">
      <c r="AQ686" s="32"/>
    </row>
    <row r="687" spans="43:43" ht="12" customHeight="1" x14ac:dyDescent="0.2">
      <c r="AQ687" s="32"/>
    </row>
    <row r="688" spans="43:43" ht="12" customHeight="1" x14ac:dyDescent="0.2">
      <c r="AQ688" s="32"/>
    </row>
    <row r="689" spans="43:43" ht="12" customHeight="1" x14ac:dyDescent="0.2">
      <c r="AQ689" s="32"/>
    </row>
    <row r="690" spans="43:43" ht="12" customHeight="1" x14ac:dyDescent="0.2">
      <c r="AQ690" s="32"/>
    </row>
    <row r="691" spans="43:43" ht="12" customHeight="1" x14ac:dyDescent="0.2">
      <c r="AQ691" s="32"/>
    </row>
    <row r="692" spans="43:43" ht="12" customHeight="1" x14ac:dyDescent="0.2">
      <c r="AQ692" s="32"/>
    </row>
    <row r="693" spans="43:43" ht="12" customHeight="1" x14ac:dyDescent="0.2">
      <c r="AQ693" s="32"/>
    </row>
    <row r="694" spans="43:43" ht="12" customHeight="1" x14ac:dyDescent="0.2">
      <c r="AQ694" s="32"/>
    </row>
    <row r="695" spans="43:43" ht="12" customHeight="1" x14ac:dyDescent="0.2">
      <c r="AQ695" s="32"/>
    </row>
    <row r="696" spans="43:43" ht="12" customHeight="1" x14ac:dyDescent="0.2">
      <c r="AQ696" s="32"/>
    </row>
    <row r="697" spans="43:43" ht="12" customHeight="1" x14ac:dyDescent="0.2">
      <c r="AQ697" s="32"/>
    </row>
    <row r="698" spans="43:43" ht="12" customHeight="1" x14ac:dyDescent="0.2">
      <c r="AQ698" s="32"/>
    </row>
    <row r="699" spans="43:43" ht="12" customHeight="1" x14ac:dyDescent="0.2">
      <c r="AQ699" s="32"/>
    </row>
    <row r="700" spans="43:43" ht="12" customHeight="1" x14ac:dyDescent="0.2">
      <c r="AQ700" s="32"/>
    </row>
    <row r="701" spans="43:43" ht="12" customHeight="1" x14ac:dyDescent="0.2">
      <c r="AQ701" s="32"/>
    </row>
    <row r="702" spans="43:43" ht="12" customHeight="1" x14ac:dyDescent="0.2">
      <c r="AQ702" s="32"/>
    </row>
    <row r="703" spans="43:43" ht="12" customHeight="1" x14ac:dyDescent="0.2">
      <c r="AQ703" s="32"/>
    </row>
    <row r="704" spans="43:43" ht="12" customHeight="1" x14ac:dyDescent="0.2">
      <c r="AQ704" s="32"/>
    </row>
    <row r="705" spans="43:43" ht="12" customHeight="1" x14ac:dyDescent="0.2">
      <c r="AQ705" s="32"/>
    </row>
    <row r="706" spans="43:43" ht="12" customHeight="1" x14ac:dyDescent="0.2">
      <c r="AQ706" s="32"/>
    </row>
    <row r="707" spans="43:43" ht="12" customHeight="1" x14ac:dyDescent="0.2">
      <c r="AQ707" s="32"/>
    </row>
    <row r="708" spans="43:43" ht="12" customHeight="1" x14ac:dyDescent="0.2">
      <c r="AQ708" s="32"/>
    </row>
    <row r="709" spans="43:43" ht="12" customHeight="1" x14ac:dyDescent="0.2">
      <c r="AQ709" s="32"/>
    </row>
    <row r="710" spans="43:43" ht="12" customHeight="1" x14ac:dyDescent="0.2">
      <c r="AQ710" s="32"/>
    </row>
    <row r="711" spans="43:43" ht="12" customHeight="1" x14ac:dyDescent="0.2">
      <c r="AQ711" s="32"/>
    </row>
    <row r="712" spans="43:43" ht="12" customHeight="1" x14ac:dyDescent="0.2">
      <c r="AQ712" s="32"/>
    </row>
    <row r="713" spans="43:43" ht="12" customHeight="1" x14ac:dyDescent="0.2">
      <c r="AQ713" s="32"/>
    </row>
    <row r="714" spans="43:43" ht="12" customHeight="1" x14ac:dyDescent="0.2">
      <c r="AQ714" s="32"/>
    </row>
    <row r="715" spans="43:43" ht="12" customHeight="1" x14ac:dyDescent="0.2">
      <c r="AQ715" s="32"/>
    </row>
    <row r="716" spans="43:43" ht="12" customHeight="1" x14ac:dyDescent="0.2">
      <c r="AQ716" s="32"/>
    </row>
    <row r="717" spans="43:43" ht="12" customHeight="1" x14ac:dyDescent="0.2">
      <c r="AQ717" s="32"/>
    </row>
    <row r="718" spans="43:43" ht="12" customHeight="1" x14ac:dyDescent="0.2">
      <c r="AQ718" s="32"/>
    </row>
    <row r="719" spans="43:43" ht="12" customHeight="1" x14ac:dyDescent="0.2">
      <c r="AQ719" s="32"/>
    </row>
    <row r="720" spans="43:43" ht="12" customHeight="1" x14ac:dyDescent="0.2">
      <c r="AQ720" s="32"/>
    </row>
    <row r="721" spans="43:43" ht="12" customHeight="1" x14ac:dyDescent="0.2">
      <c r="AQ721" s="32"/>
    </row>
    <row r="722" spans="43:43" ht="12" customHeight="1" x14ac:dyDescent="0.2">
      <c r="AQ722" s="32"/>
    </row>
    <row r="723" spans="43:43" ht="12" customHeight="1" x14ac:dyDescent="0.2">
      <c r="AQ723" s="32"/>
    </row>
    <row r="724" spans="43:43" ht="12" customHeight="1" x14ac:dyDescent="0.2">
      <c r="AQ724" s="32"/>
    </row>
    <row r="725" spans="43:43" ht="12" customHeight="1" x14ac:dyDescent="0.2">
      <c r="AQ725" s="32"/>
    </row>
    <row r="726" spans="43:43" ht="12" customHeight="1" x14ac:dyDescent="0.2">
      <c r="AQ726" s="32"/>
    </row>
    <row r="727" spans="43:43" ht="12" customHeight="1" x14ac:dyDescent="0.2">
      <c r="AQ727" s="32"/>
    </row>
    <row r="728" spans="43:43" ht="12" customHeight="1" x14ac:dyDescent="0.2">
      <c r="AQ728" s="32"/>
    </row>
    <row r="729" spans="43:43" ht="12" customHeight="1" x14ac:dyDescent="0.2">
      <c r="AQ729" s="32"/>
    </row>
    <row r="730" spans="43:43" ht="12" customHeight="1" x14ac:dyDescent="0.2">
      <c r="AQ730" s="32"/>
    </row>
    <row r="731" spans="43:43" ht="12" customHeight="1" x14ac:dyDescent="0.2">
      <c r="AQ731" s="32"/>
    </row>
    <row r="732" spans="43:43" ht="12" customHeight="1" x14ac:dyDescent="0.2">
      <c r="AQ732" s="32"/>
    </row>
    <row r="733" spans="43:43" ht="12" customHeight="1" x14ac:dyDescent="0.2">
      <c r="AQ733" s="32"/>
    </row>
    <row r="734" spans="43:43" ht="12" customHeight="1" x14ac:dyDescent="0.2">
      <c r="AQ734" s="32"/>
    </row>
    <row r="735" spans="43:43" ht="12" customHeight="1" x14ac:dyDescent="0.2">
      <c r="AQ735" s="32"/>
    </row>
    <row r="736" spans="43:43" ht="12" customHeight="1" x14ac:dyDescent="0.2">
      <c r="AQ736" s="32"/>
    </row>
    <row r="737" spans="43:43" ht="12" customHeight="1" x14ac:dyDescent="0.2">
      <c r="AQ737" s="32"/>
    </row>
    <row r="738" spans="43:43" ht="12" customHeight="1" x14ac:dyDescent="0.2">
      <c r="AQ738" s="32"/>
    </row>
    <row r="739" spans="43:43" ht="12" customHeight="1" x14ac:dyDescent="0.2">
      <c r="AQ739" s="32"/>
    </row>
    <row r="740" spans="43:43" ht="12" customHeight="1" x14ac:dyDescent="0.2">
      <c r="AQ740" s="32"/>
    </row>
    <row r="741" spans="43:43" ht="12" customHeight="1" x14ac:dyDescent="0.2">
      <c r="AQ741" s="32"/>
    </row>
    <row r="742" spans="43:43" ht="12" customHeight="1" x14ac:dyDescent="0.2">
      <c r="AQ742" s="32"/>
    </row>
    <row r="743" spans="43:43" ht="12" customHeight="1" x14ac:dyDescent="0.2">
      <c r="AQ743" s="32"/>
    </row>
    <row r="744" spans="43:43" ht="12" customHeight="1" x14ac:dyDescent="0.2">
      <c r="AQ744" s="32"/>
    </row>
    <row r="745" spans="43:43" ht="12" customHeight="1" x14ac:dyDescent="0.2">
      <c r="AQ745" s="32"/>
    </row>
    <row r="746" spans="43:43" ht="12" customHeight="1" x14ac:dyDescent="0.2">
      <c r="AQ746" s="32"/>
    </row>
    <row r="747" spans="43:43" ht="12" customHeight="1" x14ac:dyDescent="0.2">
      <c r="AQ747" s="32"/>
    </row>
    <row r="748" spans="43:43" ht="12" customHeight="1" x14ac:dyDescent="0.2">
      <c r="AQ748" s="32"/>
    </row>
    <row r="749" spans="43:43" ht="12" customHeight="1" x14ac:dyDescent="0.2">
      <c r="AQ749" s="32"/>
    </row>
    <row r="750" spans="43:43" ht="12" customHeight="1" x14ac:dyDescent="0.2">
      <c r="AQ750" s="32"/>
    </row>
    <row r="751" spans="43:43" ht="12" customHeight="1" x14ac:dyDescent="0.2">
      <c r="AQ751" s="32"/>
    </row>
    <row r="752" spans="43:43" ht="12" customHeight="1" x14ac:dyDescent="0.2">
      <c r="AQ752" s="32"/>
    </row>
    <row r="753" spans="43:43" ht="12" customHeight="1" x14ac:dyDescent="0.2">
      <c r="AQ753" s="32"/>
    </row>
    <row r="754" spans="43:43" ht="12" customHeight="1" x14ac:dyDescent="0.2">
      <c r="AQ754" s="32"/>
    </row>
    <row r="755" spans="43:43" ht="12" customHeight="1" x14ac:dyDescent="0.2">
      <c r="AQ755" s="32"/>
    </row>
    <row r="756" spans="43:43" ht="12" customHeight="1" x14ac:dyDescent="0.2">
      <c r="AQ756" s="32"/>
    </row>
    <row r="757" spans="43:43" ht="12" customHeight="1" x14ac:dyDescent="0.2">
      <c r="AQ757" s="32"/>
    </row>
    <row r="758" spans="43:43" ht="12" customHeight="1" x14ac:dyDescent="0.2">
      <c r="AQ758" s="32"/>
    </row>
    <row r="759" spans="43:43" ht="12" customHeight="1" x14ac:dyDescent="0.2">
      <c r="AQ759" s="32"/>
    </row>
    <row r="760" spans="43:43" ht="12" customHeight="1" x14ac:dyDescent="0.2">
      <c r="AQ760" s="32"/>
    </row>
    <row r="761" spans="43:43" ht="12" customHeight="1" x14ac:dyDescent="0.2">
      <c r="AQ761" s="32"/>
    </row>
    <row r="762" spans="43:43" ht="12" customHeight="1" x14ac:dyDescent="0.2">
      <c r="AQ762" s="32"/>
    </row>
    <row r="763" spans="43:43" ht="12" customHeight="1" x14ac:dyDescent="0.2">
      <c r="AQ763" s="32"/>
    </row>
    <row r="764" spans="43:43" ht="12" customHeight="1" x14ac:dyDescent="0.2">
      <c r="AQ764" s="32"/>
    </row>
    <row r="765" spans="43:43" ht="12" customHeight="1" x14ac:dyDescent="0.2">
      <c r="AQ765" s="32"/>
    </row>
    <row r="766" spans="43:43" ht="12" customHeight="1" x14ac:dyDescent="0.2">
      <c r="AQ766" s="32"/>
    </row>
    <row r="767" spans="43:43" ht="12" customHeight="1" x14ac:dyDescent="0.2">
      <c r="AQ767" s="32"/>
    </row>
    <row r="768" spans="43:43" ht="12" customHeight="1" x14ac:dyDescent="0.2">
      <c r="AQ768" s="32"/>
    </row>
    <row r="769" spans="43:43" ht="12" customHeight="1" x14ac:dyDescent="0.2">
      <c r="AQ769" s="32"/>
    </row>
    <row r="770" spans="43:43" ht="12" customHeight="1" x14ac:dyDescent="0.2">
      <c r="AQ770" s="32"/>
    </row>
    <row r="771" spans="43:43" ht="12" customHeight="1" x14ac:dyDescent="0.2">
      <c r="AQ771" s="32"/>
    </row>
    <row r="772" spans="43:43" ht="12" customHeight="1" x14ac:dyDescent="0.2">
      <c r="AQ772" s="32"/>
    </row>
    <row r="773" spans="43:43" ht="12" customHeight="1" x14ac:dyDescent="0.2">
      <c r="AQ773" s="32"/>
    </row>
    <row r="774" spans="43:43" ht="12" customHeight="1" x14ac:dyDescent="0.2">
      <c r="AQ774" s="32"/>
    </row>
    <row r="775" spans="43:43" ht="12" customHeight="1" x14ac:dyDescent="0.2">
      <c r="AQ775" s="32"/>
    </row>
    <row r="776" spans="43:43" ht="12" customHeight="1" x14ac:dyDescent="0.2">
      <c r="AQ776" s="32"/>
    </row>
    <row r="777" spans="43:43" ht="12" customHeight="1" x14ac:dyDescent="0.2">
      <c r="AQ777" s="32"/>
    </row>
    <row r="778" spans="43:43" ht="12" customHeight="1" x14ac:dyDescent="0.2">
      <c r="AQ778" s="32"/>
    </row>
    <row r="779" spans="43:43" ht="12" customHeight="1" x14ac:dyDescent="0.2">
      <c r="AQ779" s="32"/>
    </row>
    <row r="780" spans="43:43" ht="12" customHeight="1" x14ac:dyDescent="0.2">
      <c r="AQ780" s="32"/>
    </row>
    <row r="781" spans="43:43" ht="12" customHeight="1" x14ac:dyDescent="0.2">
      <c r="AQ781" s="32"/>
    </row>
    <row r="782" spans="43:43" ht="12" customHeight="1" x14ac:dyDescent="0.2">
      <c r="AQ782" s="32"/>
    </row>
    <row r="783" spans="43:43" ht="12" customHeight="1" x14ac:dyDescent="0.2">
      <c r="AQ783" s="32"/>
    </row>
    <row r="784" spans="43:43" ht="12" customHeight="1" x14ac:dyDescent="0.2">
      <c r="AQ784" s="32"/>
    </row>
    <row r="785" spans="43:43" ht="12" customHeight="1" x14ac:dyDescent="0.2">
      <c r="AQ785" s="32"/>
    </row>
    <row r="786" spans="43:43" ht="12" customHeight="1" x14ac:dyDescent="0.2">
      <c r="AQ786" s="32"/>
    </row>
    <row r="787" spans="43:43" ht="12" customHeight="1" x14ac:dyDescent="0.2">
      <c r="AQ787" s="32"/>
    </row>
    <row r="788" spans="43:43" ht="12" customHeight="1" x14ac:dyDescent="0.2">
      <c r="AQ788" s="32"/>
    </row>
    <row r="789" spans="43:43" ht="12" customHeight="1" x14ac:dyDescent="0.2">
      <c r="AQ789" s="32"/>
    </row>
    <row r="790" spans="43:43" ht="12" customHeight="1" x14ac:dyDescent="0.2">
      <c r="AQ790" s="32"/>
    </row>
    <row r="791" spans="43:43" ht="12" customHeight="1" x14ac:dyDescent="0.2">
      <c r="AQ791" s="32"/>
    </row>
    <row r="792" spans="43:43" ht="12" customHeight="1" x14ac:dyDescent="0.2">
      <c r="AQ792" s="32"/>
    </row>
    <row r="793" spans="43:43" ht="12" customHeight="1" x14ac:dyDescent="0.2">
      <c r="AQ793" s="32"/>
    </row>
    <row r="794" spans="43:43" ht="12" customHeight="1" x14ac:dyDescent="0.2">
      <c r="AQ794" s="32"/>
    </row>
    <row r="795" spans="43:43" ht="12" customHeight="1" x14ac:dyDescent="0.2">
      <c r="AQ795" s="32"/>
    </row>
    <row r="796" spans="43:43" ht="12" customHeight="1" x14ac:dyDescent="0.2">
      <c r="AQ796" s="32"/>
    </row>
    <row r="797" spans="43:43" ht="12" customHeight="1" x14ac:dyDescent="0.2">
      <c r="AQ797" s="32"/>
    </row>
    <row r="798" spans="43:43" ht="12" customHeight="1" x14ac:dyDescent="0.2">
      <c r="AQ798" s="32"/>
    </row>
    <row r="799" spans="43:43" ht="12" customHeight="1" x14ac:dyDescent="0.2">
      <c r="AQ799" s="32"/>
    </row>
    <row r="800" spans="43:43" ht="12" customHeight="1" x14ac:dyDescent="0.2">
      <c r="AQ800" s="32"/>
    </row>
    <row r="801" spans="43:43" ht="12" customHeight="1" x14ac:dyDescent="0.2">
      <c r="AQ801" s="32"/>
    </row>
    <row r="802" spans="43:43" ht="12" customHeight="1" x14ac:dyDescent="0.2">
      <c r="AQ802" s="32"/>
    </row>
    <row r="803" spans="43:43" ht="12" customHeight="1" x14ac:dyDescent="0.2">
      <c r="AQ803" s="32"/>
    </row>
    <row r="804" spans="43:43" ht="12" customHeight="1" x14ac:dyDescent="0.2">
      <c r="AQ804" s="32"/>
    </row>
    <row r="805" spans="43:43" ht="12" customHeight="1" x14ac:dyDescent="0.2">
      <c r="AQ805" s="32"/>
    </row>
    <row r="806" spans="43:43" ht="12" customHeight="1" x14ac:dyDescent="0.2">
      <c r="AQ806" s="32"/>
    </row>
    <row r="807" spans="43:43" ht="12" customHeight="1" x14ac:dyDescent="0.2">
      <c r="AQ807" s="32"/>
    </row>
    <row r="808" spans="43:43" ht="12" customHeight="1" x14ac:dyDescent="0.2">
      <c r="AQ808" s="32"/>
    </row>
    <row r="809" spans="43:43" ht="12" customHeight="1" x14ac:dyDescent="0.2">
      <c r="AQ809" s="32"/>
    </row>
    <row r="810" spans="43:43" ht="12" customHeight="1" x14ac:dyDescent="0.2">
      <c r="AQ810" s="32"/>
    </row>
    <row r="811" spans="43:43" ht="12" customHeight="1" x14ac:dyDescent="0.2">
      <c r="AQ811" s="32"/>
    </row>
    <row r="812" spans="43:43" ht="12" customHeight="1" x14ac:dyDescent="0.2">
      <c r="AQ812" s="32"/>
    </row>
    <row r="813" spans="43:43" ht="12" customHeight="1" x14ac:dyDescent="0.2">
      <c r="AQ813" s="32"/>
    </row>
    <row r="814" spans="43:43" ht="12" customHeight="1" x14ac:dyDescent="0.2">
      <c r="AQ814" s="32"/>
    </row>
    <row r="815" spans="43:43" ht="12" customHeight="1" x14ac:dyDescent="0.2">
      <c r="AQ815" s="32"/>
    </row>
    <row r="816" spans="43:43" ht="12" customHeight="1" x14ac:dyDescent="0.2">
      <c r="AQ816" s="32"/>
    </row>
    <row r="817" spans="43:43" ht="12" customHeight="1" x14ac:dyDescent="0.2">
      <c r="AQ817" s="32"/>
    </row>
    <row r="818" spans="43:43" ht="12" customHeight="1" x14ac:dyDescent="0.2">
      <c r="AQ818" s="32"/>
    </row>
    <row r="819" spans="43:43" ht="12" customHeight="1" x14ac:dyDescent="0.2">
      <c r="AQ819" s="32"/>
    </row>
    <row r="820" spans="43:43" ht="12" customHeight="1" x14ac:dyDescent="0.2">
      <c r="AQ820" s="32"/>
    </row>
    <row r="821" spans="43:43" ht="12" customHeight="1" x14ac:dyDescent="0.2">
      <c r="AQ821" s="32"/>
    </row>
    <row r="822" spans="43:43" ht="12" customHeight="1" x14ac:dyDescent="0.2">
      <c r="AQ822" s="32"/>
    </row>
    <row r="823" spans="43:43" ht="12" customHeight="1" x14ac:dyDescent="0.2">
      <c r="AQ823" s="32"/>
    </row>
    <row r="824" spans="43:43" ht="12" customHeight="1" x14ac:dyDescent="0.2">
      <c r="AQ824" s="32"/>
    </row>
    <row r="825" spans="43:43" ht="12" customHeight="1" x14ac:dyDescent="0.2">
      <c r="AQ825" s="32"/>
    </row>
    <row r="826" spans="43:43" ht="12" customHeight="1" x14ac:dyDescent="0.2">
      <c r="AQ826" s="32"/>
    </row>
    <row r="827" spans="43:43" ht="12" customHeight="1" x14ac:dyDescent="0.2">
      <c r="AQ827" s="32"/>
    </row>
    <row r="828" spans="43:43" ht="12" customHeight="1" x14ac:dyDescent="0.2">
      <c r="AQ828" s="32"/>
    </row>
    <row r="829" spans="43:43" ht="12" customHeight="1" x14ac:dyDescent="0.2">
      <c r="AQ829" s="32"/>
    </row>
    <row r="830" spans="43:43" ht="12" customHeight="1" x14ac:dyDescent="0.2">
      <c r="AQ830" s="32"/>
    </row>
    <row r="831" spans="43:43" ht="12" customHeight="1" x14ac:dyDescent="0.2">
      <c r="AQ831" s="32"/>
    </row>
    <row r="832" spans="43:43" ht="12" customHeight="1" x14ac:dyDescent="0.2">
      <c r="AQ832" s="32"/>
    </row>
    <row r="833" spans="43:43" ht="12" customHeight="1" x14ac:dyDescent="0.2">
      <c r="AQ833" s="32"/>
    </row>
    <row r="834" spans="43:43" ht="12" customHeight="1" x14ac:dyDescent="0.2">
      <c r="AQ834" s="32"/>
    </row>
    <row r="835" spans="43:43" ht="12" customHeight="1" x14ac:dyDescent="0.2">
      <c r="AQ835" s="32"/>
    </row>
    <row r="836" spans="43:43" ht="12" customHeight="1" x14ac:dyDescent="0.2">
      <c r="AQ836" s="32"/>
    </row>
    <row r="837" spans="43:43" ht="12" customHeight="1" x14ac:dyDescent="0.2">
      <c r="AQ837" s="32"/>
    </row>
    <row r="838" spans="43:43" ht="12" customHeight="1" x14ac:dyDescent="0.2">
      <c r="AQ838" s="32"/>
    </row>
    <row r="839" spans="43:43" ht="12" customHeight="1" x14ac:dyDescent="0.2">
      <c r="AQ839" s="32"/>
    </row>
    <row r="840" spans="43:43" ht="12" customHeight="1" x14ac:dyDescent="0.2">
      <c r="AQ840" s="32"/>
    </row>
    <row r="841" spans="43:43" ht="12" customHeight="1" x14ac:dyDescent="0.2">
      <c r="AQ841" s="32"/>
    </row>
    <row r="842" spans="43:43" ht="12" customHeight="1" x14ac:dyDescent="0.2">
      <c r="AQ842" s="32"/>
    </row>
    <row r="843" spans="43:43" ht="12" customHeight="1" x14ac:dyDescent="0.2">
      <c r="AQ843" s="32"/>
    </row>
    <row r="844" spans="43:43" ht="12" customHeight="1" x14ac:dyDescent="0.2">
      <c r="AQ844" s="32"/>
    </row>
    <row r="845" spans="43:43" ht="12" customHeight="1" x14ac:dyDescent="0.2">
      <c r="AQ845" s="32"/>
    </row>
    <row r="846" spans="43:43" ht="12" customHeight="1" x14ac:dyDescent="0.2">
      <c r="AQ846" s="32"/>
    </row>
    <row r="847" spans="43:43" ht="12" customHeight="1" x14ac:dyDescent="0.2">
      <c r="AQ847" s="32"/>
    </row>
    <row r="848" spans="43:43" ht="12" customHeight="1" x14ac:dyDescent="0.2">
      <c r="AQ848" s="32"/>
    </row>
    <row r="849" spans="43:43" ht="12" customHeight="1" x14ac:dyDescent="0.2">
      <c r="AQ849" s="32"/>
    </row>
    <row r="850" spans="43:43" ht="12" customHeight="1" x14ac:dyDescent="0.2">
      <c r="AQ850" s="32"/>
    </row>
    <row r="851" spans="43:43" ht="12" customHeight="1" x14ac:dyDescent="0.2">
      <c r="AQ851" s="32"/>
    </row>
    <row r="852" spans="43:43" ht="12" customHeight="1" x14ac:dyDescent="0.2">
      <c r="AQ852" s="32"/>
    </row>
    <row r="853" spans="43:43" ht="12" customHeight="1" x14ac:dyDescent="0.2">
      <c r="AQ853" s="32"/>
    </row>
    <row r="854" spans="43:43" ht="12" customHeight="1" x14ac:dyDescent="0.2">
      <c r="AQ854" s="32"/>
    </row>
    <row r="855" spans="43:43" ht="12" customHeight="1" x14ac:dyDescent="0.2">
      <c r="AQ855" s="32"/>
    </row>
    <row r="856" spans="43:43" ht="12" customHeight="1" x14ac:dyDescent="0.2">
      <c r="AQ856" s="32"/>
    </row>
    <row r="857" spans="43:43" ht="12" customHeight="1" x14ac:dyDescent="0.2">
      <c r="AQ857" s="32"/>
    </row>
    <row r="858" spans="43:43" ht="12" customHeight="1" x14ac:dyDescent="0.2">
      <c r="AQ858" s="32"/>
    </row>
    <row r="859" spans="43:43" ht="12" customHeight="1" x14ac:dyDescent="0.2">
      <c r="AQ859" s="32"/>
    </row>
    <row r="860" spans="43:43" ht="12" customHeight="1" x14ac:dyDescent="0.2">
      <c r="AQ860" s="32"/>
    </row>
    <row r="861" spans="43:43" ht="12" customHeight="1" x14ac:dyDescent="0.2">
      <c r="AQ861" s="32"/>
    </row>
    <row r="862" spans="43:43" ht="12" customHeight="1" x14ac:dyDescent="0.2">
      <c r="AQ862" s="32"/>
    </row>
    <row r="863" spans="43:43" ht="12" customHeight="1" x14ac:dyDescent="0.2">
      <c r="AQ863" s="32"/>
    </row>
    <row r="864" spans="43:43" ht="12" customHeight="1" x14ac:dyDescent="0.2">
      <c r="AQ864" s="32"/>
    </row>
    <row r="865" spans="43:43" ht="12" customHeight="1" x14ac:dyDescent="0.2">
      <c r="AQ865" s="32"/>
    </row>
    <row r="866" spans="43:43" ht="12" customHeight="1" x14ac:dyDescent="0.2">
      <c r="AQ866" s="32"/>
    </row>
    <row r="867" spans="43:43" ht="12" customHeight="1" x14ac:dyDescent="0.2">
      <c r="AQ867" s="32"/>
    </row>
    <row r="868" spans="43:43" ht="12" customHeight="1" x14ac:dyDescent="0.2">
      <c r="AQ868" s="32"/>
    </row>
    <row r="869" spans="43:43" ht="12" customHeight="1" x14ac:dyDescent="0.2">
      <c r="AQ869" s="32"/>
    </row>
    <row r="870" spans="43:43" ht="12" customHeight="1" x14ac:dyDescent="0.2">
      <c r="AQ870" s="32"/>
    </row>
    <row r="871" spans="43:43" ht="12" customHeight="1" x14ac:dyDescent="0.2">
      <c r="AQ871" s="32"/>
    </row>
    <row r="872" spans="43:43" ht="12" customHeight="1" x14ac:dyDescent="0.2">
      <c r="AQ872" s="32"/>
    </row>
    <row r="873" spans="43:43" ht="12" customHeight="1" x14ac:dyDescent="0.2">
      <c r="AQ873" s="32"/>
    </row>
    <row r="874" spans="43:43" ht="12" customHeight="1" x14ac:dyDescent="0.2">
      <c r="AQ874" s="32"/>
    </row>
    <row r="875" spans="43:43" ht="12" customHeight="1" x14ac:dyDescent="0.2">
      <c r="AQ875" s="32"/>
    </row>
    <row r="876" spans="43:43" ht="12" customHeight="1" x14ac:dyDescent="0.2">
      <c r="AQ876" s="32"/>
    </row>
    <row r="877" spans="43:43" ht="12" customHeight="1" x14ac:dyDescent="0.2">
      <c r="AQ877" s="32"/>
    </row>
    <row r="878" spans="43:43" ht="12" customHeight="1" x14ac:dyDescent="0.2">
      <c r="AQ878" s="32"/>
    </row>
    <row r="879" spans="43:43" ht="12" customHeight="1" x14ac:dyDescent="0.2">
      <c r="AQ879" s="32"/>
    </row>
    <row r="880" spans="43:43" ht="12" customHeight="1" x14ac:dyDescent="0.2">
      <c r="AQ880" s="32"/>
    </row>
    <row r="881" spans="43:43" ht="12" customHeight="1" x14ac:dyDescent="0.2">
      <c r="AQ881" s="32"/>
    </row>
    <row r="882" spans="43:43" ht="12" customHeight="1" x14ac:dyDescent="0.2">
      <c r="AQ882" s="32"/>
    </row>
    <row r="883" spans="43:43" ht="12" customHeight="1" x14ac:dyDescent="0.2">
      <c r="AQ883" s="32"/>
    </row>
    <row r="884" spans="43:43" ht="12" customHeight="1" x14ac:dyDescent="0.2">
      <c r="AQ884" s="32"/>
    </row>
    <row r="885" spans="43:43" ht="12" customHeight="1" x14ac:dyDescent="0.2">
      <c r="AQ885" s="32"/>
    </row>
    <row r="886" spans="43:43" ht="12" customHeight="1" x14ac:dyDescent="0.2">
      <c r="AQ886" s="32"/>
    </row>
    <row r="887" spans="43:43" ht="12" customHeight="1" x14ac:dyDescent="0.2">
      <c r="AQ887" s="32"/>
    </row>
    <row r="888" spans="43:43" ht="12" customHeight="1" x14ac:dyDescent="0.2">
      <c r="AQ888" s="32"/>
    </row>
    <row r="889" spans="43:43" ht="12" customHeight="1" x14ac:dyDescent="0.2">
      <c r="AQ889" s="32"/>
    </row>
    <row r="890" spans="43:43" ht="12" customHeight="1" x14ac:dyDescent="0.2">
      <c r="AQ890" s="32"/>
    </row>
    <row r="891" spans="43:43" ht="12" customHeight="1" x14ac:dyDescent="0.2">
      <c r="AQ891" s="32"/>
    </row>
    <row r="892" spans="43:43" ht="12" customHeight="1" x14ac:dyDescent="0.2">
      <c r="AQ892" s="32"/>
    </row>
    <row r="893" spans="43:43" ht="12" customHeight="1" x14ac:dyDescent="0.2">
      <c r="AQ893" s="32"/>
    </row>
    <row r="894" spans="43:43" ht="12" customHeight="1" x14ac:dyDescent="0.2">
      <c r="AQ894" s="32"/>
    </row>
    <row r="895" spans="43:43" ht="12" customHeight="1" x14ac:dyDescent="0.2">
      <c r="AQ895" s="32"/>
    </row>
    <row r="896" spans="43:43" ht="12" customHeight="1" x14ac:dyDescent="0.2">
      <c r="AQ896" s="32"/>
    </row>
    <row r="897" spans="43:43" ht="12" customHeight="1" x14ac:dyDescent="0.2">
      <c r="AQ897" s="32"/>
    </row>
    <row r="898" spans="43:43" ht="12" customHeight="1" x14ac:dyDescent="0.2">
      <c r="AQ898" s="32"/>
    </row>
    <row r="899" spans="43:43" ht="12" customHeight="1" x14ac:dyDescent="0.2">
      <c r="AQ899" s="32"/>
    </row>
    <row r="900" spans="43:43" ht="12" customHeight="1" x14ac:dyDescent="0.2">
      <c r="AQ900" s="32"/>
    </row>
    <row r="901" spans="43:43" ht="12" customHeight="1" x14ac:dyDescent="0.2">
      <c r="AQ901" s="32"/>
    </row>
    <row r="902" spans="43:43" ht="12" customHeight="1" x14ac:dyDescent="0.2">
      <c r="AQ902" s="32"/>
    </row>
    <row r="903" spans="43:43" ht="12" customHeight="1" x14ac:dyDescent="0.2">
      <c r="AQ903" s="32"/>
    </row>
    <row r="904" spans="43:43" ht="12" customHeight="1" x14ac:dyDescent="0.2">
      <c r="AQ904" s="32"/>
    </row>
    <row r="905" spans="43:43" ht="12" customHeight="1" x14ac:dyDescent="0.2">
      <c r="AQ905" s="32"/>
    </row>
    <row r="906" spans="43:43" ht="12" customHeight="1" x14ac:dyDescent="0.2">
      <c r="AQ906" s="32"/>
    </row>
    <row r="907" spans="43:43" ht="12" customHeight="1" x14ac:dyDescent="0.2">
      <c r="AQ907" s="32"/>
    </row>
    <row r="908" spans="43:43" ht="12" customHeight="1" x14ac:dyDescent="0.2">
      <c r="AQ908" s="32"/>
    </row>
    <row r="909" spans="43:43" ht="12" customHeight="1" x14ac:dyDescent="0.2">
      <c r="AQ909" s="32"/>
    </row>
    <row r="910" spans="43:43" ht="12" customHeight="1" x14ac:dyDescent="0.2">
      <c r="AQ910" s="32"/>
    </row>
    <row r="911" spans="43:43" ht="12" customHeight="1" x14ac:dyDescent="0.2">
      <c r="AQ911" s="32"/>
    </row>
    <row r="912" spans="43:43" ht="12" customHeight="1" x14ac:dyDescent="0.2">
      <c r="AQ912" s="32"/>
    </row>
    <row r="913" spans="43:43" ht="12" customHeight="1" x14ac:dyDescent="0.2">
      <c r="AQ913" s="32"/>
    </row>
    <row r="914" spans="43:43" ht="12" customHeight="1" x14ac:dyDescent="0.2">
      <c r="AQ914" s="32"/>
    </row>
    <row r="915" spans="43:43" ht="12" customHeight="1" x14ac:dyDescent="0.2">
      <c r="AQ915" s="32"/>
    </row>
    <row r="916" spans="43:43" ht="12" customHeight="1" x14ac:dyDescent="0.2">
      <c r="AQ916" s="32"/>
    </row>
    <row r="917" spans="43:43" ht="12" customHeight="1" x14ac:dyDescent="0.2">
      <c r="AQ917" s="32"/>
    </row>
    <row r="918" spans="43:43" ht="12" customHeight="1" x14ac:dyDescent="0.2">
      <c r="AQ918" s="32"/>
    </row>
    <row r="919" spans="43:43" ht="12" customHeight="1" x14ac:dyDescent="0.2">
      <c r="AQ919" s="32"/>
    </row>
    <row r="920" spans="43:43" ht="12" customHeight="1" x14ac:dyDescent="0.2">
      <c r="AQ920" s="32"/>
    </row>
    <row r="921" spans="43:43" ht="12" customHeight="1" x14ac:dyDescent="0.2">
      <c r="AQ921" s="32"/>
    </row>
    <row r="922" spans="43:43" ht="12" customHeight="1" x14ac:dyDescent="0.2">
      <c r="AQ922" s="32"/>
    </row>
    <row r="923" spans="43:43" ht="12" customHeight="1" x14ac:dyDescent="0.2">
      <c r="AQ923" s="32"/>
    </row>
    <row r="924" spans="43:43" ht="12" customHeight="1" x14ac:dyDescent="0.2">
      <c r="AQ924" s="32"/>
    </row>
    <row r="925" spans="43:43" ht="12" customHeight="1" x14ac:dyDescent="0.2">
      <c r="AQ925" s="32"/>
    </row>
    <row r="926" spans="43:43" ht="12" customHeight="1" x14ac:dyDescent="0.2">
      <c r="AQ926" s="32"/>
    </row>
    <row r="927" spans="43:43" ht="12" customHeight="1" x14ac:dyDescent="0.2">
      <c r="AQ927" s="32"/>
    </row>
    <row r="928" spans="43:43" ht="12" customHeight="1" x14ac:dyDescent="0.2">
      <c r="AQ928" s="32"/>
    </row>
    <row r="929" spans="43:43" ht="12" customHeight="1" x14ac:dyDescent="0.2">
      <c r="AQ929" s="32"/>
    </row>
    <row r="930" spans="43:43" ht="12" customHeight="1" x14ac:dyDescent="0.2">
      <c r="AQ930" s="32"/>
    </row>
    <row r="931" spans="43:43" ht="12" customHeight="1" x14ac:dyDescent="0.2">
      <c r="AQ931" s="32"/>
    </row>
    <row r="932" spans="43:43" ht="12" customHeight="1" x14ac:dyDescent="0.2">
      <c r="AQ932" s="32"/>
    </row>
    <row r="933" spans="43:43" ht="12" customHeight="1" x14ac:dyDescent="0.2">
      <c r="AQ933" s="32"/>
    </row>
    <row r="934" spans="43:43" ht="12" customHeight="1" x14ac:dyDescent="0.2">
      <c r="AQ934" s="32"/>
    </row>
    <row r="935" spans="43:43" ht="12" customHeight="1" x14ac:dyDescent="0.2">
      <c r="AQ935" s="32"/>
    </row>
    <row r="936" spans="43:43" ht="12" customHeight="1" x14ac:dyDescent="0.2">
      <c r="AQ936" s="32"/>
    </row>
    <row r="937" spans="43:43" ht="12" customHeight="1" x14ac:dyDescent="0.2">
      <c r="AQ937" s="32"/>
    </row>
    <row r="938" spans="43:43" ht="12" customHeight="1" x14ac:dyDescent="0.2">
      <c r="AQ938" s="32"/>
    </row>
    <row r="939" spans="43:43" ht="12" customHeight="1" x14ac:dyDescent="0.2">
      <c r="AQ939" s="32"/>
    </row>
    <row r="940" spans="43:43" ht="12" customHeight="1" x14ac:dyDescent="0.2">
      <c r="AQ940" s="32"/>
    </row>
    <row r="941" spans="43:43" ht="12" customHeight="1" x14ac:dyDescent="0.2">
      <c r="AQ941" s="32"/>
    </row>
    <row r="942" spans="43:43" ht="12" customHeight="1" x14ac:dyDescent="0.2">
      <c r="AQ942" s="32"/>
    </row>
    <row r="943" spans="43:43" ht="12" customHeight="1" x14ac:dyDescent="0.2">
      <c r="AQ943" s="32"/>
    </row>
    <row r="944" spans="43:43" ht="12" customHeight="1" x14ac:dyDescent="0.2">
      <c r="AQ944" s="32"/>
    </row>
    <row r="945" spans="43:43" ht="12" customHeight="1" x14ac:dyDescent="0.2">
      <c r="AQ945" s="32"/>
    </row>
    <row r="946" spans="43:43" ht="12" customHeight="1" x14ac:dyDescent="0.2">
      <c r="AQ946" s="32"/>
    </row>
    <row r="947" spans="43:43" ht="12" customHeight="1" x14ac:dyDescent="0.2">
      <c r="AQ947" s="32"/>
    </row>
    <row r="948" spans="43:43" ht="12" customHeight="1" x14ac:dyDescent="0.2">
      <c r="AQ948" s="32"/>
    </row>
    <row r="949" spans="43:43" ht="12" customHeight="1" x14ac:dyDescent="0.2">
      <c r="AQ949" s="32"/>
    </row>
    <row r="950" spans="43:43" ht="12" customHeight="1" x14ac:dyDescent="0.2">
      <c r="AQ950" s="32"/>
    </row>
    <row r="951" spans="43:43" ht="12" customHeight="1" x14ac:dyDescent="0.2">
      <c r="AQ951" s="32"/>
    </row>
    <row r="952" spans="43:43" ht="12" customHeight="1" x14ac:dyDescent="0.2">
      <c r="AQ952" s="32"/>
    </row>
    <row r="953" spans="43:43" ht="12" customHeight="1" x14ac:dyDescent="0.2">
      <c r="AQ953" s="32"/>
    </row>
    <row r="954" spans="43:43" ht="12" customHeight="1" x14ac:dyDescent="0.2">
      <c r="AQ954" s="32"/>
    </row>
    <row r="955" spans="43:43" ht="12" customHeight="1" x14ac:dyDescent="0.2">
      <c r="AQ955" s="32"/>
    </row>
    <row r="956" spans="43:43" ht="12" customHeight="1" x14ac:dyDescent="0.2">
      <c r="AQ956" s="32"/>
    </row>
    <row r="957" spans="43:43" ht="12" customHeight="1" x14ac:dyDescent="0.2">
      <c r="AQ957" s="32"/>
    </row>
    <row r="958" spans="43:43" ht="12" customHeight="1" x14ac:dyDescent="0.2">
      <c r="AQ958" s="32"/>
    </row>
    <row r="959" spans="43:43" ht="12" customHeight="1" x14ac:dyDescent="0.2">
      <c r="AQ959" s="32"/>
    </row>
    <row r="960" spans="43:43" ht="12" customHeight="1" x14ac:dyDescent="0.2">
      <c r="AQ960" s="32"/>
    </row>
    <row r="961" spans="43:43" ht="12" customHeight="1" x14ac:dyDescent="0.2">
      <c r="AQ961" s="32"/>
    </row>
    <row r="962" spans="43:43" ht="12" customHeight="1" x14ac:dyDescent="0.2">
      <c r="AQ962" s="32"/>
    </row>
    <row r="963" spans="43:43" ht="12" customHeight="1" x14ac:dyDescent="0.2">
      <c r="AQ963" s="32"/>
    </row>
    <row r="964" spans="43:43" ht="12" customHeight="1" x14ac:dyDescent="0.2">
      <c r="AQ964" s="32"/>
    </row>
    <row r="965" spans="43:43" ht="12" customHeight="1" x14ac:dyDescent="0.2">
      <c r="AQ965" s="32"/>
    </row>
    <row r="966" spans="43:43" ht="12" customHeight="1" x14ac:dyDescent="0.2">
      <c r="AQ966" s="32"/>
    </row>
    <row r="967" spans="43:43" ht="12" customHeight="1" x14ac:dyDescent="0.2">
      <c r="AQ967" s="32"/>
    </row>
    <row r="968" spans="43:43" ht="12" customHeight="1" x14ac:dyDescent="0.2">
      <c r="AQ968" s="32"/>
    </row>
    <row r="969" spans="43:43" ht="12" customHeight="1" x14ac:dyDescent="0.2">
      <c r="AQ969" s="32"/>
    </row>
    <row r="970" spans="43:43" ht="12" customHeight="1" x14ac:dyDescent="0.2">
      <c r="AQ970" s="32"/>
    </row>
    <row r="971" spans="43:43" ht="12" customHeight="1" x14ac:dyDescent="0.2">
      <c r="AQ971" s="32"/>
    </row>
    <row r="972" spans="43:43" ht="12" customHeight="1" x14ac:dyDescent="0.2">
      <c r="AQ972" s="32"/>
    </row>
    <row r="973" spans="43:43" ht="12" customHeight="1" x14ac:dyDescent="0.2">
      <c r="AQ973" s="32"/>
    </row>
    <row r="974" spans="43:43" ht="12" customHeight="1" x14ac:dyDescent="0.2">
      <c r="AQ974" s="32"/>
    </row>
    <row r="975" spans="43:43" ht="12" customHeight="1" x14ac:dyDescent="0.2">
      <c r="AQ975" s="32"/>
    </row>
    <row r="976" spans="43:43" ht="12" customHeight="1" x14ac:dyDescent="0.2">
      <c r="AQ976" s="32"/>
    </row>
    <row r="977" spans="43:43" ht="12" customHeight="1" x14ac:dyDescent="0.2">
      <c r="AQ977" s="32"/>
    </row>
    <row r="978" spans="43:43" ht="12" customHeight="1" x14ac:dyDescent="0.2">
      <c r="AQ978" s="32"/>
    </row>
    <row r="979" spans="43:43" ht="12" customHeight="1" x14ac:dyDescent="0.2">
      <c r="AQ979" s="32"/>
    </row>
    <row r="980" spans="43:43" ht="12" customHeight="1" x14ac:dyDescent="0.2">
      <c r="AQ980" s="32"/>
    </row>
    <row r="981" spans="43:43" ht="12" customHeight="1" x14ac:dyDescent="0.2">
      <c r="AQ981" s="32"/>
    </row>
    <row r="982" spans="43:43" ht="12" customHeight="1" x14ac:dyDescent="0.2">
      <c r="AQ982" s="32"/>
    </row>
    <row r="983" spans="43:43" ht="12" customHeight="1" x14ac:dyDescent="0.2">
      <c r="AQ983" s="32"/>
    </row>
    <row r="984" spans="43:43" ht="12" customHeight="1" x14ac:dyDescent="0.2">
      <c r="AQ984" s="32"/>
    </row>
    <row r="985" spans="43:43" ht="12" customHeight="1" x14ac:dyDescent="0.2">
      <c r="AQ985" s="32"/>
    </row>
    <row r="986" spans="43:43" ht="12" customHeight="1" x14ac:dyDescent="0.2">
      <c r="AQ986" s="32"/>
    </row>
    <row r="987" spans="43:43" ht="12" customHeight="1" x14ac:dyDescent="0.2">
      <c r="AQ987" s="32"/>
    </row>
    <row r="988" spans="43:43" ht="12" customHeight="1" x14ac:dyDescent="0.2">
      <c r="AQ988" s="32"/>
    </row>
    <row r="989" spans="43:43" ht="12" customHeight="1" x14ac:dyDescent="0.2">
      <c r="AQ989" s="32"/>
    </row>
    <row r="990" spans="43:43" ht="12" customHeight="1" x14ac:dyDescent="0.2">
      <c r="AQ990" s="32"/>
    </row>
    <row r="991" spans="43:43" ht="12" customHeight="1" x14ac:dyDescent="0.2">
      <c r="AQ991" s="32"/>
    </row>
    <row r="992" spans="43:43" ht="12" customHeight="1" x14ac:dyDescent="0.2">
      <c r="AQ992" s="32"/>
    </row>
    <row r="993" spans="43:43" ht="12" customHeight="1" x14ac:dyDescent="0.2">
      <c r="AQ993" s="32"/>
    </row>
    <row r="994" spans="43:43" ht="12" customHeight="1" x14ac:dyDescent="0.2">
      <c r="AQ994" s="32"/>
    </row>
    <row r="995" spans="43:43" ht="12" customHeight="1" x14ac:dyDescent="0.2">
      <c r="AQ995" s="32"/>
    </row>
    <row r="996" spans="43:43" ht="12" customHeight="1" x14ac:dyDescent="0.2">
      <c r="AQ996" s="32"/>
    </row>
    <row r="997" spans="43:43" ht="12" customHeight="1" x14ac:dyDescent="0.2">
      <c r="AQ997" s="32"/>
    </row>
    <row r="998" spans="43:43" ht="12" customHeight="1" x14ac:dyDescent="0.2">
      <c r="AQ998" s="32"/>
    </row>
    <row r="999" spans="43:43" ht="12" customHeight="1" x14ac:dyDescent="0.2">
      <c r="AQ999" s="32"/>
    </row>
    <row r="1000" spans="43:43" ht="12" customHeight="1" x14ac:dyDescent="0.2">
      <c r="AQ1000" s="32"/>
    </row>
    <row r="1001" spans="43:43" ht="12" customHeight="1" x14ac:dyDescent="0.2">
      <c r="AQ1001" s="32"/>
    </row>
    <row r="1002" spans="43:43" ht="12" customHeight="1" x14ac:dyDescent="0.2">
      <c r="AQ1002" s="32"/>
    </row>
    <row r="1003" spans="43:43" ht="12" customHeight="1" x14ac:dyDescent="0.2">
      <c r="AQ1003" s="32"/>
    </row>
    <row r="1004" spans="43:43" ht="12" customHeight="1" x14ac:dyDescent="0.2">
      <c r="AQ1004" s="32"/>
    </row>
    <row r="1005" spans="43:43" ht="12" customHeight="1" x14ac:dyDescent="0.2">
      <c r="AQ1005" s="32"/>
    </row>
    <row r="1006" spans="43:43" ht="12" customHeight="1" x14ac:dyDescent="0.2">
      <c r="AQ1006" s="32"/>
    </row>
    <row r="1007" spans="43:43" ht="12" customHeight="1" x14ac:dyDescent="0.2">
      <c r="AQ1007" s="32"/>
    </row>
    <row r="1008" spans="43:43" ht="12" customHeight="1" x14ac:dyDescent="0.2">
      <c r="AQ1008" s="32"/>
    </row>
    <row r="1009" spans="43:43" ht="12" customHeight="1" x14ac:dyDescent="0.2">
      <c r="AQ1009" s="32"/>
    </row>
    <row r="1010" spans="43:43" ht="12" customHeight="1" x14ac:dyDescent="0.2">
      <c r="AQ1010" s="32"/>
    </row>
    <row r="1011" spans="43:43" ht="12" customHeight="1" x14ac:dyDescent="0.2">
      <c r="AQ1011" s="32"/>
    </row>
    <row r="1012" spans="43:43" ht="12" customHeight="1" x14ac:dyDescent="0.2">
      <c r="AQ1012" s="32"/>
    </row>
    <row r="1013" spans="43:43" ht="12" customHeight="1" x14ac:dyDescent="0.2">
      <c r="AQ1013" s="32"/>
    </row>
    <row r="1014" spans="43:43" ht="12" customHeight="1" x14ac:dyDescent="0.2">
      <c r="AQ1014" s="32"/>
    </row>
    <row r="1015" spans="43:43" ht="12" customHeight="1" x14ac:dyDescent="0.2">
      <c r="AQ1015" s="32"/>
    </row>
    <row r="1016" spans="43:43" ht="12" customHeight="1" x14ac:dyDescent="0.2">
      <c r="AQ1016" s="32"/>
    </row>
    <row r="1017" spans="43:43" ht="12" customHeight="1" x14ac:dyDescent="0.2">
      <c r="AQ1017" s="32"/>
    </row>
    <row r="1018" spans="43:43" ht="12" customHeight="1" x14ac:dyDescent="0.2">
      <c r="AQ1018" s="32"/>
    </row>
    <row r="1019" spans="43:43" ht="12" customHeight="1" x14ac:dyDescent="0.2">
      <c r="AQ1019" s="32"/>
    </row>
    <row r="1020" spans="43:43" ht="12" customHeight="1" x14ac:dyDescent="0.2">
      <c r="AQ1020" s="32"/>
    </row>
    <row r="1021" spans="43:43" ht="12" customHeight="1" x14ac:dyDescent="0.2">
      <c r="AQ1021" s="32"/>
    </row>
    <row r="1022" spans="43:43" ht="12" customHeight="1" x14ac:dyDescent="0.2">
      <c r="AQ1022" s="32"/>
    </row>
    <row r="1023" spans="43:43" ht="12" customHeight="1" x14ac:dyDescent="0.2">
      <c r="AQ1023" s="32"/>
    </row>
    <row r="1024" spans="43:43" ht="12" customHeight="1" x14ac:dyDescent="0.2">
      <c r="AQ1024" s="32"/>
    </row>
    <row r="1025" spans="43:43" ht="12" customHeight="1" x14ac:dyDescent="0.2">
      <c r="AQ1025" s="32"/>
    </row>
    <row r="1026" spans="43:43" ht="12" customHeight="1" x14ac:dyDescent="0.2">
      <c r="AQ1026" s="32"/>
    </row>
    <row r="1027" spans="43:43" ht="12" customHeight="1" x14ac:dyDescent="0.2">
      <c r="AQ1027" s="32"/>
    </row>
    <row r="1028" spans="43:43" ht="12" customHeight="1" x14ac:dyDescent="0.2">
      <c r="AQ1028" s="32"/>
    </row>
    <row r="1029" spans="43:43" ht="12" customHeight="1" x14ac:dyDescent="0.2">
      <c r="AQ1029" s="32"/>
    </row>
    <row r="1030" spans="43:43" ht="12" customHeight="1" x14ac:dyDescent="0.2">
      <c r="AQ1030" s="32"/>
    </row>
    <row r="1031" spans="43:43" ht="12" customHeight="1" x14ac:dyDescent="0.2">
      <c r="AQ1031" s="32"/>
    </row>
    <row r="1032" spans="43:43" ht="12" customHeight="1" x14ac:dyDescent="0.2">
      <c r="AQ1032" s="32"/>
    </row>
    <row r="1033" spans="43:43" ht="12" customHeight="1" x14ac:dyDescent="0.2">
      <c r="AQ1033" s="32"/>
    </row>
    <row r="1034" spans="43:43" ht="12" customHeight="1" x14ac:dyDescent="0.2">
      <c r="AQ1034" s="32"/>
    </row>
    <row r="1035" spans="43:43" ht="12" customHeight="1" x14ac:dyDescent="0.2">
      <c r="AQ1035" s="32"/>
    </row>
    <row r="1036" spans="43:43" ht="12" customHeight="1" x14ac:dyDescent="0.2">
      <c r="AQ1036" s="32"/>
    </row>
    <row r="1037" spans="43:43" ht="12" customHeight="1" x14ac:dyDescent="0.2">
      <c r="AQ1037" s="32"/>
    </row>
    <row r="1038" spans="43:43" ht="12" customHeight="1" x14ac:dyDescent="0.2">
      <c r="AQ1038" s="32"/>
    </row>
    <row r="1039" spans="43:43" ht="12" customHeight="1" x14ac:dyDescent="0.2">
      <c r="AQ1039" s="32"/>
    </row>
    <row r="1040" spans="43:43" ht="12" customHeight="1" x14ac:dyDescent="0.2">
      <c r="AQ1040" s="32"/>
    </row>
    <row r="1041" spans="43:43" ht="12" customHeight="1" x14ac:dyDescent="0.2">
      <c r="AQ1041" s="32"/>
    </row>
    <row r="1042" spans="43:43" ht="12" customHeight="1" x14ac:dyDescent="0.2">
      <c r="AQ1042" s="32"/>
    </row>
    <row r="1043" spans="43:43" ht="12" customHeight="1" x14ac:dyDescent="0.2">
      <c r="AQ1043" s="32"/>
    </row>
    <row r="1044" spans="43:43" ht="12" customHeight="1" x14ac:dyDescent="0.2">
      <c r="AQ1044" s="32"/>
    </row>
    <row r="1045" spans="43:43" ht="12" customHeight="1" x14ac:dyDescent="0.2">
      <c r="AQ1045" s="32"/>
    </row>
    <row r="1046" spans="43:43" ht="12" customHeight="1" x14ac:dyDescent="0.2">
      <c r="AQ1046" s="32"/>
    </row>
    <row r="1047" spans="43:43" ht="12" customHeight="1" x14ac:dyDescent="0.2">
      <c r="AQ1047" s="32"/>
    </row>
    <row r="1048" spans="43:43" ht="12" customHeight="1" x14ac:dyDescent="0.2">
      <c r="AQ1048" s="32"/>
    </row>
    <row r="1049" spans="43:43" ht="12" customHeight="1" x14ac:dyDescent="0.2">
      <c r="AQ1049" s="32"/>
    </row>
    <row r="1050" spans="43:43" ht="12" customHeight="1" x14ac:dyDescent="0.2">
      <c r="AQ1050" s="32"/>
    </row>
    <row r="1051" spans="43:43" ht="12" customHeight="1" x14ac:dyDescent="0.2">
      <c r="AQ1051" s="32"/>
    </row>
    <row r="1052" spans="43:43" ht="12" customHeight="1" x14ac:dyDescent="0.2">
      <c r="AQ1052" s="32"/>
    </row>
    <row r="1053" spans="43:43" ht="12" customHeight="1" x14ac:dyDescent="0.2">
      <c r="AQ1053" s="32"/>
    </row>
    <row r="1054" spans="43:43" ht="12" customHeight="1" x14ac:dyDescent="0.2">
      <c r="AQ1054" s="32"/>
    </row>
    <row r="1055" spans="43:43" ht="12" customHeight="1" x14ac:dyDescent="0.2">
      <c r="AQ1055" s="32"/>
    </row>
    <row r="1056" spans="43:43" ht="12" customHeight="1" x14ac:dyDescent="0.2">
      <c r="AQ1056" s="32"/>
    </row>
    <row r="1057" spans="43:43" ht="12" customHeight="1" x14ac:dyDescent="0.2">
      <c r="AQ1057" s="32"/>
    </row>
    <row r="1058" spans="43:43" ht="12" customHeight="1" x14ac:dyDescent="0.2">
      <c r="AQ1058" s="32"/>
    </row>
    <row r="1059" spans="43:43" ht="12" customHeight="1" x14ac:dyDescent="0.2">
      <c r="AQ1059" s="32"/>
    </row>
    <row r="1060" spans="43:43" ht="12" customHeight="1" x14ac:dyDescent="0.2">
      <c r="AQ1060" s="32"/>
    </row>
    <row r="1061" spans="43:43" ht="12" customHeight="1" x14ac:dyDescent="0.2">
      <c r="AQ1061" s="32"/>
    </row>
    <row r="1062" spans="43:43" ht="12" customHeight="1" x14ac:dyDescent="0.2">
      <c r="AQ1062" s="32"/>
    </row>
    <row r="1063" spans="43:43" ht="12" customHeight="1" x14ac:dyDescent="0.2">
      <c r="AQ1063" s="32"/>
    </row>
    <row r="1064" spans="43:43" ht="12" customHeight="1" x14ac:dyDescent="0.2">
      <c r="AQ1064" s="32"/>
    </row>
    <row r="1065" spans="43:43" ht="12" customHeight="1" x14ac:dyDescent="0.2">
      <c r="AQ1065" s="32"/>
    </row>
    <row r="1066" spans="43:43" ht="12" customHeight="1" x14ac:dyDescent="0.2">
      <c r="AQ1066" s="32"/>
    </row>
    <row r="1067" spans="43:43" ht="12" customHeight="1" x14ac:dyDescent="0.2">
      <c r="AQ1067" s="32"/>
    </row>
    <row r="1068" spans="43:43" ht="12" customHeight="1" x14ac:dyDescent="0.2">
      <c r="AQ1068" s="32"/>
    </row>
    <row r="1069" spans="43:43" ht="12" customHeight="1" x14ac:dyDescent="0.2">
      <c r="AQ1069" s="32"/>
    </row>
    <row r="1070" spans="43:43" ht="12" customHeight="1" x14ac:dyDescent="0.2">
      <c r="AQ1070" s="32"/>
    </row>
    <row r="1071" spans="43:43" ht="12" customHeight="1" x14ac:dyDescent="0.2">
      <c r="AQ1071" s="32"/>
    </row>
    <row r="1072" spans="43:43" ht="12" customHeight="1" x14ac:dyDescent="0.2">
      <c r="AQ1072" s="32"/>
    </row>
    <row r="1073" spans="43:43" ht="12" customHeight="1" x14ac:dyDescent="0.2">
      <c r="AQ1073" s="32"/>
    </row>
    <row r="1074" spans="43:43" ht="12" customHeight="1" x14ac:dyDescent="0.2">
      <c r="AQ1074" s="32"/>
    </row>
    <row r="1075" spans="43:43" ht="12" customHeight="1" x14ac:dyDescent="0.2">
      <c r="AQ1075" s="32"/>
    </row>
    <row r="1076" spans="43:43" ht="12" customHeight="1" x14ac:dyDescent="0.2">
      <c r="AQ1076" s="32"/>
    </row>
    <row r="1077" spans="43:43" ht="12" customHeight="1" x14ac:dyDescent="0.2">
      <c r="AQ1077" s="32"/>
    </row>
    <row r="1078" spans="43:43" ht="12" customHeight="1" x14ac:dyDescent="0.2">
      <c r="AQ1078" s="32"/>
    </row>
    <row r="1079" spans="43:43" ht="12" customHeight="1" x14ac:dyDescent="0.2">
      <c r="AQ1079" s="32"/>
    </row>
    <row r="1080" spans="43:43" ht="12" customHeight="1" x14ac:dyDescent="0.2">
      <c r="AQ1080" s="32"/>
    </row>
    <row r="1081" spans="43:43" ht="12" customHeight="1" x14ac:dyDescent="0.2">
      <c r="AQ1081" s="32"/>
    </row>
    <row r="1082" spans="43:43" ht="12" customHeight="1" x14ac:dyDescent="0.2">
      <c r="AQ1082" s="32"/>
    </row>
    <row r="1083" spans="43:43" ht="12" customHeight="1" x14ac:dyDescent="0.2">
      <c r="AQ1083" s="32"/>
    </row>
    <row r="1084" spans="43:43" ht="12" customHeight="1" x14ac:dyDescent="0.2">
      <c r="AQ1084" s="32"/>
    </row>
    <row r="1085" spans="43:43" ht="12" customHeight="1" x14ac:dyDescent="0.2">
      <c r="AQ1085" s="32"/>
    </row>
    <row r="1086" spans="43:43" ht="12" customHeight="1" x14ac:dyDescent="0.2">
      <c r="AQ1086" s="32"/>
    </row>
    <row r="1087" spans="43:43" ht="12" customHeight="1" x14ac:dyDescent="0.2">
      <c r="AQ1087" s="32"/>
    </row>
    <row r="1088" spans="43:43" ht="12" customHeight="1" x14ac:dyDescent="0.2">
      <c r="AQ1088" s="32"/>
    </row>
    <row r="1089" spans="43:43" ht="12" customHeight="1" x14ac:dyDescent="0.2">
      <c r="AQ1089" s="32"/>
    </row>
    <row r="1090" spans="43:43" ht="12" customHeight="1" x14ac:dyDescent="0.2">
      <c r="AQ1090" s="32"/>
    </row>
    <row r="1091" spans="43:43" ht="12" customHeight="1" x14ac:dyDescent="0.2">
      <c r="AQ1091" s="32"/>
    </row>
    <row r="1092" spans="43:43" ht="12" customHeight="1" x14ac:dyDescent="0.2">
      <c r="AQ1092" s="32"/>
    </row>
    <row r="1093" spans="43:43" ht="12" customHeight="1" x14ac:dyDescent="0.2">
      <c r="AQ1093" s="32"/>
    </row>
    <row r="1094" spans="43:43" ht="12" customHeight="1" x14ac:dyDescent="0.2">
      <c r="AQ1094" s="32"/>
    </row>
    <row r="1095" spans="43:43" ht="12" customHeight="1" x14ac:dyDescent="0.2">
      <c r="AQ1095" s="32"/>
    </row>
    <row r="1096" spans="43:43" ht="12" customHeight="1" x14ac:dyDescent="0.2">
      <c r="AQ1096" s="32"/>
    </row>
    <row r="1097" spans="43:43" ht="12" customHeight="1" x14ac:dyDescent="0.2">
      <c r="AQ1097" s="32"/>
    </row>
    <row r="1098" spans="43:43" ht="12" customHeight="1" x14ac:dyDescent="0.2">
      <c r="AQ1098" s="32"/>
    </row>
    <row r="1099" spans="43:43" ht="12" customHeight="1" x14ac:dyDescent="0.2">
      <c r="AQ1099" s="32"/>
    </row>
    <row r="1100" spans="43:43" ht="12" customHeight="1" x14ac:dyDescent="0.2">
      <c r="AQ1100" s="32"/>
    </row>
    <row r="1101" spans="43:43" ht="12" customHeight="1" x14ac:dyDescent="0.2">
      <c r="AQ1101" s="32"/>
    </row>
    <row r="1102" spans="43:43" ht="12" customHeight="1" x14ac:dyDescent="0.2">
      <c r="AQ1102" s="32"/>
    </row>
    <row r="1103" spans="43:43" ht="12" customHeight="1" x14ac:dyDescent="0.2">
      <c r="AQ1103" s="32"/>
    </row>
    <row r="1104" spans="43:43" ht="12" customHeight="1" x14ac:dyDescent="0.2">
      <c r="AQ1104" s="32"/>
    </row>
    <row r="1105" spans="43:43" ht="12" customHeight="1" x14ac:dyDescent="0.2">
      <c r="AQ1105" s="32"/>
    </row>
    <row r="1106" spans="43:43" ht="12" customHeight="1" x14ac:dyDescent="0.2">
      <c r="AQ1106" s="32"/>
    </row>
    <row r="1107" spans="43:43" ht="12" customHeight="1" x14ac:dyDescent="0.2">
      <c r="AQ1107" s="32"/>
    </row>
    <row r="1108" spans="43:43" ht="12" customHeight="1" x14ac:dyDescent="0.2">
      <c r="AQ1108" s="32"/>
    </row>
    <row r="1109" spans="43:43" ht="12" customHeight="1" x14ac:dyDescent="0.2">
      <c r="AQ1109" s="32"/>
    </row>
    <row r="1110" spans="43:43" ht="12" customHeight="1" x14ac:dyDescent="0.2">
      <c r="AQ1110" s="32"/>
    </row>
    <row r="1111" spans="43:43" ht="12" customHeight="1" x14ac:dyDescent="0.2">
      <c r="AQ1111" s="32"/>
    </row>
    <row r="1112" spans="43:43" ht="12" customHeight="1" x14ac:dyDescent="0.2">
      <c r="AQ1112" s="32"/>
    </row>
    <row r="1113" spans="43:43" ht="12" customHeight="1" x14ac:dyDescent="0.2">
      <c r="AQ1113" s="32"/>
    </row>
    <row r="1114" spans="43:43" ht="12" customHeight="1" x14ac:dyDescent="0.2">
      <c r="AQ1114" s="32"/>
    </row>
    <row r="1115" spans="43:43" ht="12" customHeight="1" x14ac:dyDescent="0.2">
      <c r="AQ1115" s="32"/>
    </row>
    <row r="1116" spans="43:43" ht="12" customHeight="1" x14ac:dyDescent="0.2">
      <c r="AQ1116" s="32"/>
    </row>
    <row r="1117" spans="43:43" ht="12" customHeight="1" x14ac:dyDescent="0.2">
      <c r="AQ1117" s="32"/>
    </row>
    <row r="1118" spans="43:43" ht="12" customHeight="1" x14ac:dyDescent="0.2">
      <c r="AQ1118" s="32"/>
    </row>
    <row r="1119" spans="43:43" ht="12" customHeight="1" x14ac:dyDescent="0.2">
      <c r="AQ1119" s="32"/>
    </row>
    <row r="1120" spans="43:43" ht="12" customHeight="1" x14ac:dyDescent="0.2">
      <c r="AQ1120" s="32"/>
    </row>
    <row r="1121" spans="43:43" ht="12" customHeight="1" x14ac:dyDescent="0.2">
      <c r="AQ1121" s="32"/>
    </row>
    <row r="1122" spans="43:43" ht="12" customHeight="1" x14ac:dyDescent="0.2">
      <c r="AQ1122" s="32"/>
    </row>
    <row r="1123" spans="43:43" ht="12" customHeight="1" x14ac:dyDescent="0.2">
      <c r="AQ1123" s="32"/>
    </row>
    <row r="1124" spans="43:43" ht="12" customHeight="1" x14ac:dyDescent="0.2">
      <c r="AQ1124" s="32"/>
    </row>
    <row r="1125" spans="43:43" ht="12" customHeight="1" x14ac:dyDescent="0.2">
      <c r="AQ1125" s="32"/>
    </row>
    <row r="1126" spans="43:43" ht="12" customHeight="1" x14ac:dyDescent="0.2">
      <c r="AQ1126" s="32"/>
    </row>
    <row r="1127" spans="43:43" ht="12" customHeight="1" x14ac:dyDescent="0.2">
      <c r="AQ1127" s="32"/>
    </row>
    <row r="1128" spans="43:43" ht="12" customHeight="1" x14ac:dyDescent="0.2">
      <c r="AQ1128" s="32"/>
    </row>
    <row r="1129" spans="43:43" ht="12" customHeight="1" x14ac:dyDescent="0.2">
      <c r="AQ1129" s="32"/>
    </row>
    <row r="1130" spans="43:43" ht="12" customHeight="1" x14ac:dyDescent="0.2">
      <c r="AQ1130" s="32"/>
    </row>
    <row r="1131" spans="43:43" ht="12" customHeight="1" x14ac:dyDescent="0.2">
      <c r="AQ1131" s="32"/>
    </row>
    <row r="1132" spans="43:43" ht="12" customHeight="1" x14ac:dyDescent="0.2">
      <c r="AQ1132" s="32"/>
    </row>
    <row r="1133" spans="43:43" ht="12" customHeight="1" x14ac:dyDescent="0.2">
      <c r="AQ1133" s="32"/>
    </row>
    <row r="1134" spans="43:43" ht="12" customHeight="1" x14ac:dyDescent="0.2">
      <c r="AQ1134" s="32"/>
    </row>
    <row r="1135" spans="43:43" ht="12" customHeight="1" x14ac:dyDescent="0.2">
      <c r="AQ1135" s="32"/>
    </row>
    <row r="1136" spans="43:43" ht="12" customHeight="1" x14ac:dyDescent="0.2">
      <c r="AQ1136" s="32"/>
    </row>
    <row r="1137" spans="43:43" ht="12" customHeight="1" x14ac:dyDescent="0.2">
      <c r="AQ1137" s="32"/>
    </row>
    <row r="1138" spans="43:43" ht="12" customHeight="1" x14ac:dyDescent="0.2">
      <c r="AQ1138" s="32"/>
    </row>
    <row r="1139" spans="43:43" ht="12" customHeight="1" x14ac:dyDescent="0.2">
      <c r="AQ1139" s="32"/>
    </row>
    <row r="1140" spans="43:43" ht="12" customHeight="1" x14ac:dyDescent="0.2">
      <c r="AQ1140" s="32"/>
    </row>
    <row r="1141" spans="43:43" ht="12" customHeight="1" x14ac:dyDescent="0.2">
      <c r="AQ1141" s="32"/>
    </row>
    <row r="1142" spans="43:43" ht="12" customHeight="1" x14ac:dyDescent="0.2">
      <c r="AQ1142" s="32"/>
    </row>
    <row r="1143" spans="43:43" ht="12" customHeight="1" x14ac:dyDescent="0.2">
      <c r="AQ1143" s="32"/>
    </row>
    <row r="1144" spans="43:43" ht="12" customHeight="1" x14ac:dyDescent="0.2">
      <c r="AQ1144" s="32"/>
    </row>
    <row r="1145" spans="43:43" ht="12" customHeight="1" x14ac:dyDescent="0.2">
      <c r="AQ1145" s="32"/>
    </row>
    <row r="1146" spans="43:43" ht="12" customHeight="1" x14ac:dyDescent="0.2">
      <c r="AQ1146" s="32"/>
    </row>
    <row r="1147" spans="43:43" ht="12" customHeight="1" x14ac:dyDescent="0.2">
      <c r="AQ1147" s="32"/>
    </row>
    <row r="1148" spans="43:43" ht="12" customHeight="1" x14ac:dyDescent="0.2">
      <c r="AQ1148" s="32"/>
    </row>
    <row r="1149" spans="43:43" ht="12" customHeight="1" x14ac:dyDescent="0.2">
      <c r="AQ1149" s="32"/>
    </row>
    <row r="1150" spans="43:43" ht="12" customHeight="1" x14ac:dyDescent="0.2">
      <c r="AQ1150" s="32"/>
    </row>
    <row r="1151" spans="43:43" ht="12" customHeight="1" x14ac:dyDescent="0.2">
      <c r="AQ1151" s="32"/>
    </row>
    <row r="1152" spans="43:43" ht="12" customHeight="1" x14ac:dyDescent="0.2">
      <c r="AQ1152" s="32"/>
    </row>
    <row r="1153" spans="43:43" ht="12" customHeight="1" x14ac:dyDescent="0.2">
      <c r="AQ1153" s="32"/>
    </row>
    <row r="1154" spans="43:43" ht="12" customHeight="1" x14ac:dyDescent="0.2">
      <c r="AQ1154" s="32"/>
    </row>
    <row r="1155" spans="43:43" ht="12" customHeight="1" x14ac:dyDescent="0.2">
      <c r="AQ1155" s="32"/>
    </row>
    <row r="1156" spans="43:43" ht="12" customHeight="1" x14ac:dyDescent="0.2">
      <c r="AQ1156" s="32"/>
    </row>
    <row r="1157" spans="43:43" ht="12" customHeight="1" x14ac:dyDescent="0.2">
      <c r="AQ1157" s="32"/>
    </row>
    <row r="1158" spans="43:43" ht="12" customHeight="1" x14ac:dyDescent="0.2">
      <c r="AQ1158" s="32"/>
    </row>
    <row r="1159" spans="43:43" ht="12" customHeight="1" x14ac:dyDescent="0.2">
      <c r="AQ1159" s="32"/>
    </row>
    <row r="1160" spans="43:43" ht="12" customHeight="1" x14ac:dyDescent="0.2">
      <c r="AQ1160" s="32"/>
    </row>
    <row r="1161" spans="43:43" ht="12" customHeight="1" x14ac:dyDescent="0.2">
      <c r="AQ1161" s="32"/>
    </row>
    <row r="1162" spans="43:43" ht="12" customHeight="1" x14ac:dyDescent="0.2">
      <c r="AQ1162" s="32"/>
    </row>
    <row r="1163" spans="43:43" ht="12" customHeight="1" x14ac:dyDescent="0.2">
      <c r="AQ1163" s="32"/>
    </row>
    <row r="1164" spans="43:43" ht="12" customHeight="1" x14ac:dyDescent="0.2">
      <c r="AQ1164" s="32"/>
    </row>
    <row r="1165" spans="43:43" ht="12" customHeight="1" x14ac:dyDescent="0.2">
      <c r="AQ1165" s="32"/>
    </row>
    <row r="1166" spans="43:43" ht="12" customHeight="1" x14ac:dyDescent="0.2">
      <c r="AQ1166" s="32"/>
    </row>
    <row r="1167" spans="43:43" ht="12" customHeight="1" x14ac:dyDescent="0.2">
      <c r="AQ1167" s="32"/>
    </row>
    <row r="1168" spans="43:43" ht="12" customHeight="1" x14ac:dyDescent="0.2">
      <c r="AQ1168" s="32"/>
    </row>
    <row r="1169" spans="43:43" ht="12" customHeight="1" x14ac:dyDescent="0.2">
      <c r="AQ1169" s="32"/>
    </row>
    <row r="1170" spans="43:43" ht="12" customHeight="1" x14ac:dyDescent="0.2">
      <c r="AQ1170" s="32"/>
    </row>
    <row r="1171" spans="43:43" ht="12" customHeight="1" x14ac:dyDescent="0.2">
      <c r="AQ1171" s="32"/>
    </row>
    <row r="1172" spans="43:43" ht="12" customHeight="1" x14ac:dyDescent="0.2">
      <c r="AQ1172" s="32"/>
    </row>
    <row r="1173" spans="43:43" ht="12" customHeight="1" x14ac:dyDescent="0.2">
      <c r="AQ1173" s="32"/>
    </row>
    <row r="1174" spans="43:43" ht="12" customHeight="1" x14ac:dyDescent="0.2">
      <c r="AQ1174" s="32"/>
    </row>
    <row r="1175" spans="43:43" ht="12" customHeight="1" x14ac:dyDescent="0.2">
      <c r="AQ1175" s="32"/>
    </row>
    <row r="1176" spans="43:43" ht="12" customHeight="1" x14ac:dyDescent="0.2">
      <c r="AQ1176" s="32"/>
    </row>
    <row r="1177" spans="43:43" ht="12" customHeight="1" x14ac:dyDescent="0.2">
      <c r="AQ1177" s="32"/>
    </row>
    <row r="1178" spans="43:43" ht="12" customHeight="1" x14ac:dyDescent="0.2">
      <c r="AQ1178" s="32"/>
    </row>
    <row r="1179" spans="43:43" ht="12" customHeight="1" x14ac:dyDescent="0.2">
      <c r="AQ1179" s="32"/>
    </row>
    <row r="1180" spans="43:43" ht="12" customHeight="1" x14ac:dyDescent="0.2">
      <c r="AQ1180" s="32"/>
    </row>
    <row r="1181" spans="43:43" ht="12" customHeight="1" x14ac:dyDescent="0.2">
      <c r="AQ1181" s="32"/>
    </row>
    <row r="1182" spans="43:43" ht="12" customHeight="1" x14ac:dyDescent="0.2">
      <c r="AQ1182" s="32"/>
    </row>
    <row r="1183" spans="43:43" ht="12" customHeight="1" x14ac:dyDescent="0.2">
      <c r="AQ1183" s="32"/>
    </row>
    <row r="1184" spans="43:43" ht="12" customHeight="1" x14ac:dyDescent="0.2">
      <c r="AQ1184" s="32"/>
    </row>
    <row r="1185" spans="43:43" ht="12" customHeight="1" x14ac:dyDescent="0.2">
      <c r="AQ1185" s="32"/>
    </row>
    <row r="1186" spans="43:43" ht="12" customHeight="1" x14ac:dyDescent="0.2">
      <c r="AQ1186" s="32"/>
    </row>
    <row r="1187" spans="43:43" ht="12" customHeight="1" x14ac:dyDescent="0.2">
      <c r="AQ1187" s="32"/>
    </row>
    <row r="1188" spans="43:43" ht="12" customHeight="1" x14ac:dyDescent="0.2">
      <c r="AQ1188" s="32"/>
    </row>
    <row r="1189" spans="43:43" ht="12" customHeight="1" x14ac:dyDescent="0.2">
      <c r="AQ1189" s="32"/>
    </row>
    <row r="1190" spans="43:43" ht="12" customHeight="1" x14ac:dyDescent="0.2">
      <c r="AQ1190" s="32"/>
    </row>
    <row r="1191" spans="43:43" ht="12" customHeight="1" x14ac:dyDescent="0.2">
      <c r="AQ1191" s="32"/>
    </row>
    <row r="1192" spans="43:43" ht="12" customHeight="1" x14ac:dyDescent="0.2">
      <c r="AQ1192" s="32"/>
    </row>
    <row r="1193" spans="43:43" ht="12" customHeight="1" x14ac:dyDescent="0.2">
      <c r="AQ1193" s="32"/>
    </row>
    <row r="1194" spans="43:43" ht="12" customHeight="1" x14ac:dyDescent="0.2">
      <c r="AQ1194" s="32"/>
    </row>
    <row r="1195" spans="43:43" ht="12" customHeight="1" x14ac:dyDescent="0.2">
      <c r="AQ1195" s="32"/>
    </row>
    <row r="1196" spans="43:43" ht="12" customHeight="1" x14ac:dyDescent="0.2">
      <c r="AQ1196" s="32"/>
    </row>
    <row r="1197" spans="43:43" ht="12" customHeight="1" x14ac:dyDescent="0.2">
      <c r="AQ1197" s="32"/>
    </row>
    <row r="1198" spans="43:43" ht="12" customHeight="1" x14ac:dyDescent="0.2">
      <c r="AQ1198" s="32"/>
    </row>
    <row r="1199" spans="43:43" ht="12" customHeight="1" x14ac:dyDescent="0.2">
      <c r="AQ1199" s="32"/>
    </row>
    <row r="1200" spans="43:43" ht="12" customHeight="1" x14ac:dyDescent="0.2">
      <c r="AQ1200" s="32"/>
    </row>
    <row r="1201" spans="43:43" ht="12" customHeight="1" x14ac:dyDescent="0.2">
      <c r="AQ1201" s="32"/>
    </row>
    <row r="1202" spans="43:43" ht="12" customHeight="1" x14ac:dyDescent="0.2">
      <c r="AQ1202" s="32"/>
    </row>
    <row r="1203" spans="43:43" ht="12" customHeight="1" x14ac:dyDescent="0.2">
      <c r="AQ1203" s="32"/>
    </row>
    <row r="1204" spans="43:43" ht="12" customHeight="1" x14ac:dyDescent="0.2">
      <c r="AQ1204" s="32"/>
    </row>
    <row r="1205" spans="43:43" ht="12" customHeight="1" x14ac:dyDescent="0.2">
      <c r="AQ1205" s="32"/>
    </row>
    <row r="1206" spans="43:43" ht="12" customHeight="1" x14ac:dyDescent="0.2">
      <c r="AQ1206" s="32"/>
    </row>
    <row r="1207" spans="43:43" ht="12" customHeight="1" x14ac:dyDescent="0.2">
      <c r="AQ1207" s="32"/>
    </row>
    <row r="1208" spans="43:43" ht="12" customHeight="1" x14ac:dyDescent="0.2">
      <c r="AQ1208" s="32"/>
    </row>
    <row r="1209" spans="43:43" ht="12" customHeight="1" x14ac:dyDescent="0.2">
      <c r="AQ1209" s="32"/>
    </row>
    <row r="1210" spans="43:43" ht="12" customHeight="1" x14ac:dyDescent="0.2">
      <c r="AQ1210" s="32"/>
    </row>
    <row r="1211" spans="43:43" ht="12" customHeight="1" x14ac:dyDescent="0.2">
      <c r="AQ1211" s="32"/>
    </row>
    <row r="1212" spans="43:43" ht="12" customHeight="1" x14ac:dyDescent="0.2">
      <c r="AQ1212" s="32"/>
    </row>
    <row r="1213" spans="43:43" ht="12" customHeight="1" x14ac:dyDescent="0.2">
      <c r="AQ1213" s="32"/>
    </row>
    <row r="1214" spans="43:43" ht="12" customHeight="1" x14ac:dyDescent="0.2">
      <c r="AQ1214" s="32"/>
    </row>
    <row r="1215" spans="43:43" ht="12" customHeight="1" x14ac:dyDescent="0.2">
      <c r="AQ1215" s="32"/>
    </row>
    <row r="1216" spans="43:43" ht="12" customHeight="1" x14ac:dyDescent="0.2">
      <c r="AQ1216" s="32"/>
    </row>
    <row r="1217" spans="43:43" ht="12" customHeight="1" x14ac:dyDescent="0.2">
      <c r="AQ1217" s="32"/>
    </row>
    <row r="1218" spans="43:43" ht="12" customHeight="1" x14ac:dyDescent="0.2">
      <c r="AQ1218" s="32"/>
    </row>
    <row r="1219" spans="43:43" ht="12" customHeight="1" x14ac:dyDescent="0.2">
      <c r="AQ1219" s="32"/>
    </row>
    <row r="1220" spans="43:43" ht="12" customHeight="1" x14ac:dyDescent="0.2">
      <c r="AQ1220" s="32"/>
    </row>
    <row r="1221" spans="43:43" ht="12" customHeight="1" x14ac:dyDescent="0.2">
      <c r="AQ1221" s="32"/>
    </row>
    <row r="1222" spans="43:43" ht="12" customHeight="1" x14ac:dyDescent="0.2">
      <c r="AQ1222" s="32"/>
    </row>
    <row r="1223" spans="43:43" ht="12" customHeight="1" x14ac:dyDescent="0.2">
      <c r="AQ1223" s="32"/>
    </row>
    <row r="1224" spans="43:43" ht="12" customHeight="1" x14ac:dyDescent="0.2">
      <c r="AQ1224" s="32"/>
    </row>
    <row r="1225" spans="43:43" ht="12" customHeight="1" x14ac:dyDescent="0.2">
      <c r="AQ1225" s="32"/>
    </row>
    <row r="1226" spans="43:43" ht="12" customHeight="1" x14ac:dyDescent="0.2">
      <c r="AQ1226" s="32"/>
    </row>
    <row r="1227" spans="43:43" ht="12" customHeight="1" x14ac:dyDescent="0.2">
      <c r="AQ1227" s="32"/>
    </row>
    <row r="1228" spans="43:43" ht="12" customHeight="1" x14ac:dyDescent="0.2">
      <c r="AQ1228" s="32"/>
    </row>
    <row r="1229" spans="43:43" ht="12" customHeight="1" x14ac:dyDescent="0.2">
      <c r="AQ1229" s="32"/>
    </row>
    <row r="1230" spans="43:43" ht="12" customHeight="1" x14ac:dyDescent="0.2">
      <c r="AQ1230" s="32"/>
    </row>
    <row r="1231" spans="43:43" ht="12" customHeight="1" x14ac:dyDescent="0.2">
      <c r="AQ1231" s="32"/>
    </row>
    <row r="1232" spans="43:43" ht="12" customHeight="1" x14ac:dyDescent="0.2">
      <c r="AQ1232" s="32"/>
    </row>
    <row r="1233" spans="43:43" ht="12" customHeight="1" x14ac:dyDescent="0.2">
      <c r="AQ1233" s="32"/>
    </row>
    <row r="1234" spans="43:43" ht="12" customHeight="1" x14ac:dyDescent="0.2">
      <c r="AQ1234" s="32"/>
    </row>
    <row r="1235" spans="43:43" ht="12" customHeight="1" x14ac:dyDescent="0.2">
      <c r="AQ1235" s="32"/>
    </row>
    <row r="1236" spans="43:43" ht="12" customHeight="1" x14ac:dyDescent="0.2">
      <c r="AQ1236" s="32"/>
    </row>
    <row r="1237" spans="43:43" ht="12" customHeight="1" x14ac:dyDescent="0.2">
      <c r="AQ1237" s="32"/>
    </row>
    <row r="1238" spans="43:43" ht="12" customHeight="1" x14ac:dyDescent="0.2">
      <c r="AQ1238" s="32"/>
    </row>
    <row r="1239" spans="43:43" ht="12" customHeight="1" x14ac:dyDescent="0.2">
      <c r="AQ1239" s="32"/>
    </row>
    <row r="1240" spans="43:43" ht="12" customHeight="1" x14ac:dyDescent="0.2">
      <c r="AQ1240" s="32"/>
    </row>
    <row r="1241" spans="43:43" ht="12" customHeight="1" x14ac:dyDescent="0.2">
      <c r="AQ1241" s="32"/>
    </row>
    <row r="1242" spans="43:43" ht="12" customHeight="1" x14ac:dyDescent="0.2">
      <c r="AQ1242" s="32"/>
    </row>
    <row r="1243" spans="43:43" ht="12" customHeight="1" x14ac:dyDescent="0.2">
      <c r="AQ1243" s="32"/>
    </row>
    <row r="1244" spans="43:43" ht="12" customHeight="1" x14ac:dyDescent="0.2">
      <c r="AQ1244" s="32"/>
    </row>
    <row r="1245" spans="43:43" ht="12" customHeight="1" x14ac:dyDescent="0.2">
      <c r="AQ1245" s="32"/>
    </row>
    <row r="1246" spans="43:43" ht="12" customHeight="1" x14ac:dyDescent="0.2">
      <c r="AQ1246" s="32"/>
    </row>
    <row r="1247" spans="43:43" ht="12" customHeight="1" x14ac:dyDescent="0.2">
      <c r="AQ1247" s="32"/>
    </row>
    <row r="1248" spans="43:43" ht="12" customHeight="1" x14ac:dyDescent="0.2">
      <c r="AQ1248" s="32"/>
    </row>
    <row r="1249" spans="43:43" ht="12" customHeight="1" x14ac:dyDescent="0.2">
      <c r="AQ1249" s="32"/>
    </row>
    <row r="1250" spans="43:43" ht="12" customHeight="1" x14ac:dyDescent="0.2">
      <c r="AQ1250" s="32"/>
    </row>
    <row r="1251" spans="43:43" ht="12" customHeight="1" x14ac:dyDescent="0.2">
      <c r="AQ1251" s="32"/>
    </row>
    <row r="1252" spans="43:43" ht="12" customHeight="1" x14ac:dyDescent="0.2">
      <c r="AQ1252" s="32"/>
    </row>
    <row r="1253" spans="43:43" ht="12" customHeight="1" x14ac:dyDescent="0.2">
      <c r="AQ1253" s="32"/>
    </row>
    <row r="1254" spans="43:43" ht="12" customHeight="1" x14ac:dyDescent="0.2">
      <c r="AQ1254" s="32"/>
    </row>
    <row r="1255" spans="43:43" ht="12" customHeight="1" x14ac:dyDescent="0.2">
      <c r="AQ1255" s="32"/>
    </row>
    <row r="1256" spans="43:43" ht="12" customHeight="1" x14ac:dyDescent="0.2">
      <c r="AQ1256" s="32"/>
    </row>
    <row r="1257" spans="43:43" ht="12" customHeight="1" x14ac:dyDescent="0.2">
      <c r="AQ1257" s="32"/>
    </row>
    <row r="1258" spans="43:43" ht="12" customHeight="1" x14ac:dyDescent="0.2">
      <c r="AQ1258" s="32"/>
    </row>
    <row r="1259" spans="43:43" ht="12" customHeight="1" x14ac:dyDescent="0.2">
      <c r="AQ1259" s="32"/>
    </row>
    <row r="1260" spans="43:43" ht="12" customHeight="1" x14ac:dyDescent="0.2">
      <c r="AQ1260" s="32"/>
    </row>
    <row r="1261" spans="43:43" ht="12" customHeight="1" x14ac:dyDescent="0.2">
      <c r="AQ1261" s="32"/>
    </row>
    <row r="1262" spans="43:43" ht="12" customHeight="1" x14ac:dyDescent="0.2">
      <c r="AQ1262" s="32"/>
    </row>
    <row r="1263" spans="43:43" ht="12" customHeight="1" x14ac:dyDescent="0.2">
      <c r="AQ1263" s="32"/>
    </row>
    <row r="1264" spans="43:43" ht="12" customHeight="1" x14ac:dyDescent="0.2">
      <c r="AQ1264" s="32"/>
    </row>
    <row r="1265" spans="43:43" ht="12" customHeight="1" x14ac:dyDescent="0.2">
      <c r="AQ1265" s="32"/>
    </row>
    <row r="1266" spans="43:43" ht="12" customHeight="1" x14ac:dyDescent="0.2">
      <c r="AQ1266" s="32"/>
    </row>
    <row r="1267" spans="43:43" ht="12" customHeight="1" x14ac:dyDescent="0.2">
      <c r="AQ1267" s="32"/>
    </row>
    <row r="1268" spans="43:43" ht="12" customHeight="1" x14ac:dyDescent="0.2">
      <c r="AQ1268" s="32"/>
    </row>
    <row r="1269" spans="43:43" ht="12" customHeight="1" x14ac:dyDescent="0.2">
      <c r="AQ1269" s="32"/>
    </row>
    <row r="1270" spans="43:43" ht="12" customHeight="1" x14ac:dyDescent="0.2">
      <c r="AQ1270" s="32"/>
    </row>
    <row r="1271" spans="43:43" ht="12" customHeight="1" x14ac:dyDescent="0.2">
      <c r="AQ1271" s="32"/>
    </row>
    <row r="1272" spans="43:43" ht="12" customHeight="1" x14ac:dyDescent="0.2">
      <c r="AQ1272" s="32"/>
    </row>
    <row r="1273" spans="43:43" ht="12" customHeight="1" x14ac:dyDescent="0.2">
      <c r="AQ1273" s="32"/>
    </row>
    <row r="1274" spans="43:43" ht="12" customHeight="1" x14ac:dyDescent="0.2">
      <c r="AQ1274" s="32"/>
    </row>
    <row r="1275" spans="43:43" ht="12" customHeight="1" x14ac:dyDescent="0.2">
      <c r="AQ1275" s="32"/>
    </row>
    <row r="1276" spans="43:43" ht="12" customHeight="1" x14ac:dyDescent="0.2">
      <c r="AQ1276" s="32"/>
    </row>
    <row r="1277" spans="43:43" ht="12" customHeight="1" x14ac:dyDescent="0.2">
      <c r="AQ1277" s="32"/>
    </row>
    <row r="1278" spans="43:43" ht="12" customHeight="1" x14ac:dyDescent="0.2">
      <c r="AQ1278" s="32"/>
    </row>
    <row r="1279" spans="43:43" ht="12" customHeight="1" x14ac:dyDescent="0.2">
      <c r="AQ1279" s="32"/>
    </row>
    <row r="1280" spans="43:43" ht="12" customHeight="1" x14ac:dyDescent="0.2">
      <c r="AQ1280" s="32"/>
    </row>
    <row r="1281" spans="43:43" ht="12" customHeight="1" x14ac:dyDescent="0.2">
      <c r="AQ1281" s="32"/>
    </row>
    <row r="1282" spans="43:43" ht="12" customHeight="1" x14ac:dyDescent="0.2">
      <c r="AQ1282" s="32"/>
    </row>
    <row r="1283" spans="43:43" ht="12" customHeight="1" x14ac:dyDescent="0.2">
      <c r="AQ1283" s="32"/>
    </row>
    <row r="1284" spans="43:43" ht="12" customHeight="1" x14ac:dyDescent="0.2">
      <c r="AQ1284" s="32"/>
    </row>
    <row r="1285" spans="43:43" ht="12" customHeight="1" x14ac:dyDescent="0.2">
      <c r="AQ1285" s="32"/>
    </row>
    <row r="1286" spans="43:43" ht="12" customHeight="1" x14ac:dyDescent="0.2">
      <c r="AQ1286" s="32"/>
    </row>
    <row r="1287" spans="43:43" ht="12" customHeight="1" x14ac:dyDescent="0.2">
      <c r="AQ1287" s="32"/>
    </row>
    <row r="1288" spans="43:43" ht="12" customHeight="1" x14ac:dyDescent="0.2">
      <c r="AQ1288" s="32"/>
    </row>
    <row r="1289" spans="43:43" ht="12" customHeight="1" x14ac:dyDescent="0.2">
      <c r="AQ1289" s="32"/>
    </row>
    <row r="1290" spans="43:43" ht="12" customHeight="1" x14ac:dyDescent="0.2">
      <c r="AQ1290" s="32"/>
    </row>
    <row r="1291" spans="43:43" ht="12" customHeight="1" x14ac:dyDescent="0.2">
      <c r="AQ1291" s="32"/>
    </row>
    <row r="1292" spans="43:43" ht="12" customHeight="1" x14ac:dyDescent="0.2">
      <c r="AQ1292" s="32"/>
    </row>
    <row r="1293" spans="43:43" ht="12" customHeight="1" x14ac:dyDescent="0.2">
      <c r="AQ1293" s="32"/>
    </row>
    <row r="1294" spans="43:43" ht="12" customHeight="1" x14ac:dyDescent="0.2">
      <c r="AQ1294" s="32"/>
    </row>
    <row r="1295" spans="43:43" ht="12" customHeight="1" x14ac:dyDescent="0.2">
      <c r="AQ1295" s="32"/>
    </row>
    <row r="1296" spans="43:43" ht="12" customHeight="1" x14ac:dyDescent="0.2">
      <c r="AQ1296" s="32"/>
    </row>
    <row r="1297" spans="43:43" ht="12" customHeight="1" x14ac:dyDescent="0.2">
      <c r="AQ1297" s="32"/>
    </row>
    <row r="1298" spans="43:43" ht="12" customHeight="1" x14ac:dyDescent="0.2">
      <c r="AQ1298" s="32"/>
    </row>
    <row r="1299" spans="43:43" ht="12" customHeight="1" x14ac:dyDescent="0.2">
      <c r="AQ1299" s="32"/>
    </row>
    <row r="1300" spans="43:43" ht="12" customHeight="1" x14ac:dyDescent="0.2">
      <c r="AQ1300" s="32"/>
    </row>
    <row r="1301" spans="43:43" ht="12" customHeight="1" x14ac:dyDescent="0.2">
      <c r="AQ1301" s="32"/>
    </row>
    <row r="1302" spans="43:43" ht="12" customHeight="1" x14ac:dyDescent="0.2">
      <c r="AQ1302" s="32"/>
    </row>
    <row r="1303" spans="43:43" ht="12" customHeight="1" x14ac:dyDescent="0.2">
      <c r="AQ1303" s="32"/>
    </row>
    <row r="1304" spans="43:43" ht="12" customHeight="1" x14ac:dyDescent="0.2">
      <c r="AQ1304" s="32"/>
    </row>
    <row r="1305" spans="43:43" ht="12" customHeight="1" x14ac:dyDescent="0.2">
      <c r="AQ1305" s="32"/>
    </row>
    <row r="1306" spans="43:43" ht="12" customHeight="1" x14ac:dyDescent="0.2">
      <c r="AQ1306" s="32"/>
    </row>
    <row r="1307" spans="43:43" ht="12" customHeight="1" x14ac:dyDescent="0.2">
      <c r="AQ1307" s="32"/>
    </row>
    <row r="1308" spans="43:43" ht="12" customHeight="1" x14ac:dyDescent="0.2">
      <c r="AQ1308" s="32"/>
    </row>
    <row r="1309" spans="43:43" ht="12" customHeight="1" x14ac:dyDescent="0.2">
      <c r="AQ1309" s="32"/>
    </row>
    <row r="1310" spans="43:43" ht="12" customHeight="1" x14ac:dyDescent="0.2">
      <c r="AQ1310" s="32"/>
    </row>
    <row r="1311" spans="43:43" ht="12" customHeight="1" x14ac:dyDescent="0.2">
      <c r="AQ1311" s="32"/>
    </row>
    <row r="1312" spans="43:43" ht="12" customHeight="1" x14ac:dyDescent="0.2">
      <c r="AQ1312" s="32"/>
    </row>
    <row r="1313" spans="43:43" ht="12" customHeight="1" x14ac:dyDescent="0.2">
      <c r="AQ1313" s="32"/>
    </row>
    <row r="1314" spans="43:43" ht="12" customHeight="1" x14ac:dyDescent="0.2">
      <c r="AQ1314" s="32"/>
    </row>
    <row r="1315" spans="43:43" ht="12" customHeight="1" x14ac:dyDescent="0.2">
      <c r="AQ1315" s="32"/>
    </row>
    <row r="1316" spans="43:43" ht="12" customHeight="1" x14ac:dyDescent="0.2">
      <c r="AQ1316" s="32"/>
    </row>
    <row r="1317" spans="43:43" ht="12" customHeight="1" x14ac:dyDescent="0.2">
      <c r="AQ1317" s="32"/>
    </row>
    <row r="1318" spans="43:43" ht="12" customHeight="1" x14ac:dyDescent="0.2">
      <c r="AQ1318" s="32"/>
    </row>
    <row r="1319" spans="43:43" ht="12" customHeight="1" x14ac:dyDescent="0.2">
      <c r="AQ1319" s="32"/>
    </row>
    <row r="1320" spans="43:43" ht="12" customHeight="1" x14ac:dyDescent="0.2">
      <c r="AQ1320" s="32"/>
    </row>
    <row r="1321" spans="43:43" ht="12" customHeight="1" x14ac:dyDescent="0.2">
      <c r="AQ1321" s="32"/>
    </row>
    <row r="1322" spans="43:43" ht="12" customHeight="1" x14ac:dyDescent="0.2">
      <c r="AQ1322" s="32"/>
    </row>
    <row r="1323" spans="43:43" ht="12" customHeight="1" x14ac:dyDescent="0.2">
      <c r="AQ1323" s="32"/>
    </row>
    <row r="1324" spans="43:43" ht="12" customHeight="1" x14ac:dyDescent="0.2">
      <c r="AQ1324" s="32"/>
    </row>
    <row r="1325" spans="43:43" ht="12" customHeight="1" x14ac:dyDescent="0.2">
      <c r="AQ1325" s="32"/>
    </row>
    <row r="1326" spans="43:43" ht="12" customHeight="1" x14ac:dyDescent="0.2">
      <c r="AQ1326" s="32"/>
    </row>
    <row r="1327" spans="43:43" ht="12" customHeight="1" x14ac:dyDescent="0.2">
      <c r="AQ1327" s="32"/>
    </row>
    <row r="1328" spans="43:43" ht="12" customHeight="1" x14ac:dyDescent="0.2">
      <c r="AQ1328" s="32"/>
    </row>
    <row r="1329" spans="43:43" ht="12" customHeight="1" x14ac:dyDescent="0.2">
      <c r="AQ1329" s="32"/>
    </row>
    <row r="1330" spans="43:43" ht="12" customHeight="1" x14ac:dyDescent="0.2">
      <c r="AQ1330" s="32"/>
    </row>
    <row r="1331" spans="43:43" ht="12" customHeight="1" x14ac:dyDescent="0.2">
      <c r="AQ1331" s="32"/>
    </row>
    <row r="1332" spans="43:43" ht="12" customHeight="1" x14ac:dyDescent="0.2">
      <c r="AQ1332" s="32"/>
    </row>
    <row r="1333" spans="43:43" ht="12" customHeight="1" x14ac:dyDescent="0.2">
      <c r="AQ1333" s="32"/>
    </row>
    <row r="1334" spans="43:43" ht="12" customHeight="1" x14ac:dyDescent="0.2">
      <c r="AQ1334" s="32"/>
    </row>
    <row r="1335" spans="43:43" ht="12" customHeight="1" x14ac:dyDescent="0.2">
      <c r="AQ1335" s="32"/>
    </row>
    <row r="1336" spans="43:43" ht="12" customHeight="1" x14ac:dyDescent="0.2">
      <c r="AQ1336" s="32"/>
    </row>
    <row r="1337" spans="43:43" ht="12" customHeight="1" x14ac:dyDescent="0.2">
      <c r="AQ1337" s="32"/>
    </row>
    <row r="1338" spans="43:43" ht="12" customHeight="1" x14ac:dyDescent="0.2">
      <c r="AQ1338" s="32"/>
    </row>
    <row r="1339" spans="43:43" ht="12" customHeight="1" x14ac:dyDescent="0.2">
      <c r="AQ1339" s="32"/>
    </row>
    <row r="1340" spans="43:43" ht="12" customHeight="1" x14ac:dyDescent="0.2">
      <c r="AQ1340" s="32"/>
    </row>
    <row r="1341" spans="43:43" ht="12" customHeight="1" x14ac:dyDescent="0.2">
      <c r="AQ1341" s="32"/>
    </row>
    <row r="1342" spans="43:43" ht="12" customHeight="1" x14ac:dyDescent="0.2">
      <c r="AQ1342" s="32"/>
    </row>
    <row r="1343" spans="43:43" ht="12" customHeight="1" x14ac:dyDescent="0.2">
      <c r="AQ1343" s="32"/>
    </row>
    <row r="1344" spans="43:43" ht="12" customHeight="1" x14ac:dyDescent="0.2">
      <c r="AQ1344" s="32"/>
    </row>
    <row r="1345" spans="43:43" ht="12" customHeight="1" x14ac:dyDescent="0.2">
      <c r="AQ1345" s="32"/>
    </row>
    <row r="1346" spans="43:43" ht="12" customHeight="1" x14ac:dyDescent="0.2">
      <c r="AQ1346" s="32"/>
    </row>
    <row r="1347" spans="43:43" ht="12" customHeight="1" x14ac:dyDescent="0.2">
      <c r="AQ1347" s="32"/>
    </row>
    <row r="1348" spans="43:43" ht="12" customHeight="1" x14ac:dyDescent="0.2">
      <c r="AQ1348" s="32"/>
    </row>
    <row r="1349" spans="43:43" ht="12" customHeight="1" x14ac:dyDescent="0.2">
      <c r="AQ1349" s="32"/>
    </row>
    <row r="1350" spans="43:43" ht="12" customHeight="1" x14ac:dyDescent="0.2">
      <c r="AQ1350" s="32"/>
    </row>
    <row r="1351" spans="43:43" ht="12" customHeight="1" x14ac:dyDescent="0.2">
      <c r="AQ1351" s="32"/>
    </row>
    <row r="1352" spans="43:43" ht="12" customHeight="1" x14ac:dyDescent="0.2">
      <c r="AQ1352" s="32"/>
    </row>
    <row r="1353" spans="43:43" ht="12" customHeight="1" x14ac:dyDescent="0.2">
      <c r="AQ1353" s="32"/>
    </row>
    <row r="1354" spans="43:43" ht="12" customHeight="1" x14ac:dyDescent="0.2">
      <c r="AQ1354" s="32"/>
    </row>
    <row r="1355" spans="43:43" ht="12" customHeight="1" x14ac:dyDescent="0.2">
      <c r="AQ1355" s="32"/>
    </row>
    <row r="1356" spans="43:43" ht="12" customHeight="1" x14ac:dyDescent="0.2">
      <c r="AQ1356" s="32"/>
    </row>
    <row r="1357" spans="43:43" ht="12" customHeight="1" x14ac:dyDescent="0.2">
      <c r="AQ1357" s="32"/>
    </row>
    <row r="1358" spans="43:43" ht="12" customHeight="1" x14ac:dyDescent="0.2">
      <c r="AQ1358" s="32"/>
    </row>
    <row r="1359" spans="43:43" ht="12" customHeight="1" x14ac:dyDescent="0.2">
      <c r="AQ1359" s="32"/>
    </row>
    <row r="1360" spans="43:43" ht="12" customHeight="1" x14ac:dyDescent="0.2">
      <c r="AQ1360" s="32"/>
    </row>
    <row r="1361" spans="43:43" ht="12" customHeight="1" x14ac:dyDescent="0.2">
      <c r="AQ1361" s="32"/>
    </row>
    <row r="1362" spans="43:43" ht="12" customHeight="1" x14ac:dyDescent="0.2">
      <c r="AQ1362" s="32"/>
    </row>
    <row r="1363" spans="43:43" ht="12" customHeight="1" x14ac:dyDescent="0.2">
      <c r="AQ1363" s="32"/>
    </row>
    <row r="1364" spans="43:43" ht="12" customHeight="1" x14ac:dyDescent="0.2">
      <c r="AQ1364" s="32"/>
    </row>
    <row r="1365" spans="43:43" ht="12" customHeight="1" x14ac:dyDescent="0.2">
      <c r="AQ1365" s="32"/>
    </row>
    <row r="1366" spans="43:43" ht="12" customHeight="1" x14ac:dyDescent="0.2">
      <c r="AQ1366" s="32"/>
    </row>
    <row r="1367" spans="43:43" ht="12" customHeight="1" x14ac:dyDescent="0.2">
      <c r="AQ1367" s="32"/>
    </row>
    <row r="1368" spans="43:43" ht="12" customHeight="1" x14ac:dyDescent="0.2">
      <c r="AQ1368" s="32"/>
    </row>
    <row r="1369" spans="43:43" ht="12" customHeight="1" x14ac:dyDescent="0.2">
      <c r="AQ1369" s="32"/>
    </row>
    <row r="1370" spans="43:43" ht="12" customHeight="1" x14ac:dyDescent="0.2">
      <c r="AQ1370" s="32"/>
    </row>
    <row r="1371" spans="43:43" ht="12" customHeight="1" x14ac:dyDescent="0.2">
      <c r="AQ1371" s="32"/>
    </row>
    <row r="1372" spans="43:43" ht="12" customHeight="1" x14ac:dyDescent="0.2">
      <c r="AQ1372" s="32"/>
    </row>
    <row r="1373" spans="43:43" ht="12" customHeight="1" x14ac:dyDescent="0.2">
      <c r="AQ1373" s="32"/>
    </row>
    <row r="1374" spans="43:43" ht="12" customHeight="1" x14ac:dyDescent="0.2">
      <c r="AQ1374" s="32"/>
    </row>
    <row r="1375" spans="43:43" ht="12" customHeight="1" x14ac:dyDescent="0.2">
      <c r="AQ1375" s="32"/>
    </row>
    <row r="1376" spans="43:43" ht="12" customHeight="1" x14ac:dyDescent="0.2">
      <c r="AQ1376" s="32"/>
    </row>
    <row r="1377" spans="43:43" ht="12" customHeight="1" x14ac:dyDescent="0.2">
      <c r="AQ1377" s="32"/>
    </row>
    <row r="1378" spans="43:43" ht="12" customHeight="1" x14ac:dyDescent="0.2">
      <c r="AQ1378" s="32"/>
    </row>
    <row r="1379" spans="43:43" ht="12" customHeight="1" x14ac:dyDescent="0.2">
      <c r="AQ1379" s="32"/>
    </row>
    <row r="1380" spans="43:43" ht="12" customHeight="1" x14ac:dyDescent="0.2">
      <c r="AQ1380" s="32"/>
    </row>
    <row r="1381" spans="43:43" ht="12" customHeight="1" x14ac:dyDescent="0.2">
      <c r="AQ1381" s="32"/>
    </row>
    <row r="1382" spans="43:43" ht="12" customHeight="1" x14ac:dyDescent="0.2">
      <c r="AQ1382" s="32"/>
    </row>
    <row r="1383" spans="43:43" ht="12" customHeight="1" x14ac:dyDescent="0.2">
      <c r="AQ1383" s="32"/>
    </row>
    <row r="1384" spans="43:43" ht="12" customHeight="1" x14ac:dyDescent="0.2">
      <c r="AQ1384" s="32"/>
    </row>
    <row r="1385" spans="43:43" ht="12" customHeight="1" x14ac:dyDescent="0.2">
      <c r="AQ1385" s="32"/>
    </row>
    <row r="1386" spans="43:43" ht="12" customHeight="1" x14ac:dyDescent="0.2">
      <c r="AQ1386" s="32"/>
    </row>
    <row r="1387" spans="43:43" ht="12" customHeight="1" x14ac:dyDescent="0.2">
      <c r="AQ1387" s="32"/>
    </row>
    <row r="1388" spans="43:43" ht="12" customHeight="1" x14ac:dyDescent="0.2">
      <c r="AQ1388" s="32"/>
    </row>
    <row r="1389" spans="43:43" ht="12" customHeight="1" x14ac:dyDescent="0.2">
      <c r="AQ1389" s="32"/>
    </row>
    <row r="1390" spans="43:43" ht="12" customHeight="1" x14ac:dyDescent="0.2">
      <c r="AQ1390" s="32"/>
    </row>
    <row r="1391" spans="43:43" ht="12" customHeight="1" x14ac:dyDescent="0.2">
      <c r="AQ1391" s="32"/>
    </row>
    <row r="1392" spans="43:43" ht="12" customHeight="1" x14ac:dyDescent="0.2">
      <c r="AQ1392" s="32"/>
    </row>
    <row r="1393" spans="43:43" ht="12" customHeight="1" x14ac:dyDescent="0.2">
      <c r="AQ1393" s="32"/>
    </row>
    <row r="1394" spans="43:43" ht="12" customHeight="1" x14ac:dyDescent="0.2">
      <c r="AQ1394" s="32"/>
    </row>
    <row r="1395" spans="43:43" ht="12" customHeight="1" x14ac:dyDescent="0.2">
      <c r="AQ1395" s="32"/>
    </row>
    <row r="1396" spans="43:43" ht="12" customHeight="1" x14ac:dyDescent="0.2">
      <c r="AQ1396" s="32"/>
    </row>
    <row r="1397" spans="43:43" ht="12" customHeight="1" x14ac:dyDescent="0.2">
      <c r="AQ1397" s="32"/>
    </row>
    <row r="1398" spans="43:43" ht="12" customHeight="1" x14ac:dyDescent="0.2">
      <c r="AQ1398" s="32"/>
    </row>
    <row r="1399" spans="43:43" ht="12" customHeight="1" x14ac:dyDescent="0.2">
      <c r="AQ1399" s="32"/>
    </row>
    <row r="1400" spans="43:43" ht="12" customHeight="1" x14ac:dyDescent="0.2">
      <c r="AQ1400" s="32"/>
    </row>
    <row r="1401" spans="43:43" ht="12" customHeight="1" x14ac:dyDescent="0.2">
      <c r="AQ1401" s="32"/>
    </row>
    <row r="1402" spans="43:43" ht="12" customHeight="1" x14ac:dyDescent="0.2">
      <c r="AQ1402" s="32"/>
    </row>
    <row r="1403" spans="43:43" ht="12" customHeight="1" x14ac:dyDescent="0.2">
      <c r="AQ1403" s="32"/>
    </row>
    <row r="1404" spans="43:43" ht="12" customHeight="1" x14ac:dyDescent="0.2">
      <c r="AQ1404" s="32"/>
    </row>
    <row r="1405" spans="43:43" ht="12" customHeight="1" x14ac:dyDescent="0.2">
      <c r="AQ1405" s="32"/>
    </row>
    <row r="1406" spans="43:43" ht="12" customHeight="1" x14ac:dyDescent="0.2">
      <c r="AQ1406" s="32"/>
    </row>
    <row r="1407" spans="43:43" ht="12" customHeight="1" x14ac:dyDescent="0.2">
      <c r="AQ1407" s="32"/>
    </row>
    <row r="1408" spans="43:43" ht="12" customHeight="1" x14ac:dyDescent="0.2">
      <c r="AQ1408" s="32"/>
    </row>
    <row r="1409" spans="43:43" ht="12" customHeight="1" x14ac:dyDescent="0.2">
      <c r="AQ1409" s="32"/>
    </row>
    <row r="1410" spans="43:43" ht="12" customHeight="1" x14ac:dyDescent="0.2">
      <c r="AQ1410" s="32"/>
    </row>
    <row r="1411" spans="43:43" ht="12" customHeight="1" x14ac:dyDescent="0.2">
      <c r="AQ1411" s="32"/>
    </row>
    <row r="1412" spans="43:43" ht="12" customHeight="1" x14ac:dyDescent="0.2">
      <c r="AQ1412" s="32"/>
    </row>
    <row r="1413" spans="43:43" ht="12" customHeight="1" x14ac:dyDescent="0.2">
      <c r="AQ1413" s="32"/>
    </row>
    <row r="1414" spans="43:43" ht="12" customHeight="1" x14ac:dyDescent="0.2">
      <c r="AQ1414" s="32"/>
    </row>
    <row r="1415" spans="43:43" ht="12" customHeight="1" x14ac:dyDescent="0.2">
      <c r="AQ1415" s="32"/>
    </row>
    <row r="1416" spans="43:43" ht="12" customHeight="1" x14ac:dyDescent="0.2">
      <c r="AQ1416" s="32"/>
    </row>
    <row r="1417" spans="43:43" ht="12" customHeight="1" x14ac:dyDescent="0.2">
      <c r="AQ1417" s="32"/>
    </row>
    <row r="1418" spans="43:43" ht="12" customHeight="1" x14ac:dyDescent="0.2">
      <c r="AQ1418" s="32"/>
    </row>
    <row r="1419" spans="43:43" ht="12" customHeight="1" x14ac:dyDescent="0.2">
      <c r="AQ1419" s="32"/>
    </row>
    <row r="1420" spans="43:43" ht="12" customHeight="1" x14ac:dyDescent="0.2">
      <c r="AQ1420" s="32"/>
    </row>
    <row r="1421" spans="43:43" ht="12" customHeight="1" x14ac:dyDescent="0.2">
      <c r="AQ1421" s="32"/>
    </row>
    <row r="1422" spans="43:43" ht="12" customHeight="1" x14ac:dyDescent="0.2">
      <c r="AQ1422" s="32"/>
    </row>
    <row r="1423" spans="43:43" ht="12" customHeight="1" x14ac:dyDescent="0.2">
      <c r="AQ1423" s="32"/>
    </row>
    <row r="1424" spans="43:43" ht="12" customHeight="1" x14ac:dyDescent="0.2">
      <c r="AQ1424" s="32"/>
    </row>
    <row r="1425" spans="43:43" ht="12" customHeight="1" x14ac:dyDescent="0.2">
      <c r="AQ1425" s="32"/>
    </row>
    <row r="1426" spans="43:43" ht="12" customHeight="1" x14ac:dyDescent="0.2">
      <c r="AQ1426" s="32"/>
    </row>
    <row r="1427" spans="43:43" ht="12" customHeight="1" x14ac:dyDescent="0.2">
      <c r="AQ1427" s="32"/>
    </row>
    <row r="1428" spans="43:43" ht="12" customHeight="1" x14ac:dyDescent="0.2">
      <c r="AQ1428" s="32"/>
    </row>
    <row r="1429" spans="43:43" ht="12" customHeight="1" x14ac:dyDescent="0.2">
      <c r="AQ1429" s="32"/>
    </row>
    <row r="1430" spans="43:43" ht="12" customHeight="1" x14ac:dyDescent="0.2">
      <c r="AQ1430" s="32"/>
    </row>
    <row r="1431" spans="43:43" ht="12" customHeight="1" x14ac:dyDescent="0.2">
      <c r="AQ1431" s="32"/>
    </row>
    <row r="1432" spans="43:43" ht="12" customHeight="1" x14ac:dyDescent="0.2">
      <c r="AQ1432" s="32"/>
    </row>
    <row r="1433" spans="43:43" ht="12" customHeight="1" x14ac:dyDescent="0.2">
      <c r="AQ1433" s="32"/>
    </row>
    <row r="1434" spans="43:43" ht="12" customHeight="1" x14ac:dyDescent="0.2">
      <c r="AQ1434" s="32"/>
    </row>
    <row r="1435" spans="43:43" ht="12" customHeight="1" x14ac:dyDescent="0.2">
      <c r="AQ1435" s="32"/>
    </row>
    <row r="1436" spans="43:43" ht="12" customHeight="1" x14ac:dyDescent="0.2">
      <c r="AQ1436" s="32"/>
    </row>
    <row r="1437" spans="43:43" ht="12" customHeight="1" x14ac:dyDescent="0.2">
      <c r="AQ1437" s="32"/>
    </row>
    <row r="1438" spans="43:43" ht="12" customHeight="1" x14ac:dyDescent="0.2">
      <c r="AQ1438" s="32"/>
    </row>
    <row r="1439" spans="43:43" ht="12" customHeight="1" x14ac:dyDescent="0.2">
      <c r="AQ1439" s="32"/>
    </row>
    <row r="1440" spans="43:43" ht="12" customHeight="1" x14ac:dyDescent="0.2">
      <c r="AQ1440" s="32"/>
    </row>
    <row r="1441" spans="43:43" ht="12" customHeight="1" x14ac:dyDescent="0.2">
      <c r="AQ1441" s="32"/>
    </row>
    <row r="1442" spans="43:43" ht="12" customHeight="1" x14ac:dyDescent="0.2">
      <c r="AQ1442" s="32"/>
    </row>
    <row r="1443" spans="43:43" ht="12" customHeight="1" x14ac:dyDescent="0.2">
      <c r="AQ1443" s="32"/>
    </row>
    <row r="1444" spans="43:43" ht="12" customHeight="1" x14ac:dyDescent="0.2">
      <c r="AQ1444" s="32"/>
    </row>
    <row r="1445" spans="43:43" ht="12" customHeight="1" x14ac:dyDescent="0.2">
      <c r="AQ1445" s="32"/>
    </row>
    <row r="1446" spans="43:43" ht="12" customHeight="1" x14ac:dyDescent="0.2">
      <c r="AQ1446" s="32"/>
    </row>
    <row r="1447" spans="43:43" ht="12" customHeight="1" x14ac:dyDescent="0.2">
      <c r="AQ1447" s="32"/>
    </row>
    <row r="1448" spans="43:43" ht="12" customHeight="1" x14ac:dyDescent="0.2">
      <c r="AQ1448" s="32"/>
    </row>
    <row r="1449" spans="43:43" ht="12" customHeight="1" x14ac:dyDescent="0.2">
      <c r="AQ1449" s="32"/>
    </row>
    <row r="1450" spans="43:43" ht="12" customHeight="1" x14ac:dyDescent="0.2">
      <c r="AQ1450" s="32"/>
    </row>
    <row r="1451" spans="43:43" ht="12" customHeight="1" x14ac:dyDescent="0.2">
      <c r="AQ1451" s="32"/>
    </row>
    <row r="1452" spans="43:43" ht="12" customHeight="1" x14ac:dyDescent="0.2">
      <c r="AQ1452" s="32"/>
    </row>
    <row r="1453" spans="43:43" ht="12" customHeight="1" x14ac:dyDescent="0.2">
      <c r="AQ1453" s="32"/>
    </row>
    <row r="1454" spans="43:43" ht="12" customHeight="1" x14ac:dyDescent="0.2">
      <c r="AQ1454" s="32"/>
    </row>
    <row r="1455" spans="43:43" ht="12" customHeight="1" x14ac:dyDescent="0.2">
      <c r="AQ1455" s="32"/>
    </row>
    <row r="1456" spans="43:43" ht="12" customHeight="1" x14ac:dyDescent="0.2">
      <c r="AQ1456" s="32"/>
    </row>
    <row r="1457" spans="43:43" ht="12" customHeight="1" x14ac:dyDescent="0.2">
      <c r="AQ1457" s="32"/>
    </row>
    <row r="1458" spans="43:43" ht="12" customHeight="1" x14ac:dyDescent="0.2">
      <c r="AQ1458" s="32"/>
    </row>
    <row r="1459" spans="43:43" ht="12" customHeight="1" x14ac:dyDescent="0.2">
      <c r="AQ1459" s="32"/>
    </row>
    <row r="1460" spans="43:43" ht="12" customHeight="1" x14ac:dyDescent="0.2">
      <c r="AQ1460" s="32"/>
    </row>
    <row r="1461" spans="43:43" ht="12" customHeight="1" x14ac:dyDescent="0.2">
      <c r="AQ1461" s="32"/>
    </row>
    <row r="1462" spans="43:43" ht="12" customHeight="1" x14ac:dyDescent="0.2">
      <c r="AQ1462" s="32"/>
    </row>
    <row r="1463" spans="43:43" ht="12" customHeight="1" x14ac:dyDescent="0.2">
      <c r="AQ1463" s="32"/>
    </row>
    <row r="1464" spans="43:43" ht="12" customHeight="1" x14ac:dyDescent="0.2">
      <c r="AQ1464" s="32"/>
    </row>
    <row r="1465" spans="43:43" ht="12" customHeight="1" x14ac:dyDescent="0.2">
      <c r="AQ1465" s="32"/>
    </row>
    <row r="1466" spans="43:43" ht="12" customHeight="1" x14ac:dyDescent="0.2">
      <c r="AQ1466" s="32"/>
    </row>
    <row r="1467" spans="43:43" ht="12" customHeight="1" x14ac:dyDescent="0.2">
      <c r="AQ1467" s="32"/>
    </row>
    <row r="1468" spans="43:43" ht="12" customHeight="1" x14ac:dyDescent="0.2">
      <c r="AQ1468" s="32"/>
    </row>
    <row r="1469" spans="43:43" ht="12" customHeight="1" x14ac:dyDescent="0.2">
      <c r="AQ1469" s="32"/>
    </row>
    <row r="1470" spans="43:43" ht="12" customHeight="1" x14ac:dyDescent="0.2">
      <c r="AQ1470" s="32"/>
    </row>
    <row r="1471" spans="43:43" ht="12" customHeight="1" x14ac:dyDescent="0.2">
      <c r="AQ1471" s="32"/>
    </row>
    <row r="1472" spans="43:43" ht="12" customHeight="1" x14ac:dyDescent="0.2">
      <c r="AQ1472" s="32"/>
    </row>
    <row r="1473" spans="43:43" ht="12" customHeight="1" x14ac:dyDescent="0.2">
      <c r="AQ1473" s="32"/>
    </row>
    <row r="1474" spans="43:43" ht="12" customHeight="1" x14ac:dyDescent="0.2">
      <c r="AQ1474" s="32"/>
    </row>
    <row r="1475" spans="43:43" ht="12" customHeight="1" x14ac:dyDescent="0.2">
      <c r="AQ1475" s="32"/>
    </row>
    <row r="1476" spans="43:43" ht="12" customHeight="1" x14ac:dyDescent="0.2">
      <c r="AQ1476" s="32"/>
    </row>
    <row r="1477" spans="43:43" ht="12" customHeight="1" x14ac:dyDescent="0.2">
      <c r="AQ1477" s="32"/>
    </row>
    <row r="1478" spans="43:43" ht="12" customHeight="1" x14ac:dyDescent="0.2">
      <c r="AQ1478" s="32"/>
    </row>
    <row r="1479" spans="43:43" ht="12" customHeight="1" x14ac:dyDescent="0.2">
      <c r="AQ1479" s="32"/>
    </row>
    <row r="1480" spans="43:43" ht="12" customHeight="1" x14ac:dyDescent="0.2">
      <c r="AQ1480" s="32"/>
    </row>
    <row r="1481" spans="43:43" ht="12" customHeight="1" x14ac:dyDescent="0.2">
      <c r="AQ1481" s="32"/>
    </row>
    <row r="1482" spans="43:43" ht="12" customHeight="1" x14ac:dyDescent="0.2">
      <c r="AQ1482" s="32"/>
    </row>
    <row r="1483" spans="43:43" ht="12" customHeight="1" x14ac:dyDescent="0.2">
      <c r="AQ1483" s="32"/>
    </row>
    <row r="1484" spans="43:43" ht="12" customHeight="1" x14ac:dyDescent="0.2">
      <c r="AQ1484" s="32"/>
    </row>
    <row r="1485" spans="43:43" ht="12" customHeight="1" x14ac:dyDescent="0.2">
      <c r="AQ1485" s="32"/>
    </row>
    <row r="1486" spans="43:43" ht="12" customHeight="1" x14ac:dyDescent="0.2">
      <c r="AQ1486" s="32"/>
    </row>
    <row r="1487" spans="43:43" ht="12" customHeight="1" x14ac:dyDescent="0.2">
      <c r="AQ1487" s="32"/>
    </row>
    <row r="1488" spans="43:43" ht="12" customHeight="1" x14ac:dyDescent="0.2">
      <c r="AQ1488" s="32"/>
    </row>
    <row r="1489" spans="43:43" ht="12" customHeight="1" x14ac:dyDescent="0.2">
      <c r="AQ1489" s="32"/>
    </row>
    <row r="1490" spans="43:43" ht="12" customHeight="1" x14ac:dyDescent="0.2">
      <c r="AQ1490" s="32"/>
    </row>
    <row r="1491" spans="43:43" ht="12" customHeight="1" x14ac:dyDescent="0.2">
      <c r="AQ1491" s="32"/>
    </row>
    <row r="1492" spans="43:43" ht="12" customHeight="1" x14ac:dyDescent="0.2">
      <c r="AQ1492" s="32"/>
    </row>
    <row r="1493" spans="43:43" ht="12" customHeight="1" x14ac:dyDescent="0.2">
      <c r="AQ1493" s="32"/>
    </row>
    <row r="1494" spans="43:43" ht="12" customHeight="1" x14ac:dyDescent="0.2">
      <c r="AQ1494" s="32"/>
    </row>
    <row r="1495" spans="43:43" ht="12" customHeight="1" x14ac:dyDescent="0.2">
      <c r="AQ1495" s="32"/>
    </row>
    <row r="1496" spans="43:43" ht="12" customHeight="1" x14ac:dyDescent="0.2">
      <c r="AQ1496" s="32"/>
    </row>
    <row r="1497" spans="43:43" ht="12" customHeight="1" x14ac:dyDescent="0.2">
      <c r="AQ1497" s="32"/>
    </row>
    <row r="1498" spans="43:43" ht="12" customHeight="1" x14ac:dyDescent="0.2">
      <c r="AQ1498" s="32"/>
    </row>
    <row r="1499" spans="43:43" ht="12" customHeight="1" x14ac:dyDescent="0.2">
      <c r="AQ1499" s="32"/>
    </row>
    <row r="1500" spans="43:43" ht="12" customHeight="1" x14ac:dyDescent="0.2">
      <c r="AQ1500" s="32"/>
    </row>
    <row r="1501" spans="43:43" ht="12" customHeight="1" x14ac:dyDescent="0.2">
      <c r="AQ1501" s="32"/>
    </row>
    <row r="1502" spans="43:43" ht="12" customHeight="1" x14ac:dyDescent="0.2">
      <c r="AQ1502" s="32"/>
    </row>
    <row r="1503" spans="43:43" ht="12" customHeight="1" x14ac:dyDescent="0.2">
      <c r="AQ1503" s="32"/>
    </row>
    <row r="1504" spans="43:43" ht="12" customHeight="1" x14ac:dyDescent="0.2">
      <c r="AQ1504" s="32"/>
    </row>
    <row r="1505" spans="43:43" ht="12" customHeight="1" x14ac:dyDescent="0.2">
      <c r="AQ1505" s="32"/>
    </row>
    <row r="1506" spans="43:43" ht="12" customHeight="1" x14ac:dyDescent="0.2">
      <c r="AQ1506" s="32"/>
    </row>
    <row r="1507" spans="43:43" ht="12" customHeight="1" x14ac:dyDescent="0.2">
      <c r="AQ1507" s="32"/>
    </row>
    <row r="1508" spans="43:43" ht="12" customHeight="1" x14ac:dyDescent="0.2">
      <c r="AQ1508" s="32"/>
    </row>
    <row r="1509" spans="43:43" ht="12" customHeight="1" x14ac:dyDescent="0.2">
      <c r="AQ1509" s="32"/>
    </row>
    <row r="1510" spans="43:43" ht="12" customHeight="1" x14ac:dyDescent="0.2">
      <c r="AQ1510" s="32"/>
    </row>
    <row r="1511" spans="43:43" ht="12" customHeight="1" x14ac:dyDescent="0.2">
      <c r="AQ1511" s="32"/>
    </row>
    <row r="1512" spans="43:43" ht="12" customHeight="1" x14ac:dyDescent="0.2">
      <c r="AQ1512" s="32"/>
    </row>
    <row r="1513" spans="43:43" ht="12" customHeight="1" x14ac:dyDescent="0.2">
      <c r="AQ1513" s="32"/>
    </row>
    <row r="1514" spans="43:43" ht="12" customHeight="1" x14ac:dyDescent="0.2">
      <c r="AQ1514" s="32"/>
    </row>
    <row r="1515" spans="43:43" ht="12" customHeight="1" x14ac:dyDescent="0.2">
      <c r="AQ1515" s="32"/>
    </row>
    <row r="1516" spans="43:43" ht="12" customHeight="1" x14ac:dyDescent="0.2">
      <c r="AQ1516" s="32"/>
    </row>
    <row r="1517" spans="43:43" ht="12" customHeight="1" x14ac:dyDescent="0.2">
      <c r="AQ1517" s="32"/>
    </row>
    <row r="1518" spans="43:43" ht="12" customHeight="1" x14ac:dyDescent="0.2">
      <c r="AQ1518" s="32"/>
    </row>
    <row r="1519" spans="43:43" ht="12" customHeight="1" x14ac:dyDescent="0.2">
      <c r="AQ1519" s="32"/>
    </row>
    <row r="1520" spans="43:43" ht="12" customHeight="1" x14ac:dyDescent="0.2">
      <c r="AQ1520" s="32"/>
    </row>
    <row r="1521" spans="43:43" ht="12" customHeight="1" x14ac:dyDescent="0.2">
      <c r="AQ1521" s="32"/>
    </row>
    <row r="1522" spans="43:43" ht="12" customHeight="1" x14ac:dyDescent="0.2">
      <c r="AQ1522" s="32"/>
    </row>
    <row r="1523" spans="43:43" ht="12" customHeight="1" x14ac:dyDescent="0.2">
      <c r="AQ1523" s="32"/>
    </row>
    <row r="1524" spans="43:43" ht="12" customHeight="1" x14ac:dyDescent="0.2">
      <c r="AQ1524" s="32"/>
    </row>
    <row r="1525" spans="43:43" ht="12" customHeight="1" x14ac:dyDescent="0.2">
      <c r="AQ1525" s="32"/>
    </row>
    <row r="1526" spans="43:43" ht="12" customHeight="1" x14ac:dyDescent="0.2">
      <c r="AQ1526" s="32"/>
    </row>
    <row r="1527" spans="43:43" ht="12" customHeight="1" x14ac:dyDescent="0.2">
      <c r="AQ1527" s="32"/>
    </row>
    <row r="1528" spans="43:43" ht="12" customHeight="1" x14ac:dyDescent="0.2">
      <c r="AQ1528" s="32"/>
    </row>
    <row r="1529" spans="43:43" ht="12" customHeight="1" x14ac:dyDescent="0.2">
      <c r="AQ1529" s="32"/>
    </row>
    <row r="1530" spans="43:43" ht="12" customHeight="1" x14ac:dyDescent="0.2">
      <c r="AQ1530" s="32"/>
    </row>
    <row r="1531" spans="43:43" ht="12" customHeight="1" x14ac:dyDescent="0.2">
      <c r="AQ1531" s="32"/>
    </row>
    <row r="1532" spans="43:43" ht="12" customHeight="1" x14ac:dyDescent="0.2">
      <c r="AQ1532" s="32"/>
    </row>
    <row r="1533" spans="43:43" ht="12" customHeight="1" x14ac:dyDescent="0.2">
      <c r="AQ1533" s="32"/>
    </row>
    <row r="1534" spans="43:43" ht="12" customHeight="1" x14ac:dyDescent="0.2">
      <c r="AQ1534" s="32"/>
    </row>
    <row r="1535" spans="43:43" ht="12" customHeight="1" x14ac:dyDescent="0.2">
      <c r="AQ1535" s="32"/>
    </row>
    <row r="1536" spans="43:43" ht="12" customHeight="1" x14ac:dyDescent="0.2">
      <c r="AQ1536" s="32"/>
    </row>
    <row r="1537" spans="43:43" ht="12" customHeight="1" x14ac:dyDescent="0.2">
      <c r="AQ1537" s="32"/>
    </row>
    <row r="1538" spans="43:43" ht="12" customHeight="1" x14ac:dyDescent="0.2">
      <c r="AQ1538" s="32"/>
    </row>
    <row r="1539" spans="43:43" ht="12" customHeight="1" x14ac:dyDescent="0.2">
      <c r="AQ1539" s="32"/>
    </row>
    <row r="1540" spans="43:43" ht="12" customHeight="1" x14ac:dyDescent="0.2">
      <c r="AQ1540" s="32"/>
    </row>
    <row r="1541" spans="43:43" ht="12" customHeight="1" x14ac:dyDescent="0.2">
      <c r="AQ1541" s="32"/>
    </row>
    <row r="1542" spans="43:43" ht="12" customHeight="1" x14ac:dyDescent="0.2">
      <c r="AQ1542" s="32"/>
    </row>
    <row r="1543" spans="43:43" ht="12" customHeight="1" x14ac:dyDescent="0.2">
      <c r="AQ1543" s="32"/>
    </row>
    <row r="1544" spans="43:43" ht="12" customHeight="1" x14ac:dyDescent="0.2">
      <c r="AQ1544" s="32"/>
    </row>
    <row r="1545" spans="43:43" ht="12" customHeight="1" x14ac:dyDescent="0.2">
      <c r="AQ1545" s="32"/>
    </row>
    <row r="1546" spans="43:43" ht="12" customHeight="1" x14ac:dyDescent="0.2">
      <c r="AQ1546" s="32"/>
    </row>
    <row r="1547" spans="43:43" ht="12" customHeight="1" x14ac:dyDescent="0.2">
      <c r="AQ1547" s="32"/>
    </row>
    <row r="1548" spans="43:43" ht="12" customHeight="1" x14ac:dyDescent="0.2">
      <c r="AQ1548" s="32"/>
    </row>
    <row r="1549" spans="43:43" ht="12" customHeight="1" x14ac:dyDescent="0.2">
      <c r="AQ1549" s="32"/>
    </row>
    <row r="1550" spans="43:43" ht="12" customHeight="1" x14ac:dyDescent="0.2">
      <c r="AQ1550" s="32"/>
    </row>
    <row r="1551" spans="43:43" ht="12" customHeight="1" x14ac:dyDescent="0.2">
      <c r="AQ1551" s="32"/>
    </row>
    <row r="1552" spans="43:43" ht="12" customHeight="1" x14ac:dyDescent="0.2">
      <c r="AQ1552" s="32"/>
    </row>
    <row r="1553" spans="43:43" ht="12" customHeight="1" x14ac:dyDescent="0.2">
      <c r="AQ1553" s="32"/>
    </row>
    <row r="1554" spans="43:43" ht="12" customHeight="1" x14ac:dyDescent="0.2">
      <c r="AQ1554" s="32"/>
    </row>
    <row r="1555" spans="43:43" ht="12" customHeight="1" x14ac:dyDescent="0.2">
      <c r="AQ1555" s="32"/>
    </row>
    <row r="1556" spans="43:43" ht="12" customHeight="1" x14ac:dyDescent="0.2">
      <c r="AQ1556" s="32"/>
    </row>
    <row r="1557" spans="43:43" ht="12" customHeight="1" x14ac:dyDescent="0.2">
      <c r="AQ1557" s="32"/>
    </row>
    <row r="1558" spans="43:43" ht="12" customHeight="1" x14ac:dyDescent="0.2">
      <c r="AQ1558" s="32"/>
    </row>
    <row r="1559" spans="43:43" ht="12" customHeight="1" x14ac:dyDescent="0.2">
      <c r="AQ1559" s="32"/>
    </row>
    <row r="1560" spans="43:43" ht="12" customHeight="1" x14ac:dyDescent="0.2">
      <c r="AQ1560" s="32"/>
    </row>
    <row r="1561" spans="43:43" ht="12" customHeight="1" x14ac:dyDescent="0.2">
      <c r="AQ1561" s="32"/>
    </row>
    <row r="1562" spans="43:43" ht="12" customHeight="1" x14ac:dyDescent="0.2">
      <c r="AQ1562" s="32"/>
    </row>
    <row r="1563" spans="43:43" ht="12" customHeight="1" x14ac:dyDescent="0.2">
      <c r="AQ1563" s="32"/>
    </row>
    <row r="1564" spans="43:43" ht="12" customHeight="1" x14ac:dyDescent="0.2">
      <c r="AQ1564" s="32"/>
    </row>
    <row r="1565" spans="43:43" ht="12" customHeight="1" x14ac:dyDescent="0.2">
      <c r="AQ1565" s="32"/>
    </row>
    <row r="1566" spans="43:43" ht="12" customHeight="1" x14ac:dyDescent="0.2">
      <c r="AQ1566" s="32"/>
    </row>
    <row r="1567" spans="43:43" ht="12" customHeight="1" x14ac:dyDescent="0.2">
      <c r="AQ1567" s="32"/>
    </row>
    <row r="1568" spans="43:43" ht="12" customHeight="1" x14ac:dyDescent="0.2">
      <c r="AQ1568" s="32"/>
    </row>
    <row r="1569" spans="43:43" ht="12" customHeight="1" x14ac:dyDescent="0.2">
      <c r="AQ1569" s="32"/>
    </row>
    <row r="1570" spans="43:43" ht="12" customHeight="1" x14ac:dyDescent="0.2">
      <c r="AQ1570" s="32"/>
    </row>
    <row r="1571" spans="43:43" ht="12" customHeight="1" x14ac:dyDescent="0.2">
      <c r="AQ1571" s="32"/>
    </row>
    <row r="1572" spans="43:43" ht="12" customHeight="1" x14ac:dyDescent="0.2">
      <c r="AQ1572" s="32"/>
    </row>
    <row r="1573" spans="43:43" ht="12" customHeight="1" x14ac:dyDescent="0.2">
      <c r="AQ1573" s="32"/>
    </row>
    <row r="1574" spans="43:43" ht="12" customHeight="1" x14ac:dyDescent="0.2">
      <c r="AQ1574" s="32"/>
    </row>
    <row r="1575" spans="43:43" ht="12" customHeight="1" x14ac:dyDescent="0.2">
      <c r="AQ1575" s="32"/>
    </row>
    <row r="1576" spans="43:43" ht="12" customHeight="1" x14ac:dyDescent="0.2">
      <c r="AQ1576" s="32"/>
    </row>
    <row r="1577" spans="43:43" ht="12" customHeight="1" x14ac:dyDescent="0.2">
      <c r="AQ1577" s="32"/>
    </row>
    <row r="1578" spans="43:43" ht="12" customHeight="1" x14ac:dyDescent="0.2">
      <c r="AQ1578" s="32"/>
    </row>
    <row r="1579" spans="43:43" ht="12" customHeight="1" x14ac:dyDescent="0.2">
      <c r="AQ1579" s="32"/>
    </row>
    <row r="1580" spans="43:43" ht="12" customHeight="1" x14ac:dyDescent="0.2">
      <c r="AQ1580" s="32"/>
    </row>
    <row r="1581" spans="43:43" ht="12" customHeight="1" x14ac:dyDescent="0.2">
      <c r="AQ1581" s="32"/>
    </row>
    <row r="1582" spans="43:43" ht="12" customHeight="1" x14ac:dyDescent="0.2">
      <c r="AQ1582" s="32"/>
    </row>
    <row r="1583" spans="43:43" ht="12" customHeight="1" x14ac:dyDescent="0.2">
      <c r="AQ1583" s="32"/>
    </row>
    <row r="1584" spans="43:43" ht="12" customHeight="1" x14ac:dyDescent="0.2">
      <c r="AQ1584" s="32"/>
    </row>
    <row r="1585" spans="43:43" ht="12" customHeight="1" x14ac:dyDescent="0.2">
      <c r="AQ1585" s="32"/>
    </row>
    <row r="1586" spans="43:43" ht="12" customHeight="1" x14ac:dyDescent="0.2">
      <c r="AQ1586" s="32"/>
    </row>
    <row r="1587" spans="43:43" ht="12" customHeight="1" x14ac:dyDescent="0.2">
      <c r="AQ1587" s="32"/>
    </row>
    <row r="1588" spans="43:43" ht="12" customHeight="1" x14ac:dyDescent="0.2">
      <c r="AQ1588" s="32"/>
    </row>
    <row r="1589" spans="43:43" ht="12" customHeight="1" x14ac:dyDescent="0.2">
      <c r="AQ1589" s="32"/>
    </row>
    <row r="1590" spans="43:43" ht="12" customHeight="1" x14ac:dyDescent="0.2">
      <c r="AQ1590" s="32"/>
    </row>
    <row r="1591" spans="43:43" ht="12" customHeight="1" x14ac:dyDescent="0.2">
      <c r="AQ1591" s="32"/>
    </row>
    <row r="1592" spans="43:43" ht="12" customHeight="1" x14ac:dyDescent="0.2">
      <c r="AQ1592" s="32"/>
    </row>
    <row r="1593" spans="43:43" ht="12" customHeight="1" x14ac:dyDescent="0.2">
      <c r="AQ1593" s="32"/>
    </row>
    <row r="1594" spans="43:43" ht="12" customHeight="1" x14ac:dyDescent="0.2">
      <c r="AQ1594" s="32"/>
    </row>
    <row r="1595" spans="43:43" ht="12" customHeight="1" x14ac:dyDescent="0.2">
      <c r="AQ1595" s="32"/>
    </row>
    <row r="1596" spans="43:43" ht="12" customHeight="1" x14ac:dyDescent="0.2">
      <c r="AQ1596" s="32"/>
    </row>
    <row r="1597" spans="43:43" ht="12" customHeight="1" x14ac:dyDescent="0.2">
      <c r="AQ1597" s="32"/>
    </row>
    <row r="1598" spans="43:43" ht="12" customHeight="1" x14ac:dyDescent="0.2">
      <c r="AQ1598" s="32"/>
    </row>
    <row r="1599" spans="43:43" ht="12" customHeight="1" x14ac:dyDescent="0.2">
      <c r="AQ1599" s="32"/>
    </row>
    <row r="1600" spans="43:43" ht="12" customHeight="1" x14ac:dyDescent="0.2">
      <c r="AQ1600" s="32"/>
    </row>
    <row r="1601" spans="43:43" ht="12" customHeight="1" x14ac:dyDescent="0.2">
      <c r="AQ1601" s="32"/>
    </row>
    <row r="1602" spans="43:43" ht="12" customHeight="1" x14ac:dyDescent="0.2">
      <c r="AQ1602" s="32"/>
    </row>
    <row r="1603" spans="43:43" ht="12" customHeight="1" x14ac:dyDescent="0.2">
      <c r="AQ1603" s="32"/>
    </row>
    <row r="1604" spans="43:43" ht="12" customHeight="1" x14ac:dyDescent="0.2">
      <c r="AQ1604" s="32"/>
    </row>
    <row r="1605" spans="43:43" ht="12" customHeight="1" x14ac:dyDescent="0.2">
      <c r="AQ1605" s="32"/>
    </row>
    <row r="1606" spans="43:43" ht="12" customHeight="1" x14ac:dyDescent="0.2">
      <c r="AQ1606" s="32"/>
    </row>
    <row r="1607" spans="43:43" ht="12" customHeight="1" x14ac:dyDescent="0.2">
      <c r="AQ1607" s="32"/>
    </row>
    <row r="1608" spans="43:43" ht="12" customHeight="1" x14ac:dyDescent="0.2">
      <c r="AQ1608" s="32"/>
    </row>
    <row r="1609" spans="43:43" ht="12" customHeight="1" x14ac:dyDescent="0.2">
      <c r="AQ1609" s="32"/>
    </row>
    <row r="1610" spans="43:43" ht="12" customHeight="1" x14ac:dyDescent="0.2">
      <c r="AQ1610" s="32"/>
    </row>
    <row r="1611" spans="43:43" ht="12" customHeight="1" x14ac:dyDescent="0.2">
      <c r="AQ1611" s="32"/>
    </row>
    <row r="1612" spans="43:43" ht="12" customHeight="1" x14ac:dyDescent="0.2">
      <c r="AQ1612" s="32"/>
    </row>
    <row r="1613" spans="43:43" ht="12" customHeight="1" x14ac:dyDescent="0.2">
      <c r="AQ1613" s="32"/>
    </row>
    <row r="1614" spans="43:43" ht="12" customHeight="1" x14ac:dyDescent="0.2">
      <c r="AQ1614" s="32"/>
    </row>
    <row r="1615" spans="43:43" ht="12" customHeight="1" x14ac:dyDescent="0.2">
      <c r="AQ1615" s="32"/>
    </row>
    <row r="1616" spans="43:43" ht="12" customHeight="1" x14ac:dyDescent="0.2">
      <c r="AQ1616" s="32"/>
    </row>
    <row r="1617" spans="43:43" ht="12" customHeight="1" x14ac:dyDescent="0.2">
      <c r="AQ1617" s="32"/>
    </row>
    <row r="1618" spans="43:43" ht="12" customHeight="1" x14ac:dyDescent="0.2">
      <c r="AQ1618" s="32"/>
    </row>
    <row r="1619" spans="43:43" ht="12" customHeight="1" x14ac:dyDescent="0.2">
      <c r="AQ1619" s="32"/>
    </row>
    <row r="1620" spans="43:43" ht="12" customHeight="1" x14ac:dyDescent="0.2">
      <c r="AQ1620" s="32"/>
    </row>
    <row r="1621" spans="43:43" ht="12" customHeight="1" x14ac:dyDescent="0.2">
      <c r="AQ1621" s="32"/>
    </row>
    <row r="1622" spans="43:43" ht="12" customHeight="1" x14ac:dyDescent="0.2">
      <c r="AQ1622" s="32"/>
    </row>
    <row r="1623" spans="43:43" ht="12" customHeight="1" x14ac:dyDescent="0.2">
      <c r="AQ1623" s="32"/>
    </row>
    <row r="1624" spans="43:43" ht="12" customHeight="1" x14ac:dyDescent="0.2">
      <c r="AQ1624" s="32"/>
    </row>
    <row r="1625" spans="43:43" ht="12" customHeight="1" x14ac:dyDescent="0.2">
      <c r="AQ1625" s="32"/>
    </row>
    <row r="1626" spans="43:43" ht="12" customHeight="1" x14ac:dyDescent="0.2">
      <c r="AQ1626" s="32"/>
    </row>
    <row r="1627" spans="43:43" ht="12" customHeight="1" x14ac:dyDescent="0.2">
      <c r="AQ1627" s="32"/>
    </row>
    <row r="1628" spans="43:43" ht="12" customHeight="1" x14ac:dyDescent="0.2">
      <c r="AQ1628" s="32"/>
    </row>
    <row r="1629" spans="43:43" ht="12" customHeight="1" x14ac:dyDescent="0.2">
      <c r="AQ1629" s="32"/>
    </row>
    <row r="1630" spans="43:43" ht="12" customHeight="1" x14ac:dyDescent="0.2">
      <c r="AQ1630" s="32"/>
    </row>
    <row r="1631" spans="43:43" ht="12" customHeight="1" x14ac:dyDescent="0.2">
      <c r="AQ1631" s="32"/>
    </row>
    <row r="1632" spans="43:43" ht="12" customHeight="1" x14ac:dyDescent="0.2">
      <c r="AQ1632" s="32"/>
    </row>
    <row r="1633" spans="43:43" ht="12" customHeight="1" x14ac:dyDescent="0.2">
      <c r="AQ1633" s="32"/>
    </row>
    <row r="1634" spans="43:43" ht="12" customHeight="1" x14ac:dyDescent="0.2">
      <c r="AQ1634" s="32"/>
    </row>
    <row r="1635" spans="43:43" ht="12" customHeight="1" x14ac:dyDescent="0.2">
      <c r="AQ1635" s="32"/>
    </row>
    <row r="1636" spans="43:43" ht="12" customHeight="1" x14ac:dyDescent="0.2">
      <c r="AQ1636" s="32"/>
    </row>
    <row r="1637" spans="43:43" ht="12" customHeight="1" x14ac:dyDescent="0.2">
      <c r="AQ1637" s="32"/>
    </row>
    <row r="1638" spans="43:43" ht="12" customHeight="1" x14ac:dyDescent="0.2">
      <c r="AQ1638" s="32"/>
    </row>
    <row r="1639" spans="43:43" ht="12" customHeight="1" x14ac:dyDescent="0.2">
      <c r="AQ1639" s="32"/>
    </row>
    <row r="1640" spans="43:43" ht="12" customHeight="1" x14ac:dyDescent="0.2">
      <c r="AQ1640" s="32"/>
    </row>
    <row r="1641" spans="43:43" ht="12" customHeight="1" x14ac:dyDescent="0.2">
      <c r="AQ1641" s="32"/>
    </row>
    <row r="1642" spans="43:43" ht="12" customHeight="1" x14ac:dyDescent="0.2">
      <c r="AQ1642" s="32"/>
    </row>
    <row r="1643" spans="43:43" ht="12" customHeight="1" x14ac:dyDescent="0.2">
      <c r="AQ1643" s="32"/>
    </row>
    <row r="1644" spans="43:43" ht="12" customHeight="1" x14ac:dyDescent="0.2">
      <c r="AQ1644" s="32"/>
    </row>
    <row r="1645" spans="43:43" ht="12" customHeight="1" x14ac:dyDescent="0.2">
      <c r="AQ1645" s="32"/>
    </row>
    <row r="1646" spans="43:43" ht="12" customHeight="1" x14ac:dyDescent="0.2">
      <c r="AQ1646" s="32"/>
    </row>
    <row r="1647" spans="43:43" ht="12" customHeight="1" x14ac:dyDescent="0.2">
      <c r="AQ1647" s="32"/>
    </row>
    <row r="1648" spans="43:43" ht="12" customHeight="1" x14ac:dyDescent="0.2">
      <c r="AQ1648" s="32"/>
    </row>
    <row r="1649" spans="43:43" ht="12" customHeight="1" x14ac:dyDescent="0.2">
      <c r="AQ1649" s="32"/>
    </row>
    <row r="1650" spans="43:43" ht="12" customHeight="1" x14ac:dyDescent="0.2">
      <c r="AQ1650" s="32"/>
    </row>
    <row r="1651" spans="43:43" ht="12" customHeight="1" x14ac:dyDescent="0.2">
      <c r="AQ1651" s="32"/>
    </row>
    <row r="1652" spans="43:43" ht="12" customHeight="1" x14ac:dyDescent="0.2">
      <c r="AQ1652" s="32"/>
    </row>
    <row r="1653" spans="43:43" ht="12" customHeight="1" x14ac:dyDescent="0.2">
      <c r="AQ1653" s="32"/>
    </row>
    <row r="1654" spans="43:43" ht="12" customHeight="1" x14ac:dyDescent="0.2">
      <c r="AQ1654" s="32"/>
    </row>
    <row r="1655" spans="43:43" ht="12" customHeight="1" x14ac:dyDescent="0.2">
      <c r="AQ1655" s="32"/>
    </row>
    <row r="1656" spans="43:43" ht="12" customHeight="1" x14ac:dyDescent="0.2">
      <c r="AQ1656" s="32"/>
    </row>
    <row r="1657" spans="43:43" ht="12" customHeight="1" x14ac:dyDescent="0.2">
      <c r="AQ1657" s="32"/>
    </row>
    <row r="1658" spans="43:43" ht="12" customHeight="1" x14ac:dyDescent="0.2">
      <c r="AQ1658" s="32"/>
    </row>
    <row r="1659" spans="43:43" ht="12" customHeight="1" x14ac:dyDescent="0.2">
      <c r="AQ1659" s="32"/>
    </row>
    <row r="1660" spans="43:43" ht="12" customHeight="1" x14ac:dyDescent="0.2">
      <c r="AQ1660" s="32"/>
    </row>
    <row r="1661" spans="43:43" ht="12" customHeight="1" x14ac:dyDescent="0.2">
      <c r="AQ1661" s="32"/>
    </row>
    <row r="1662" spans="43:43" ht="12" customHeight="1" x14ac:dyDescent="0.2">
      <c r="AQ1662" s="32"/>
    </row>
    <row r="1663" spans="43:43" ht="12" customHeight="1" x14ac:dyDescent="0.2">
      <c r="AQ1663" s="32"/>
    </row>
    <row r="1664" spans="43:43" ht="12" customHeight="1" x14ac:dyDescent="0.2">
      <c r="AQ1664" s="32"/>
    </row>
    <row r="1665" spans="43:43" ht="12" customHeight="1" x14ac:dyDescent="0.2">
      <c r="AQ1665" s="32"/>
    </row>
    <row r="1666" spans="43:43" ht="12" customHeight="1" x14ac:dyDescent="0.2">
      <c r="AQ1666" s="32"/>
    </row>
    <row r="1667" spans="43:43" ht="12" customHeight="1" x14ac:dyDescent="0.2">
      <c r="AQ1667" s="32"/>
    </row>
    <row r="1668" spans="43:43" ht="12" customHeight="1" x14ac:dyDescent="0.2">
      <c r="AQ1668" s="32"/>
    </row>
    <row r="1669" spans="43:43" ht="12" customHeight="1" x14ac:dyDescent="0.2">
      <c r="AQ1669" s="32"/>
    </row>
    <row r="1670" spans="43:43" ht="12" customHeight="1" x14ac:dyDescent="0.2">
      <c r="AQ1670" s="32"/>
    </row>
    <row r="1671" spans="43:43" ht="12" customHeight="1" x14ac:dyDescent="0.2">
      <c r="AQ1671" s="32"/>
    </row>
    <row r="1672" spans="43:43" ht="12" customHeight="1" x14ac:dyDescent="0.2">
      <c r="AQ1672" s="32"/>
    </row>
    <row r="1673" spans="43:43" ht="12" customHeight="1" x14ac:dyDescent="0.2">
      <c r="AQ1673" s="32"/>
    </row>
    <row r="1674" spans="43:43" ht="12" customHeight="1" x14ac:dyDescent="0.2">
      <c r="AQ1674" s="32"/>
    </row>
    <row r="1675" spans="43:43" ht="12" customHeight="1" x14ac:dyDescent="0.2">
      <c r="AQ1675" s="32"/>
    </row>
    <row r="1676" spans="43:43" ht="12" customHeight="1" x14ac:dyDescent="0.2">
      <c r="AQ1676" s="32"/>
    </row>
    <row r="1677" spans="43:43" ht="12" customHeight="1" x14ac:dyDescent="0.2">
      <c r="AQ1677" s="32"/>
    </row>
    <row r="1678" spans="43:43" ht="12" customHeight="1" x14ac:dyDescent="0.2">
      <c r="AQ1678" s="32"/>
    </row>
    <row r="1679" spans="43:43" ht="12" customHeight="1" x14ac:dyDescent="0.2">
      <c r="AQ1679" s="32"/>
    </row>
    <row r="1680" spans="43:43" ht="12" customHeight="1" x14ac:dyDescent="0.2">
      <c r="AQ1680" s="32"/>
    </row>
    <row r="1681" spans="43:43" ht="12" customHeight="1" x14ac:dyDescent="0.2">
      <c r="AQ1681" s="32"/>
    </row>
    <row r="1682" spans="43:43" ht="12" customHeight="1" x14ac:dyDescent="0.2">
      <c r="AQ1682" s="32"/>
    </row>
    <row r="1683" spans="43:43" ht="12" customHeight="1" x14ac:dyDescent="0.2">
      <c r="AQ1683" s="32"/>
    </row>
    <row r="1684" spans="43:43" ht="12" customHeight="1" x14ac:dyDescent="0.2">
      <c r="AQ1684" s="32"/>
    </row>
    <row r="1685" spans="43:43" ht="12" customHeight="1" x14ac:dyDescent="0.2">
      <c r="AQ1685" s="32"/>
    </row>
    <row r="1686" spans="43:43" ht="12" customHeight="1" x14ac:dyDescent="0.2">
      <c r="AQ1686" s="32"/>
    </row>
    <row r="1687" spans="43:43" ht="12" customHeight="1" x14ac:dyDescent="0.2">
      <c r="AQ1687" s="32"/>
    </row>
    <row r="1688" spans="43:43" ht="12" customHeight="1" x14ac:dyDescent="0.2">
      <c r="AQ1688" s="32"/>
    </row>
    <row r="1689" spans="43:43" ht="12" customHeight="1" x14ac:dyDescent="0.2">
      <c r="AQ1689" s="32"/>
    </row>
    <row r="1690" spans="43:43" ht="12" customHeight="1" x14ac:dyDescent="0.2">
      <c r="AQ1690" s="32"/>
    </row>
    <row r="1691" spans="43:43" ht="12" customHeight="1" x14ac:dyDescent="0.2">
      <c r="AQ1691" s="32"/>
    </row>
    <row r="1692" spans="43:43" ht="12" customHeight="1" x14ac:dyDescent="0.2">
      <c r="AQ1692" s="32"/>
    </row>
    <row r="1693" spans="43:43" ht="12" customHeight="1" x14ac:dyDescent="0.2">
      <c r="AQ1693" s="32"/>
    </row>
    <row r="1694" spans="43:43" ht="12" customHeight="1" x14ac:dyDescent="0.2">
      <c r="AQ1694" s="32"/>
    </row>
    <row r="1695" spans="43:43" ht="12" customHeight="1" x14ac:dyDescent="0.2">
      <c r="AQ1695" s="32"/>
    </row>
    <row r="1696" spans="43:43" ht="12" customHeight="1" x14ac:dyDescent="0.2">
      <c r="AQ1696" s="32"/>
    </row>
    <row r="1697" spans="43:43" ht="12" customHeight="1" x14ac:dyDescent="0.2">
      <c r="AQ1697" s="32"/>
    </row>
    <row r="1698" spans="43:43" ht="12" customHeight="1" x14ac:dyDescent="0.2">
      <c r="AQ1698" s="32"/>
    </row>
    <row r="1699" spans="43:43" ht="12" customHeight="1" x14ac:dyDescent="0.2">
      <c r="AQ1699" s="32"/>
    </row>
    <row r="1700" spans="43:43" ht="12" customHeight="1" x14ac:dyDescent="0.2">
      <c r="AQ1700" s="32"/>
    </row>
    <row r="1701" spans="43:43" ht="12" customHeight="1" x14ac:dyDescent="0.2">
      <c r="AQ1701" s="32"/>
    </row>
    <row r="1702" spans="43:43" ht="12" customHeight="1" x14ac:dyDescent="0.2">
      <c r="AQ1702" s="32"/>
    </row>
    <row r="1703" spans="43:43" ht="12" customHeight="1" x14ac:dyDescent="0.2">
      <c r="AQ1703" s="32"/>
    </row>
    <row r="1704" spans="43:43" ht="12" customHeight="1" x14ac:dyDescent="0.2">
      <c r="AQ1704" s="32"/>
    </row>
    <row r="1705" spans="43:43" ht="12" customHeight="1" x14ac:dyDescent="0.2">
      <c r="AQ1705" s="32"/>
    </row>
    <row r="1706" spans="43:43" ht="12" customHeight="1" x14ac:dyDescent="0.2">
      <c r="AQ1706" s="32"/>
    </row>
    <row r="1707" spans="43:43" ht="12" customHeight="1" x14ac:dyDescent="0.2">
      <c r="AQ1707" s="32"/>
    </row>
    <row r="1708" spans="43:43" ht="12" customHeight="1" x14ac:dyDescent="0.2">
      <c r="AQ1708" s="32"/>
    </row>
    <row r="1709" spans="43:43" ht="12" customHeight="1" x14ac:dyDescent="0.2">
      <c r="AQ1709" s="32"/>
    </row>
    <row r="1710" spans="43:43" ht="12" customHeight="1" x14ac:dyDescent="0.2">
      <c r="AQ1710" s="32"/>
    </row>
    <row r="1711" spans="43:43" ht="12" customHeight="1" x14ac:dyDescent="0.2">
      <c r="AQ1711" s="32"/>
    </row>
    <row r="1712" spans="43:43" ht="12" customHeight="1" x14ac:dyDescent="0.2">
      <c r="AQ1712" s="32"/>
    </row>
    <row r="1713" spans="43:43" ht="12" customHeight="1" x14ac:dyDescent="0.2">
      <c r="AQ1713" s="32"/>
    </row>
    <row r="1714" spans="43:43" ht="12" customHeight="1" x14ac:dyDescent="0.2">
      <c r="AQ1714" s="32"/>
    </row>
    <row r="1715" spans="43:43" ht="12" customHeight="1" x14ac:dyDescent="0.2">
      <c r="AQ1715" s="32"/>
    </row>
    <row r="1716" spans="43:43" ht="12" customHeight="1" x14ac:dyDescent="0.2">
      <c r="AQ1716" s="32"/>
    </row>
    <row r="1717" spans="43:43" ht="12" customHeight="1" x14ac:dyDescent="0.2">
      <c r="AQ1717" s="32"/>
    </row>
    <row r="1718" spans="43:43" ht="12" customHeight="1" x14ac:dyDescent="0.2">
      <c r="AQ1718" s="32"/>
    </row>
    <row r="1719" spans="43:43" ht="12" customHeight="1" x14ac:dyDescent="0.2">
      <c r="AQ1719" s="32"/>
    </row>
    <row r="1720" spans="43:43" ht="12" customHeight="1" x14ac:dyDescent="0.2">
      <c r="AQ1720" s="32"/>
    </row>
    <row r="1721" spans="43:43" ht="12" customHeight="1" x14ac:dyDescent="0.2">
      <c r="AQ1721" s="32"/>
    </row>
    <row r="1722" spans="43:43" ht="12" customHeight="1" x14ac:dyDescent="0.2">
      <c r="AQ1722" s="32"/>
    </row>
    <row r="1723" spans="43:43" ht="12" customHeight="1" x14ac:dyDescent="0.2">
      <c r="AQ1723" s="32"/>
    </row>
    <row r="1724" spans="43:43" ht="12" customHeight="1" x14ac:dyDescent="0.2">
      <c r="AQ1724" s="32"/>
    </row>
    <row r="1725" spans="43:43" ht="12" customHeight="1" x14ac:dyDescent="0.2">
      <c r="AQ1725" s="32"/>
    </row>
    <row r="1726" spans="43:43" ht="12" customHeight="1" x14ac:dyDescent="0.2">
      <c r="AQ1726" s="32"/>
    </row>
    <row r="1727" spans="43:43" ht="12" customHeight="1" x14ac:dyDescent="0.2">
      <c r="AQ1727" s="32"/>
    </row>
    <row r="1728" spans="43:43" ht="12" customHeight="1" x14ac:dyDescent="0.2">
      <c r="AQ1728" s="32"/>
    </row>
    <row r="1729" spans="43:43" ht="12" customHeight="1" x14ac:dyDescent="0.2">
      <c r="AQ1729" s="32"/>
    </row>
    <row r="1730" spans="43:43" ht="12" customHeight="1" x14ac:dyDescent="0.2">
      <c r="AQ1730" s="32"/>
    </row>
    <row r="1731" spans="43:43" ht="12" customHeight="1" x14ac:dyDescent="0.2">
      <c r="AQ1731" s="32"/>
    </row>
    <row r="1732" spans="43:43" ht="12" customHeight="1" x14ac:dyDescent="0.2">
      <c r="AQ1732" s="32"/>
    </row>
    <row r="1733" spans="43:43" ht="12" customHeight="1" x14ac:dyDescent="0.2">
      <c r="AQ1733" s="32"/>
    </row>
    <row r="1734" spans="43:43" ht="12" customHeight="1" x14ac:dyDescent="0.2">
      <c r="AQ1734" s="32"/>
    </row>
    <row r="1735" spans="43:43" ht="12" customHeight="1" x14ac:dyDescent="0.2">
      <c r="AQ1735" s="32"/>
    </row>
    <row r="1736" spans="43:43" ht="12" customHeight="1" x14ac:dyDescent="0.2">
      <c r="AQ1736" s="32"/>
    </row>
    <row r="1737" spans="43:43" ht="12" customHeight="1" x14ac:dyDescent="0.2">
      <c r="AQ1737" s="32"/>
    </row>
    <row r="1738" spans="43:43" ht="12" customHeight="1" x14ac:dyDescent="0.2">
      <c r="AQ1738" s="32"/>
    </row>
    <row r="1739" spans="43:43" ht="12" customHeight="1" x14ac:dyDescent="0.2">
      <c r="AQ1739" s="32"/>
    </row>
    <row r="1740" spans="43:43" ht="12" customHeight="1" x14ac:dyDescent="0.2">
      <c r="AQ1740" s="32"/>
    </row>
    <row r="1741" spans="43:43" ht="12" customHeight="1" x14ac:dyDescent="0.2">
      <c r="AQ1741" s="32"/>
    </row>
    <row r="1742" spans="43:43" ht="12" customHeight="1" x14ac:dyDescent="0.2">
      <c r="AQ1742" s="32"/>
    </row>
    <row r="1743" spans="43:43" ht="12" customHeight="1" x14ac:dyDescent="0.2">
      <c r="AQ1743" s="32"/>
    </row>
    <row r="1744" spans="43:43" ht="12" customHeight="1" x14ac:dyDescent="0.2">
      <c r="AQ1744" s="32"/>
    </row>
    <row r="1745" spans="43:43" ht="12" customHeight="1" x14ac:dyDescent="0.2">
      <c r="AQ1745" s="32"/>
    </row>
    <row r="1746" spans="43:43" ht="12" customHeight="1" x14ac:dyDescent="0.2">
      <c r="AQ1746" s="32"/>
    </row>
    <row r="1747" spans="43:43" ht="12" customHeight="1" x14ac:dyDescent="0.2">
      <c r="AQ1747" s="32"/>
    </row>
    <row r="1748" spans="43:43" ht="12" customHeight="1" x14ac:dyDescent="0.2">
      <c r="AQ1748" s="32"/>
    </row>
    <row r="1749" spans="43:43" ht="12" customHeight="1" x14ac:dyDescent="0.2">
      <c r="AQ1749" s="32"/>
    </row>
    <row r="1750" spans="43:43" ht="12" customHeight="1" x14ac:dyDescent="0.2">
      <c r="AQ1750" s="32"/>
    </row>
    <row r="1751" spans="43:43" ht="12" customHeight="1" x14ac:dyDescent="0.2">
      <c r="AQ1751" s="32"/>
    </row>
    <row r="1752" spans="43:43" ht="12" customHeight="1" x14ac:dyDescent="0.2">
      <c r="AQ1752" s="32"/>
    </row>
    <row r="1753" spans="43:43" ht="12" customHeight="1" x14ac:dyDescent="0.2">
      <c r="AQ1753" s="32"/>
    </row>
    <row r="1754" spans="43:43" ht="12" customHeight="1" x14ac:dyDescent="0.2">
      <c r="AQ1754" s="32"/>
    </row>
    <row r="1755" spans="43:43" ht="12" customHeight="1" x14ac:dyDescent="0.2">
      <c r="AQ1755" s="32"/>
    </row>
    <row r="1756" spans="43:43" ht="12" customHeight="1" x14ac:dyDescent="0.2">
      <c r="AQ1756" s="32"/>
    </row>
    <row r="1757" spans="43:43" ht="12" customHeight="1" x14ac:dyDescent="0.2">
      <c r="AQ1757" s="32"/>
    </row>
    <row r="1758" spans="43:43" ht="12" customHeight="1" x14ac:dyDescent="0.2">
      <c r="AQ1758" s="32"/>
    </row>
    <row r="1759" spans="43:43" ht="12" customHeight="1" x14ac:dyDescent="0.2">
      <c r="AQ1759" s="32"/>
    </row>
    <row r="1760" spans="43:43" ht="12" customHeight="1" x14ac:dyDescent="0.2">
      <c r="AQ1760" s="32"/>
    </row>
    <row r="1761" spans="43:43" ht="12" customHeight="1" x14ac:dyDescent="0.2">
      <c r="AQ1761" s="32"/>
    </row>
    <row r="1762" spans="43:43" ht="12" customHeight="1" x14ac:dyDescent="0.2">
      <c r="AQ1762" s="32"/>
    </row>
    <row r="1763" spans="43:43" ht="12" customHeight="1" x14ac:dyDescent="0.2">
      <c r="AQ1763" s="32"/>
    </row>
    <row r="1764" spans="43:43" ht="12" customHeight="1" x14ac:dyDescent="0.2">
      <c r="AQ1764" s="32"/>
    </row>
    <row r="1765" spans="43:43" ht="12" customHeight="1" x14ac:dyDescent="0.2">
      <c r="AQ1765" s="32"/>
    </row>
    <row r="1766" spans="43:43" ht="12" customHeight="1" x14ac:dyDescent="0.2">
      <c r="AQ1766" s="32"/>
    </row>
    <row r="1767" spans="43:43" ht="12" customHeight="1" x14ac:dyDescent="0.2">
      <c r="AQ1767" s="32"/>
    </row>
    <row r="1768" spans="43:43" ht="12" customHeight="1" x14ac:dyDescent="0.2">
      <c r="AQ1768" s="32"/>
    </row>
    <row r="1769" spans="43:43" ht="12" customHeight="1" x14ac:dyDescent="0.2">
      <c r="AQ1769" s="32"/>
    </row>
    <row r="1770" spans="43:43" ht="12" customHeight="1" x14ac:dyDescent="0.2">
      <c r="AQ1770" s="32"/>
    </row>
    <row r="1771" spans="43:43" ht="12" customHeight="1" x14ac:dyDescent="0.2">
      <c r="AQ1771" s="32"/>
    </row>
    <row r="1772" spans="43:43" ht="12" customHeight="1" x14ac:dyDescent="0.2">
      <c r="AQ1772" s="32"/>
    </row>
    <row r="1773" spans="43:43" ht="12" customHeight="1" x14ac:dyDescent="0.2">
      <c r="AQ1773" s="32"/>
    </row>
    <row r="1774" spans="43:43" ht="12" customHeight="1" x14ac:dyDescent="0.2">
      <c r="AQ1774" s="32"/>
    </row>
    <row r="1775" spans="43:43" ht="12" customHeight="1" x14ac:dyDescent="0.2">
      <c r="AQ1775" s="32"/>
    </row>
    <row r="1776" spans="43:43" ht="12" customHeight="1" x14ac:dyDescent="0.2">
      <c r="AQ1776" s="32"/>
    </row>
    <row r="1777" spans="43:43" ht="12" customHeight="1" x14ac:dyDescent="0.2">
      <c r="AQ1777" s="32"/>
    </row>
    <row r="1778" spans="43:43" ht="12" customHeight="1" x14ac:dyDescent="0.2">
      <c r="AQ1778" s="32"/>
    </row>
    <row r="1779" spans="43:43" ht="12" customHeight="1" x14ac:dyDescent="0.2">
      <c r="AQ1779" s="32"/>
    </row>
    <row r="1780" spans="43:43" ht="12" customHeight="1" x14ac:dyDescent="0.2">
      <c r="AQ1780" s="32"/>
    </row>
    <row r="1781" spans="43:43" ht="12" customHeight="1" x14ac:dyDescent="0.2">
      <c r="AQ1781" s="32"/>
    </row>
    <row r="1782" spans="43:43" ht="12" customHeight="1" x14ac:dyDescent="0.2">
      <c r="AQ1782" s="32"/>
    </row>
    <row r="1783" spans="43:43" ht="12" customHeight="1" x14ac:dyDescent="0.2">
      <c r="AQ1783" s="32"/>
    </row>
    <row r="1784" spans="43:43" ht="12" customHeight="1" x14ac:dyDescent="0.2">
      <c r="AQ1784" s="32"/>
    </row>
    <row r="1785" spans="43:43" ht="12" customHeight="1" x14ac:dyDescent="0.2">
      <c r="AQ1785" s="32"/>
    </row>
    <row r="1786" spans="43:43" ht="12" customHeight="1" x14ac:dyDescent="0.2">
      <c r="AQ1786" s="32"/>
    </row>
    <row r="1787" spans="43:43" ht="12" customHeight="1" x14ac:dyDescent="0.2">
      <c r="AQ1787" s="32"/>
    </row>
    <row r="1788" spans="43:43" ht="12" customHeight="1" x14ac:dyDescent="0.2">
      <c r="AQ1788" s="32"/>
    </row>
    <row r="1789" spans="43:43" ht="12" customHeight="1" x14ac:dyDescent="0.2">
      <c r="AQ1789" s="32"/>
    </row>
    <row r="1790" spans="43:43" ht="12" customHeight="1" x14ac:dyDescent="0.2">
      <c r="AQ1790" s="32"/>
    </row>
    <row r="1791" spans="43:43" ht="12" customHeight="1" x14ac:dyDescent="0.2">
      <c r="AQ1791" s="32"/>
    </row>
    <row r="1792" spans="43:43" ht="12" customHeight="1" x14ac:dyDescent="0.2">
      <c r="AQ1792" s="32"/>
    </row>
    <row r="1793" spans="43:43" ht="12" customHeight="1" x14ac:dyDescent="0.2">
      <c r="AQ1793" s="32"/>
    </row>
    <row r="1794" spans="43:43" ht="12" customHeight="1" x14ac:dyDescent="0.2">
      <c r="AQ1794" s="32"/>
    </row>
    <row r="1795" spans="43:43" ht="12" customHeight="1" x14ac:dyDescent="0.2">
      <c r="AQ1795" s="32"/>
    </row>
    <row r="1796" spans="43:43" ht="12" customHeight="1" x14ac:dyDescent="0.2">
      <c r="AQ1796" s="32"/>
    </row>
    <row r="1797" spans="43:43" ht="12" customHeight="1" x14ac:dyDescent="0.2">
      <c r="AQ1797" s="32"/>
    </row>
    <row r="1798" spans="43:43" ht="12" customHeight="1" x14ac:dyDescent="0.2">
      <c r="AQ1798" s="32"/>
    </row>
    <row r="1799" spans="43:43" ht="12" customHeight="1" x14ac:dyDescent="0.2">
      <c r="AQ1799" s="32"/>
    </row>
    <row r="1800" spans="43:43" ht="12" customHeight="1" x14ac:dyDescent="0.2">
      <c r="AQ1800" s="32"/>
    </row>
    <row r="1801" spans="43:43" ht="12" customHeight="1" x14ac:dyDescent="0.2">
      <c r="AQ1801" s="32"/>
    </row>
    <row r="1802" spans="43:43" ht="12" customHeight="1" x14ac:dyDescent="0.2">
      <c r="AQ1802" s="32"/>
    </row>
    <row r="1803" spans="43:43" ht="12" customHeight="1" x14ac:dyDescent="0.2">
      <c r="AQ1803" s="32"/>
    </row>
    <row r="1804" spans="43:43" ht="12" customHeight="1" x14ac:dyDescent="0.2">
      <c r="AQ1804" s="32"/>
    </row>
    <row r="1805" spans="43:43" ht="12" customHeight="1" x14ac:dyDescent="0.2">
      <c r="AQ1805" s="32"/>
    </row>
    <row r="1806" spans="43:43" ht="12" customHeight="1" x14ac:dyDescent="0.2">
      <c r="AQ1806" s="32"/>
    </row>
    <row r="1807" spans="43:43" ht="12" customHeight="1" x14ac:dyDescent="0.2">
      <c r="AQ1807" s="32"/>
    </row>
    <row r="1808" spans="43:43" ht="12" customHeight="1" x14ac:dyDescent="0.2">
      <c r="AQ1808" s="32"/>
    </row>
    <row r="1809" spans="43:43" ht="12" customHeight="1" x14ac:dyDescent="0.2">
      <c r="AQ1809" s="32"/>
    </row>
    <row r="1810" spans="43:43" ht="12" customHeight="1" x14ac:dyDescent="0.2">
      <c r="AQ1810" s="32"/>
    </row>
    <row r="1811" spans="43:43" ht="12" customHeight="1" x14ac:dyDescent="0.2">
      <c r="AQ1811" s="32"/>
    </row>
    <row r="1812" spans="43:43" ht="12" customHeight="1" x14ac:dyDescent="0.2">
      <c r="AQ1812" s="32"/>
    </row>
    <row r="1813" spans="43:43" ht="12" customHeight="1" x14ac:dyDescent="0.2">
      <c r="AQ1813" s="32"/>
    </row>
    <row r="1814" spans="43:43" ht="12" customHeight="1" x14ac:dyDescent="0.2">
      <c r="AQ1814" s="32"/>
    </row>
    <row r="1815" spans="43:43" ht="12" customHeight="1" x14ac:dyDescent="0.2">
      <c r="AQ1815" s="32"/>
    </row>
    <row r="1816" spans="43:43" ht="12" customHeight="1" x14ac:dyDescent="0.2">
      <c r="AQ1816" s="32"/>
    </row>
    <row r="1817" spans="43:43" ht="12" customHeight="1" x14ac:dyDescent="0.2">
      <c r="AQ1817" s="32"/>
    </row>
    <row r="1818" spans="43:43" ht="12" customHeight="1" x14ac:dyDescent="0.2">
      <c r="AQ1818" s="32"/>
    </row>
    <row r="1819" spans="43:43" ht="12" customHeight="1" x14ac:dyDescent="0.2">
      <c r="AQ1819" s="32"/>
    </row>
    <row r="1820" spans="43:43" ht="12" customHeight="1" x14ac:dyDescent="0.2">
      <c r="AQ1820" s="32"/>
    </row>
    <row r="1821" spans="43:43" ht="12" customHeight="1" x14ac:dyDescent="0.2">
      <c r="AQ1821" s="32"/>
    </row>
    <row r="1822" spans="43:43" ht="12" customHeight="1" x14ac:dyDescent="0.2">
      <c r="AQ1822" s="32"/>
    </row>
    <row r="1823" spans="43:43" ht="12" customHeight="1" x14ac:dyDescent="0.2">
      <c r="AQ1823" s="32"/>
    </row>
    <row r="1824" spans="43:43" ht="12" customHeight="1" x14ac:dyDescent="0.2">
      <c r="AQ1824" s="32"/>
    </row>
    <row r="1825" spans="43:43" ht="12" customHeight="1" x14ac:dyDescent="0.2">
      <c r="AQ1825" s="32"/>
    </row>
    <row r="1826" spans="43:43" ht="12" customHeight="1" x14ac:dyDescent="0.2">
      <c r="AQ1826" s="32"/>
    </row>
    <row r="1827" spans="43:43" ht="12" customHeight="1" x14ac:dyDescent="0.2">
      <c r="AQ1827" s="32"/>
    </row>
    <row r="1828" spans="43:43" ht="12" customHeight="1" x14ac:dyDescent="0.2">
      <c r="AQ1828" s="32"/>
    </row>
    <row r="1829" spans="43:43" ht="12" customHeight="1" x14ac:dyDescent="0.2">
      <c r="AQ1829" s="32"/>
    </row>
    <row r="1830" spans="43:43" ht="12" customHeight="1" x14ac:dyDescent="0.2">
      <c r="AQ1830" s="32"/>
    </row>
    <row r="1831" spans="43:43" ht="12" customHeight="1" x14ac:dyDescent="0.2">
      <c r="AQ1831" s="32"/>
    </row>
    <row r="1832" spans="43:43" ht="12" customHeight="1" x14ac:dyDescent="0.2">
      <c r="AQ1832" s="32"/>
    </row>
    <row r="1833" spans="43:43" ht="12" customHeight="1" x14ac:dyDescent="0.2">
      <c r="AQ1833" s="32"/>
    </row>
    <row r="1834" spans="43:43" ht="12" customHeight="1" x14ac:dyDescent="0.2">
      <c r="AQ1834" s="32"/>
    </row>
    <row r="1835" spans="43:43" ht="12" customHeight="1" x14ac:dyDescent="0.2">
      <c r="AQ1835" s="32"/>
    </row>
    <row r="1836" spans="43:43" ht="12" customHeight="1" x14ac:dyDescent="0.2">
      <c r="AQ1836" s="32"/>
    </row>
    <row r="1837" spans="43:43" ht="12" customHeight="1" x14ac:dyDescent="0.2">
      <c r="AQ1837" s="32"/>
    </row>
    <row r="1838" spans="43:43" ht="12" customHeight="1" x14ac:dyDescent="0.2">
      <c r="AQ1838" s="32"/>
    </row>
    <row r="1839" spans="43:43" ht="12" customHeight="1" x14ac:dyDescent="0.2">
      <c r="AQ1839" s="32"/>
    </row>
    <row r="1840" spans="43:43" ht="12" customHeight="1" x14ac:dyDescent="0.2">
      <c r="AQ1840" s="32"/>
    </row>
    <row r="1841" spans="43:43" ht="12" customHeight="1" x14ac:dyDescent="0.2">
      <c r="AQ1841" s="32"/>
    </row>
    <row r="1842" spans="43:43" ht="12" customHeight="1" x14ac:dyDescent="0.2">
      <c r="AQ1842" s="32"/>
    </row>
    <row r="1843" spans="43:43" ht="12" customHeight="1" x14ac:dyDescent="0.2">
      <c r="AQ1843" s="32"/>
    </row>
    <row r="1844" spans="43:43" ht="12" customHeight="1" x14ac:dyDescent="0.2">
      <c r="AQ1844" s="32"/>
    </row>
    <row r="1845" spans="43:43" ht="12" customHeight="1" x14ac:dyDescent="0.2">
      <c r="AQ1845" s="32"/>
    </row>
    <row r="1846" spans="43:43" ht="12" customHeight="1" x14ac:dyDescent="0.2">
      <c r="AQ1846" s="32"/>
    </row>
    <row r="1847" spans="43:43" ht="12" customHeight="1" x14ac:dyDescent="0.2">
      <c r="AQ1847" s="32"/>
    </row>
    <row r="1848" spans="43:43" ht="12" customHeight="1" x14ac:dyDescent="0.2">
      <c r="AQ1848" s="32"/>
    </row>
    <row r="1849" spans="43:43" ht="12" customHeight="1" x14ac:dyDescent="0.2">
      <c r="AQ1849" s="32"/>
    </row>
    <row r="1850" spans="43:43" ht="12" customHeight="1" x14ac:dyDescent="0.2">
      <c r="AQ1850" s="32"/>
    </row>
    <row r="1851" spans="43:43" ht="12" customHeight="1" x14ac:dyDescent="0.2">
      <c r="AQ1851" s="32"/>
    </row>
    <row r="1852" spans="43:43" ht="12" customHeight="1" x14ac:dyDescent="0.2">
      <c r="AQ1852" s="32"/>
    </row>
    <row r="1853" spans="43:43" ht="12" customHeight="1" x14ac:dyDescent="0.2">
      <c r="AQ1853" s="32"/>
    </row>
    <row r="1854" spans="43:43" ht="12" customHeight="1" x14ac:dyDescent="0.2">
      <c r="AQ1854" s="32"/>
    </row>
    <row r="1855" spans="43:43" ht="12" customHeight="1" x14ac:dyDescent="0.2">
      <c r="AQ1855" s="32"/>
    </row>
    <row r="1856" spans="43:43" ht="12" customHeight="1" x14ac:dyDescent="0.2">
      <c r="AQ1856" s="32"/>
    </row>
    <row r="1857" spans="43:43" ht="12" customHeight="1" x14ac:dyDescent="0.2">
      <c r="AQ1857" s="32"/>
    </row>
    <row r="1858" spans="43:43" ht="12" customHeight="1" x14ac:dyDescent="0.2">
      <c r="AQ1858" s="32"/>
    </row>
    <row r="1859" spans="43:43" ht="12" customHeight="1" x14ac:dyDescent="0.2">
      <c r="AQ1859" s="32"/>
    </row>
    <row r="1860" spans="43:43" ht="12" customHeight="1" x14ac:dyDescent="0.2">
      <c r="AQ1860" s="32"/>
    </row>
    <row r="1861" spans="43:43" ht="12" customHeight="1" x14ac:dyDescent="0.2">
      <c r="AQ1861" s="32"/>
    </row>
    <row r="1862" spans="43:43" ht="12" customHeight="1" x14ac:dyDescent="0.2">
      <c r="AQ1862" s="32"/>
    </row>
    <row r="1863" spans="43:43" ht="12" customHeight="1" x14ac:dyDescent="0.2">
      <c r="AQ1863" s="32"/>
    </row>
    <row r="1864" spans="43:43" ht="12" customHeight="1" x14ac:dyDescent="0.2">
      <c r="AQ1864" s="32"/>
    </row>
    <row r="1865" spans="43:43" ht="12" customHeight="1" x14ac:dyDescent="0.2">
      <c r="AQ1865" s="32"/>
    </row>
    <row r="1866" spans="43:43" ht="12" customHeight="1" x14ac:dyDescent="0.2">
      <c r="AQ1866" s="32"/>
    </row>
    <row r="1867" spans="43:43" ht="12" customHeight="1" x14ac:dyDescent="0.2">
      <c r="AQ1867" s="32"/>
    </row>
    <row r="1868" spans="43:43" ht="12" customHeight="1" x14ac:dyDescent="0.2">
      <c r="AQ1868" s="32"/>
    </row>
    <row r="1869" spans="43:43" ht="12" customHeight="1" x14ac:dyDescent="0.2">
      <c r="AQ1869" s="32"/>
    </row>
    <row r="1870" spans="43:43" ht="12" customHeight="1" x14ac:dyDescent="0.2">
      <c r="AQ1870" s="32"/>
    </row>
    <row r="1871" spans="43:43" ht="12" customHeight="1" x14ac:dyDescent="0.2">
      <c r="AQ1871" s="32"/>
    </row>
    <row r="1872" spans="43:43" ht="12" customHeight="1" x14ac:dyDescent="0.2">
      <c r="AQ1872" s="32"/>
    </row>
    <row r="1873" spans="43:43" ht="12" customHeight="1" x14ac:dyDescent="0.2">
      <c r="AQ1873" s="32"/>
    </row>
    <row r="1874" spans="43:43" ht="12" customHeight="1" x14ac:dyDescent="0.2">
      <c r="AQ1874" s="32"/>
    </row>
    <row r="1875" spans="43:43" ht="12" customHeight="1" x14ac:dyDescent="0.2">
      <c r="AQ1875" s="32"/>
    </row>
    <row r="1876" spans="43:43" ht="12" customHeight="1" x14ac:dyDescent="0.2">
      <c r="AQ1876" s="32"/>
    </row>
    <row r="1877" spans="43:43" ht="12" customHeight="1" x14ac:dyDescent="0.2">
      <c r="AQ1877" s="32"/>
    </row>
    <row r="1878" spans="43:43" ht="12" customHeight="1" x14ac:dyDescent="0.2">
      <c r="AQ1878" s="32"/>
    </row>
    <row r="1879" spans="43:43" ht="12" customHeight="1" x14ac:dyDescent="0.2">
      <c r="AQ1879" s="32"/>
    </row>
    <row r="1880" spans="43:43" ht="12" customHeight="1" x14ac:dyDescent="0.2">
      <c r="AQ1880" s="32"/>
    </row>
    <row r="1881" spans="43:43" ht="12" customHeight="1" x14ac:dyDescent="0.2">
      <c r="AQ1881" s="32"/>
    </row>
    <row r="1882" spans="43:43" ht="12" customHeight="1" x14ac:dyDescent="0.2">
      <c r="AQ1882" s="32"/>
    </row>
    <row r="1883" spans="43:43" ht="12" customHeight="1" x14ac:dyDescent="0.2">
      <c r="AQ1883" s="32"/>
    </row>
    <row r="1884" spans="43:43" ht="12" customHeight="1" x14ac:dyDescent="0.2">
      <c r="AQ1884" s="32"/>
    </row>
    <row r="1885" spans="43:43" ht="12" customHeight="1" x14ac:dyDescent="0.2">
      <c r="AQ1885" s="32"/>
    </row>
    <row r="1886" spans="43:43" ht="12" customHeight="1" x14ac:dyDescent="0.2">
      <c r="AQ1886" s="32"/>
    </row>
    <row r="1887" spans="43:43" ht="12" customHeight="1" x14ac:dyDescent="0.2">
      <c r="AQ1887" s="32"/>
    </row>
    <row r="1888" spans="43:43" ht="12" customHeight="1" x14ac:dyDescent="0.2">
      <c r="AQ1888" s="32"/>
    </row>
    <row r="1889" spans="43:43" ht="12" customHeight="1" x14ac:dyDescent="0.2">
      <c r="AQ1889" s="32"/>
    </row>
    <row r="1890" spans="43:43" ht="12" customHeight="1" x14ac:dyDescent="0.2">
      <c r="AQ1890" s="32"/>
    </row>
    <row r="1891" spans="43:43" ht="12" customHeight="1" x14ac:dyDescent="0.2">
      <c r="AQ1891" s="32"/>
    </row>
    <row r="1892" spans="43:43" ht="12" customHeight="1" x14ac:dyDescent="0.2">
      <c r="AQ1892" s="32"/>
    </row>
    <row r="1893" spans="43:43" ht="12" customHeight="1" x14ac:dyDescent="0.2">
      <c r="AQ1893" s="32"/>
    </row>
    <row r="1894" spans="43:43" ht="12" customHeight="1" x14ac:dyDescent="0.2">
      <c r="AQ1894" s="32"/>
    </row>
    <row r="1895" spans="43:43" ht="12" customHeight="1" x14ac:dyDescent="0.2">
      <c r="AQ1895" s="32"/>
    </row>
    <row r="1896" spans="43:43" ht="12" customHeight="1" x14ac:dyDescent="0.2">
      <c r="AQ1896" s="32"/>
    </row>
    <row r="1897" spans="43:43" ht="12" customHeight="1" x14ac:dyDescent="0.2">
      <c r="AQ1897" s="32"/>
    </row>
    <row r="1898" spans="43:43" ht="12" customHeight="1" x14ac:dyDescent="0.2">
      <c r="AQ1898" s="32"/>
    </row>
    <row r="1899" spans="43:43" ht="12" customHeight="1" x14ac:dyDescent="0.2">
      <c r="AQ1899" s="32"/>
    </row>
    <row r="1900" spans="43:43" ht="12" customHeight="1" x14ac:dyDescent="0.2">
      <c r="AQ1900" s="32"/>
    </row>
    <row r="1901" spans="43:43" ht="12" customHeight="1" x14ac:dyDescent="0.2">
      <c r="AQ1901" s="32"/>
    </row>
    <row r="1902" spans="43:43" ht="12" customHeight="1" x14ac:dyDescent="0.2">
      <c r="AQ1902" s="32"/>
    </row>
    <row r="1903" spans="43:43" ht="12" customHeight="1" x14ac:dyDescent="0.2">
      <c r="AQ1903" s="32"/>
    </row>
    <row r="1904" spans="43:43" ht="12" customHeight="1" x14ac:dyDescent="0.2">
      <c r="AQ1904" s="32"/>
    </row>
    <row r="1905" spans="43:43" ht="12" customHeight="1" x14ac:dyDescent="0.2">
      <c r="AQ1905" s="32"/>
    </row>
    <row r="1906" spans="43:43" ht="12" customHeight="1" x14ac:dyDescent="0.2">
      <c r="AQ1906" s="32"/>
    </row>
    <row r="1907" spans="43:43" ht="12" customHeight="1" x14ac:dyDescent="0.2">
      <c r="AQ1907" s="32"/>
    </row>
    <row r="1908" spans="43:43" ht="12" customHeight="1" x14ac:dyDescent="0.2">
      <c r="AQ1908" s="32"/>
    </row>
    <row r="1909" spans="43:43" ht="12" customHeight="1" x14ac:dyDescent="0.2">
      <c r="AQ1909" s="32"/>
    </row>
    <row r="1910" spans="43:43" ht="12" customHeight="1" x14ac:dyDescent="0.2">
      <c r="AQ1910" s="32"/>
    </row>
    <row r="1911" spans="43:43" ht="12" customHeight="1" x14ac:dyDescent="0.2">
      <c r="AQ1911" s="32"/>
    </row>
    <row r="1912" spans="43:43" ht="12" customHeight="1" x14ac:dyDescent="0.2">
      <c r="AQ1912" s="32"/>
    </row>
    <row r="1913" spans="43:43" ht="12" customHeight="1" x14ac:dyDescent="0.2">
      <c r="AQ1913" s="32"/>
    </row>
    <row r="1914" spans="43:43" ht="12" customHeight="1" x14ac:dyDescent="0.2">
      <c r="AQ1914" s="32"/>
    </row>
    <row r="1915" spans="43:43" ht="12" customHeight="1" x14ac:dyDescent="0.2">
      <c r="AQ1915" s="32"/>
    </row>
    <row r="1916" spans="43:43" ht="12" customHeight="1" x14ac:dyDescent="0.2">
      <c r="AQ1916" s="32"/>
    </row>
    <row r="1917" spans="43:43" ht="12" customHeight="1" x14ac:dyDescent="0.2">
      <c r="AQ1917" s="32"/>
    </row>
    <row r="1918" spans="43:43" ht="12" customHeight="1" x14ac:dyDescent="0.2">
      <c r="AQ1918" s="32"/>
    </row>
    <row r="1919" spans="43:43" ht="12" customHeight="1" x14ac:dyDescent="0.2">
      <c r="AQ1919" s="32"/>
    </row>
    <row r="1920" spans="43:43" ht="12" customHeight="1" x14ac:dyDescent="0.2">
      <c r="AQ1920" s="32"/>
    </row>
    <row r="1921" spans="43:43" ht="12" customHeight="1" x14ac:dyDescent="0.2">
      <c r="AQ1921" s="32"/>
    </row>
    <row r="1922" spans="43:43" ht="12" customHeight="1" x14ac:dyDescent="0.2">
      <c r="AQ1922" s="32"/>
    </row>
    <row r="1923" spans="43:43" ht="12" customHeight="1" x14ac:dyDescent="0.2">
      <c r="AQ1923" s="32"/>
    </row>
    <row r="1924" spans="43:43" ht="12" customHeight="1" x14ac:dyDescent="0.2">
      <c r="AQ1924" s="32"/>
    </row>
    <row r="1925" spans="43:43" ht="12" customHeight="1" x14ac:dyDescent="0.2">
      <c r="AQ1925" s="32"/>
    </row>
    <row r="1926" spans="43:43" ht="12" customHeight="1" x14ac:dyDescent="0.2">
      <c r="AQ1926" s="32"/>
    </row>
    <row r="1927" spans="43:43" ht="12" customHeight="1" x14ac:dyDescent="0.2">
      <c r="AQ1927" s="32"/>
    </row>
    <row r="1928" spans="43:43" ht="12" customHeight="1" x14ac:dyDescent="0.2">
      <c r="AQ1928" s="32"/>
    </row>
    <row r="1929" spans="43:43" ht="12" customHeight="1" x14ac:dyDescent="0.2">
      <c r="AQ1929" s="32"/>
    </row>
    <row r="1930" spans="43:43" ht="12" customHeight="1" x14ac:dyDescent="0.2">
      <c r="AQ1930" s="32"/>
    </row>
    <row r="1931" spans="43:43" ht="12" customHeight="1" x14ac:dyDescent="0.2">
      <c r="AQ1931" s="32"/>
    </row>
    <row r="1932" spans="43:43" ht="12" customHeight="1" x14ac:dyDescent="0.2">
      <c r="AQ1932" s="32"/>
    </row>
    <row r="1933" spans="43:43" ht="12" customHeight="1" x14ac:dyDescent="0.2">
      <c r="AQ1933" s="32"/>
    </row>
    <row r="1934" spans="43:43" ht="12" customHeight="1" x14ac:dyDescent="0.2">
      <c r="AQ1934" s="32"/>
    </row>
    <row r="1935" spans="43:43" ht="12" customHeight="1" x14ac:dyDescent="0.2">
      <c r="AQ1935" s="32"/>
    </row>
    <row r="1936" spans="43:43" ht="12" customHeight="1" x14ac:dyDescent="0.2">
      <c r="AQ1936" s="32"/>
    </row>
    <row r="1937" spans="43:43" ht="12" customHeight="1" x14ac:dyDescent="0.2">
      <c r="AQ1937" s="32"/>
    </row>
    <row r="1938" spans="43:43" ht="12" customHeight="1" x14ac:dyDescent="0.2">
      <c r="AQ1938" s="32"/>
    </row>
    <row r="1939" spans="43:43" ht="12" customHeight="1" x14ac:dyDescent="0.2">
      <c r="AQ1939" s="32"/>
    </row>
    <row r="1940" spans="43:43" ht="12" customHeight="1" x14ac:dyDescent="0.2">
      <c r="AQ1940" s="32"/>
    </row>
    <row r="1941" spans="43:43" ht="12" customHeight="1" x14ac:dyDescent="0.2">
      <c r="AQ1941" s="32"/>
    </row>
    <row r="1942" spans="43:43" ht="12" customHeight="1" x14ac:dyDescent="0.2">
      <c r="AQ1942" s="32"/>
    </row>
    <row r="1943" spans="43:43" ht="12" customHeight="1" x14ac:dyDescent="0.2">
      <c r="AQ1943" s="32"/>
    </row>
    <row r="1944" spans="43:43" ht="12" customHeight="1" x14ac:dyDescent="0.2">
      <c r="AQ1944" s="32"/>
    </row>
    <row r="1945" spans="43:43" ht="12" customHeight="1" x14ac:dyDescent="0.2">
      <c r="AQ1945" s="32"/>
    </row>
    <row r="1946" spans="43:43" ht="12" customHeight="1" x14ac:dyDescent="0.2">
      <c r="AQ1946" s="32"/>
    </row>
    <row r="1947" spans="43:43" ht="12" customHeight="1" x14ac:dyDescent="0.2">
      <c r="AQ1947" s="32"/>
    </row>
    <row r="1948" spans="43:43" ht="12" customHeight="1" x14ac:dyDescent="0.2">
      <c r="AQ1948" s="32"/>
    </row>
    <row r="1949" spans="43:43" ht="12" customHeight="1" x14ac:dyDescent="0.2">
      <c r="AQ1949" s="32"/>
    </row>
    <row r="1950" spans="43:43" ht="12" customHeight="1" x14ac:dyDescent="0.2">
      <c r="AQ1950" s="32"/>
    </row>
    <row r="1951" spans="43:43" ht="12" customHeight="1" x14ac:dyDescent="0.2">
      <c r="AQ1951" s="32"/>
    </row>
    <row r="1952" spans="43:43" ht="12" customHeight="1" x14ac:dyDescent="0.2">
      <c r="AQ1952" s="32"/>
    </row>
    <row r="1953" spans="43:43" ht="12" customHeight="1" x14ac:dyDescent="0.2">
      <c r="AQ1953" s="32"/>
    </row>
    <row r="1954" spans="43:43" ht="12" customHeight="1" x14ac:dyDescent="0.2">
      <c r="AQ1954" s="32"/>
    </row>
    <row r="1955" spans="43:43" ht="12" customHeight="1" x14ac:dyDescent="0.2">
      <c r="AQ1955" s="32"/>
    </row>
    <row r="1956" spans="43:43" ht="12" customHeight="1" x14ac:dyDescent="0.2">
      <c r="AQ1956" s="32"/>
    </row>
    <row r="1957" spans="43:43" ht="12" customHeight="1" x14ac:dyDescent="0.2">
      <c r="AQ1957" s="32"/>
    </row>
    <row r="1958" spans="43:43" ht="12" customHeight="1" x14ac:dyDescent="0.2">
      <c r="AQ1958" s="32"/>
    </row>
    <row r="1959" spans="43:43" ht="12" customHeight="1" x14ac:dyDescent="0.2">
      <c r="AQ1959" s="32"/>
    </row>
    <row r="1960" spans="43:43" ht="12" customHeight="1" x14ac:dyDescent="0.2">
      <c r="AQ1960" s="32"/>
    </row>
    <row r="1961" spans="43:43" ht="12" customHeight="1" x14ac:dyDescent="0.2">
      <c r="AQ1961" s="32"/>
    </row>
    <row r="1962" spans="43:43" ht="12" customHeight="1" x14ac:dyDescent="0.2">
      <c r="AQ1962" s="32"/>
    </row>
    <row r="1963" spans="43:43" ht="12" customHeight="1" x14ac:dyDescent="0.2">
      <c r="AQ1963" s="32"/>
    </row>
    <row r="1964" spans="43:43" ht="12" customHeight="1" x14ac:dyDescent="0.2">
      <c r="AQ1964" s="32"/>
    </row>
    <row r="1965" spans="43:43" ht="12" customHeight="1" x14ac:dyDescent="0.2">
      <c r="AQ1965" s="32"/>
    </row>
    <row r="1966" spans="43:43" ht="12" customHeight="1" x14ac:dyDescent="0.2">
      <c r="AQ1966" s="32"/>
    </row>
    <row r="1967" spans="43:43" ht="12" customHeight="1" x14ac:dyDescent="0.2">
      <c r="AQ1967" s="32"/>
    </row>
    <row r="1968" spans="43:43" ht="12" customHeight="1" x14ac:dyDescent="0.2">
      <c r="AQ1968" s="32"/>
    </row>
    <row r="1969" spans="43:43" ht="12" customHeight="1" x14ac:dyDescent="0.2">
      <c r="AQ1969" s="32"/>
    </row>
    <row r="1970" spans="43:43" ht="12" customHeight="1" x14ac:dyDescent="0.2">
      <c r="AQ1970" s="32"/>
    </row>
    <row r="1971" spans="43:43" ht="12" customHeight="1" x14ac:dyDescent="0.2">
      <c r="AQ1971" s="32"/>
    </row>
    <row r="1972" spans="43:43" ht="12" customHeight="1" x14ac:dyDescent="0.2">
      <c r="AQ1972" s="32"/>
    </row>
    <row r="1973" spans="43:43" ht="12" customHeight="1" x14ac:dyDescent="0.2">
      <c r="AQ1973" s="32"/>
    </row>
    <row r="1974" spans="43:43" ht="12" customHeight="1" x14ac:dyDescent="0.2">
      <c r="AQ1974" s="32"/>
    </row>
    <row r="1975" spans="43:43" ht="12" customHeight="1" x14ac:dyDescent="0.2">
      <c r="AQ1975" s="32"/>
    </row>
    <row r="1976" spans="43:43" ht="12" customHeight="1" x14ac:dyDescent="0.2">
      <c r="AQ1976" s="32"/>
    </row>
    <row r="1977" spans="43:43" ht="12" customHeight="1" x14ac:dyDescent="0.2">
      <c r="AQ1977" s="32"/>
    </row>
    <row r="1978" spans="43:43" ht="12" customHeight="1" x14ac:dyDescent="0.2">
      <c r="AQ1978" s="32"/>
    </row>
    <row r="1979" spans="43:43" ht="12" customHeight="1" x14ac:dyDescent="0.2">
      <c r="AQ1979" s="32"/>
    </row>
    <row r="1980" spans="43:43" ht="12" customHeight="1" x14ac:dyDescent="0.2">
      <c r="AQ1980" s="32"/>
    </row>
    <row r="1981" spans="43:43" ht="12" customHeight="1" x14ac:dyDescent="0.2">
      <c r="AQ1981" s="32"/>
    </row>
    <row r="1982" spans="43:43" ht="12" customHeight="1" x14ac:dyDescent="0.2">
      <c r="AQ1982" s="32"/>
    </row>
    <row r="1983" spans="43:43" ht="12" customHeight="1" x14ac:dyDescent="0.2">
      <c r="AQ1983" s="32"/>
    </row>
    <row r="1984" spans="43:43" ht="12" customHeight="1" x14ac:dyDescent="0.2">
      <c r="AQ1984" s="32"/>
    </row>
    <row r="1985" spans="43:43" ht="12" customHeight="1" x14ac:dyDescent="0.2">
      <c r="AQ1985" s="32"/>
    </row>
    <row r="1986" spans="43:43" ht="12" customHeight="1" x14ac:dyDescent="0.2">
      <c r="AQ1986" s="32"/>
    </row>
    <row r="1987" spans="43:43" ht="12" customHeight="1" x14ac:dyDescent="0.2">
      <c r="AQ1987" s="32"/>
    </row>
    <row r="1988" spans="43:43" ht="12" customHeight="1" x14ac:dyDescent="0.2">
      <c r="AQ1988" s="32"/>
    </row>
    <row r="1989" spans="43:43" ht="12" customHeight="1" x14ac:dyDescent="0.2">
      <c r="AQ1989" s="32"/>
    </row>
    <row r="1990" spans="43:43" ht="12" customHeight="1" x14ac:dyDescent="0.2">
      <c r="AQ1990" s="32"/>
    </row>
    <row r="1991" spans="43:43" ht="12" customHeight="1" x14ac:dyDescent="0.2">
      <c r="AQ1991" s="32"/>
    </row>
    <row r="1992" spans="43:43" ht="12" customHeight="1" x14ac:dyDescent="0.2">
      <c r="AQ1992" s="32"/>
    </row>
    <row r="1993" spans="43:43" ht="12" customHeight="1" x14ac:dyDescent="0.2">
      <c r="AQ1993" s="32"/>
    </row>
    <row r="1994" spans="43:43" ht="12" customHeight="1" x14ac:dyDescent="0.2">
      <c r="AQ1994" s="32"/>
    </row>
    <row r="1995" spans="43:43" ht="12" customHeight="1" x14ac:dyDescent="0.2">
      <c r="AQ1995" s="32"/>
    </row>
    <row r="1996" spans="43:43" ht="12" customHeight="1" x14ac:dyDescent="0.2">
      <c r="AQ1996" s="32"/>
    </row>
    <row r="1997" spans="43:43" ht="12" customHeight="1" x14ac:dyDescent="0.2">
      <c r="AQ1997" s="32"/>
    </row>
    <row r="1998" spans="43:43" ht="12" customHeight="1" x14ac:dyDescent="0.2">
      <c r="AQ1998" s="32"/>
    </row>
    <row r="1999" spans="43:43" ht="12" customHeight="1" x14ac:dyDescent="0.2">
      <c r="AQ1999" s="32"/>
    </row>
    <row r="2000" spans="43:43" ht="12" customHeight="1" x14ac:dyDescent="0.2">
      <c r="AQ2000" s="32"/>
    </row>
    <row r="2001" spans="43:43" ht="12" customHeight="1" x14ac:dyDescent="0.2">
      <c r="AQ2001" s="32"/>
    </row>
    <row r="2002" spans="43:43" ht="12" customHeight="1" x14ac:dyDescent="0.2">
      <c r="AQ2002" s="32"/>
    </row>
    <row r="2003" spans="43:43" ht="12" customHeight="1" x14ac:dyDescent="0.2">
      <c r="AQ2003" s="32"/>
    </row>
    <row r="2004" spans="43:43" ht="12" customHeight="1" x14ac:dyDescent="0.2">
      <c r="AQ2004" s="32"/>
    </row>
    <row r="2005" spans="43:43" ht="12" customHeight="1" x14ac:dyDescent="0.2">
      <c r="AQ2005" s="32"/>
    </row>
    <row r="2006" spans="43:43" ht="12" customHeight="1" x14ac:dyDescent="0.2">
      <c r="AQ2006" s="32"/>
    </row>
    <row r="2007" spans="43:43" ht="12" customHeight="1" x14ac:dyDescent="0.2">
      <c r="AQ2007" s="32"/>
    </row>
    <row r="2008" spans="43:43" ht="12" customHeight="1" x14ac:dyDescent="0.2">
      <c r="AQ2008" s="32"/>
    </row>
    <row r="2009" spans="43:43" ht="12" customHeight="1" x14ac:dyDescent="0.2">
      <c r="AQ2009" s="32"/>
    </row>
    <row r="2010" spans="43:43" ht="12" customHeight="1" x14ac:dyDescent="0.2">
      <c r="AQ2010" s="32"/>
    </row>
    <row r="2011" spans="43:43" ht="12" customHeight="1" x14ac:dyDescent="0.2">
      <c r="AQ2011" s="32"/>
    </row>
    <row r="2012" spans="43:43" ht="12" customHeight="1" x14ac:dyDescent="0.2">
      <c r="AQ2012" s="32"/>
    </row>
    <row r="2013" spans="43:43" ht="12" customHeight="1" x14ac:dyDescent="0.2">
      <c r="AQ2013" s="32"/>
    </row>
    <row r="2014" spans="43:43" ht="12" customHeight="1" x14ac:dyDescent="0.2">
      <c r="AQ2014" s="32"/>
    </row>
    <row r="2015" spans="43:43" ht="12" customHeight="1" x14ac:dyDescent="0.2">
      <c r="AQ2015" s="32"/>
    </row>
    <row r="2016" spans="43:43" ht="12" customHeight="1" x14ac:dyDescent="0.2">
      <c r="AQ2016" s="32"/>
    </row>
    <row r="2017" spans="43:43" ht="12" customHeight="1" x14ac:dyDescent="0.2">
      <c r="AQ2017" s="32"/>
    </row>
    <row r="2018" spans="43:43" ht="12" customHeight="1" x14ac:dyDescent="0.2">
      <c r="AQ2018" s="32"/>
    </row>
    <row r="2019" spans="43:43" ht="12" customHeight="1" x14ac:dyDescent="0.2">
      <c r="AQ2019" s="32"/>
    </row>
    <row r="2020" spans="43:43" ht="12" customHeight="1" x14ac:dyDescent="0.2">
      <c r="AQ2020" s="32"/>
    </row>
    <row r="2021" spans="43:43" ht="12" customHeight="1" x14ac:dyDescent="0.2">
      <c r="AQ2021" s="32"/>
    </row>
    <row r="2022" spans="43:43" ht="12" customHeight="1" x14ac:dyDescent="0.2">
      <c r="AQ2022" s="32"/>
    </row>
    <row r="2023" spans="43:43" ht="12" customHeight="1" x14ac:dyDescent="0.2">
      <c r="AQ2023" s="32"/>
    </row>
    <row r="2024" spans="43:43" ht="12" customHeight="1" x14ac:dyDescent="0.2">
      <c r="AQ2024" s="32"/>
    </row>
    <row r="2025" spans="43:43" ht="12" customHeight="1" x14ac:dyDescent="0.2">
      <c r="AQ2025" s="32"/>
    </row>
    <row r="2026" spans="43:43" ht="12" customHeight="1" x14ac:dyDescent="0.2">
      <c r="AQ2026" s="32"/>
    </row>
    <row r="2027" spans="43:43" ht="12" customHeight="1" x14ac:dyDescent="0.2">
      <c r="AQ2027" s="32"/>
    </row>
    <row r="2028" spans="43:43" ht="12" customHeight="1" x14ac:dyDescent="0.2">
      <c r="AQ2028" s="32"/>
    </row>
    <row r="2029" spans="43:43" ht="12" customHeight="1" x14ac:dyDescent="0.2">
      <c r="AQ2029" s="32"/>
    </row>
    <row r="2030" spans="43:43" ht="12" customHeight="1" x14ac:dyDescent="0.2">
      <c r="AQ2030" s="32"/>
    </row>
    <row r="2031" spans="43:43" ht="12" customHeight="1" x14ac:dyDescent="0.2">
      <c r="AQ2031" s="32"/>
    </row>
    <row r="2032" spans="43:43" ht="12" customHeight="1" x14ac:dyDescent="0.2">
      <c r="AQ2032" s="32"/>
    </row>
    <row r="2033" spans="43:43" ht="12" customHeight="1" x14ac:dyDescent="0.2">
      <c r="AQ2033" s="32"/>
    </row>
    <row r="2034" spans="43:43" ht="12" customHeight="1" x14ac:dyDescent="0.2">
      <c r="AQ2034" s="32"/>
    </row>
    <row r="2035" spans="43:43" ht="12" customHeight="1" x14ac:dyDescent="0.2">
      <c r="AQ2035" s="32"/>
    </row>
    <row r="2036" spans="43:43" ht="12" customHeight="1" x14ac:dyDescent="0.2">
      <c r="AQ2036" s="32"/>
    </row>
    <row r="2037" spans="43:43" ht="12" customHeight="1" x14ac:dyDescent="0.2">
      <c r="AQ2037" s="32"/>
    </row>
    <row r="2038" spans="43:43" ht="12" customHeight="1" x14ac:dyDescent="0.2">
      <c r="AQ2038" s="32"/>
    </row>
    <row r="2039" spans="43:43" ht="12" customHeight="1" x14ac:dyDescent="0.2">
      <c r="AQ2039" s="32"/>
    </row>
    <row r="2040" spans="43:43" ht="12" customHeight="1" x14ac:dyDescent="0.2">
      <c r="AQ2040" s="32"/>
    </row>
    <row r="2041" spans="43:43" ht="12" customHeight="1" x14ac:dyDescent="0.2">
      <c r="AQ2041" s="32"/>
    </row>
    <row r="2042" spans="43:43" ht="12" customHeight="1" x14ac:dyDescent="0.2">
      <c r="AQ2042" s="32"/>
    </row>
    <row r="2043" spans="43:43" ht="12" customHeight="1" x14ac:dyDescent="0.2">
      <c r="AQ2043" s="32"/>
    </row>
    <row r="2044" spans="43:43" ht="12" customHeight="1" x14ac:dyDescent="0.2">
      <c r="AQ2044" s="32"/>
    </row>
    <row r="2045" spans="43:43" ht="12" customHeight="1" x14ac:dyDescent="0.2">
      <c r="AQ2045" s="32"/>
    </row>
    <row r="2046" spans="43:43" ht="12" customHeight="1" x14ac:dyDescent="0.2">
      <c r="AQ2046" s="32"/>
    </row>
    <row r="2047" spans="43:43" ht="12" customHeight="1" x14ac:dyDescent="0.2">
      <c r="AQ2047" s="32"/>
    </row>
    <row r="2048" spans="43:43" ht="12" customHeight="1" x14ac:dyDescent="0.2">
      <c r="AQ2048" s="32"/>
    </row>
    <row r="2049" spans="43:43" ht="12" customHeight="1" x14ac:dyDescent="0.2">
      <c r="AQ2049" s="32"/>
    </row>
    <row r="2050" spans="43:43" ht="12" customHeight="1" x14ac:dyDescent="0.2">
      <c r="AQ2050" s="32"/>
    </row>
    <row r="2051" spans="43:43" ht="12" customHeight="1" x14ac:dyDescent="0.2">
      <c r="AQ2051" s="32"/>
    </row>
    <row r="2052" spans="43:43" ht="12" customHeight="1" x14ac:dyDescent="0.2">
      <c r="AQ2052" s="32"/>
    </row>
    <row r="2053" spans="43:43" ht="12" customHeight="1" x14ac:dyDescent="0.2">
      <c r="AQ2053" s="32"/>
    </row>
    <row r="2054" spans="43:43" ht="12" customHeight="1" x14ac:dyDescent="0.2">
      <c r="AQ2054" s="32"/>
    </row>
    <row r="2055" spans="43:43" ht="12" customHeight="1" x14ac:dyDescent="0.2">
      <c r="AQ2055" s="32"/>
    </row>
    <row r="2056" spans="43:43" ht="12" customHeight="1" x14ac:dyDescent="0.2">
      <c r="AQ2056" s="32"/>
    </row>
    <row r="2057" spans="43:43" ht="12" customHeight="1" x14ac:dyDescent="0.2">
      <c r="AQ2057" s="32"/>
    </row>
    <row r="2058" spans="43:43" ht="12" customHeight="1" x14ac:dyDescent="0.2">
      <c r="AQ2058" s="32"/>
    </row>
    <row r="2059" spans="43:43" ht="12" customHeight="1" x14ac:dyDescent="0.2">
      <c r="AQ2059" s="32"/>
    </row>
    <row r="2060" spans="43:43" ht="12" customHeight="1" x14ac:dyDescent="0.2">
      <c r="AQ2060" s="32"/>
    </row>
    <row r="2061" spans="43:43" ht="12" customHeight="1" x14ac:dyDescent="0.2">
      <c r="AQ2061" s="32"/>
    </row>
    <row r="2062" spans="43:43" ht="12" customHeight="1" x14ac:dyDescent="0.2">
      <c r="AQ2062" s="32"/>
    </row>
    <row r="2063" spans="43:43" ht="12" customHeight="1" x14ac:dyDescent="0.2">
      <c r="AQ2063" s="32"/>
    </row>
    <row r="2064" spans="43:43" ht="12" customHeight="1" x14ac:dyDescent="0.2">
      <c r="AQ2064" s="32"/>
    </row>
    <row r="2065" spans="43:43" ht="12" customHeight="1" x14ac:dyDescent="0.2">
      <c r="AQ2065" s="32"/>
    </row>
    <row r="2066" spans="43:43" ht="12" customHeight="1" x14ac:dyDescent="0.2">
      <c r="AQ2066" s="32"/>
    </row>
    <row r="2067" spans="43:43" ht="12" customHeight="1" x14ac:dyDescent="0.2">
      <c r="AQ2067" s="32"/>
    </row>
    <row r="2068" spans="43:43" ht="12" customHeight="1" x14ac:dyDescent="0.2">
      <c r="AQ2068" s="32"/>
    </row>
    <row r="2069" spans="43:43" ht="12" customHeight="1" x14ac:dyDescent="0.2">
      <c r="AQ2069" s="32"/>
    </row>
    <row r="2070" spans="43:43" ht="12" customHeight="1" x14ac:dyDescent="0.2">
      <c r="AQ2070" s="32"/>
    </row>
    <row r="2071" spans="43:43" ht="12" customHeight="1" x14ac:dyDescent="0.2">
      <c r="AQ2071" s="32"/>
    </row>
    <row r="2072" spans="43:43" ht="12" customHeight="1" x14ac:dyDescent="0.2">
      <c r="AQ2072" s="32"/>
    </row>
    <row r="2073" spans="43:43" ht="12" customHeight="1" x14ac:dyDescent="0.2">
      <c r="AQ2073" s="32"/>
    </row>
    <row r="2074" spans="43:43" ht="12" customHeight="1" x14ac:dyDescent="0.2">
      <c r="AQ2074" s="32"/>
    </row>
    <row r="2075" spans="43:43" ht="12" customHeight="1" x14ac:dyDescent="0.2">
      <c r="AQ2075" s="32"/>
    </row>
    <row r="2076" spans="43:43" ht="12" customHeight="1" x14ac:dyDescent="0.2">
      <c r="AQ2076" s="32"/>
    </row>
    <row r="2077" spans="43:43" ht="12" customHeight="1" x14ac:dyDescent="0.2">
      <c r="AQ2077" s="32"/>
    </row>
    <row r="2078" spans="43:43" ht="12" customHeight="1" x14ac:dyDescent="0.2">
      <c r="AQ2078" s="32"/>
    </row>
    <row r="2079" spans="43:43" ht="12" customHeight="1" x14ac:dyDescent="0.2">
      <c r="AQ2079" s="32"/>
    </row>
    <row r="2080" spans="43:43" ht="12" customHeight="1" x14ac:dyDescent="0.2">
      <c r="AQ2080" s="32"/>
    </row>
    <row r="2081" spans="43:43" ht="12" customHeight="1" x14ac:dyDescent="0.2">
      <c r="AQ2081" s="32"/>
    </row>
    <row r="2082" spans="43:43" ht="12" customHeight="1" x14ac:dyDescent="0.2">
      <c r="AQ2082" s="32"/>
    </row>
    <row r="2083" spans="43:43" ht="12" customHeight="1" x14ac:dyDescent="0.2">
      <c r="AQ2083" s="32"/>
    </row>
    <row r="2084" spans="43:43" ht="12" customHeight="1" x14ac:dyDescent="0.2">
      <c r="AQ2084" s="32"/>
    </row>
    <row r="2085" spans="43:43" ht="12" customHeight="1" x14ac:dyDescent="0.2">
      <c r="AQ2085" s="32"/>
    </row>
    <row r="2086" spans="43:43" ht="12" customHeight="1" x14ac:dyDescent="0.2">
      <c r="AQ2086" s="32"/>
    </row>
    <row r="2087" spans="43:43" ht="12" customHeight="1" x14ac:dyDescent="0.2">
      <c r="AQ2087" s="32"/>
    </row>
    <row r="2088" spans="43:43" ht="12" customHeight="1" x14ac:dyDescent="0.2">
      <c r="AQ2088" s="32"/>
    </row>
    <row r="2089" spans="43:43" ht="12" customHeight="1" x14ac:dyDescent="0.2">
      <c r="AQ2089" s="32"/>
    </row>
    <row r="2090" spans="43:43" ht="12" customHeight="1" x14ac:dyDescent="0.2">
      <c r="AQ2090" s="32"/>
    </row>
    <row r="2091" spans="43:43" ht="12" customHeight="1" x14ac:dyDescent="0.2">
      <c r="AQ2091" s="32"/>
    </row>
    <row r="2092" spans="43:43" ht="12" customHeight="1" x14ac:dyDescent="0.2">
      <c r="AQ2092" s="32"/>
    </row>
    <row r="2093" spans="43:43" ht="12" customHeight="1" x14ac:dyDescent="0.2">
      <c r="AQ2093" s="32"/>
    </row>
    <row r="2094" spans="43:43" ht="12" customHeight="1" x14ac:dyDescent="0.2">
      <c r="AQ2094" s="32"/>
    </row>
    <row r="2095" spans="43:43" ht="12" customHeight="1" x14ac:dyDescent="0.2">
      <c r="AQ2095" s="32"/>
    </row>
    <row r="2096" spans="43:43" ht="12" customHeight="1" x14ac:dyDescent="0.2">
      <c r="AQ2096" s="32"/>
    </row>
    <row r="2097" spans="43:43" ht="12" customHeight="1" x14ac:dyDescent="0.2">
      <c r="AQ2097" s="32"/>
    </row>
    <row r="2098" spans="43:43" ht="12" customHeight="1" x14ac:dyDescent="0.2">
      <c r="AQ2098" s="32"/>
    </row>
    <row r="2099" spans="43:43" ht="12" customHeight="1" x14ac:dyDescent="0.2">
      <c r="AQ2099" s="32"/>
    </row>
    <row r="2100" spans="43:43" ht="12" customHeight="1" x14ac:dyDescent="0.2">
      <c r="AQ2100" s="32"/>
    </row>
    <row r="2101" spans="43:43" ht="12" customHeight="1" x14ac:dyDescent="0.2">
      <c r="AQ2101" s="32"/>
    </row>
    <row r="2102" spans="43:43" ht="12" customHeight="1" x14ac:dyDescent="0.2">
      <c r="AQ2102" s="32"/>
    </row>
    <row r="2103" spans="43:43" ht="12" customHeight="1" x14ac:dyDescent="0.2">
      <c r="AQ2103" s="32"/>
    </row>
    <row r="2104" spans="43:43" ht="12" customHeight="1" x14ac:dyDescent="0.2">
      <c r="AQ2104" s="32"/>
    </row>
    <row r="2105" spans="43:43" ht="12" customHeight="1" x14ac:dyDescent="0.2">
      <c r="AQ2105" s="32"/>
    </row>
    <row r="2106" spans="43:43" ht="12" customHeight="1" x14ac:dyDescent="0.2">
      <c r="AQ2106" s="32"/>
    </row>
    <row r="2107" spans="43:43" ht="12" customHeight="1" x14ac:dyDescent="0.2">
      <c r="AQ2107" s="32"/>
    </row>
    <row r="2108" spans="43:43" ht="12" customHeight="1" x14ac:dyDescent="0.2">
      <c r="AQ2108" s="32"/>
    </row>
    <row r="2109" spans="43:43" ht="12" customHeight="1" x14ac:dyDescent="0.2">
      <c r="AQ2109" s="32"/>
    </row>
    <row r="2110" spans="43:43" ht="12" customHeight="1" x14ac:dyDescent="0.2">
      <c r="AQ2110" s="32"/>
    </row>
    <row r="2111" spans="43:43" ht="12" customHeight="1" x14ac:dyDescent="0.2">
      <c r="AQ2111" s="32"/>
    </row>
    <row r="2112" spans="43:43" ht="12" customHeight="1" x14ac:dyDescent="0.2">
      <c r="AQ2112" s="32"/>
    </row>
    <row r="2113" spans="43:43" ht="12" customHeight="1" x14ac:dyDescent="0.2">
      <c r="AQ2113" s="32"/>
    </row>
    <row r="2114" spans="43:43" ht="12" customHeight="1" x14ac:dyDescent="0.2">
      <c r="AQ2114" s="32"/>
    </row>
    <row r="2115" spans="43:43" ht="12" customHeight="1" x14ac:dyDescent="0.2">
      <c r="AQ2115" s="32"/>
    </row>
    <row r="2116" spans="43:43" ht="12" customHeight="1" x14ac:dyDescent="0.2">
      <c r="AQ2116" s="32"/>
    </row>
    <row r="2117" spans="43:43" ht="12" customHeight="1" x14ac:dyDescent="0.2">
      <c r="AQ2117" s="32"/>
    </row>
    <row r="2118" spans="43:43" ht="12" customHeight="1" x14ac:dyDescent="0.2">
      <c r="AQ2118" s="32"/>
    </row>
    <row r="2119" spans="43:43" ht="12" customHeight="1" x14ac:dyDescent="0.2">
      <c r="AQ2119" s="32"/>
    </row>
    <row r="2120" spans="43:43" ht="12" customHeight="1" x14ac:dyDescent="0.2">
      <c r="AQ2120" s="32"/>
    </row>
    <row r="2121" spans="43:43" ht="12" customHeight="1" x14ac:dyDescent="0.2">
      <c r="AQ2121" s="32"/>
    </row>
    <row r="2122" spans="43:43" ht="12" customHeight="1" x14ac:dyDescent="0.2">
      <c r="AQ2122" s="32"/>
    </row>
    <row r="2123" spans="43:43" ht="12" customHeight="1" x14ac:dyDescent="0.2">
      <c r="AQ2123" s="32"/>
    </row>
    <row r="2124" spans="43:43" ht="12" customHeight="1" x14ac:dyDescent="0.2">
      <c r="AQ2124" s="32"/>
    </row>
    <row r="2125" spans="43:43" ht="12" customHeight="1" x14ac:dyDescent="0.2">
      <c r="AQ2125" s="32"/>
    </row>
    <row r="2126" spans="43:43" ht="12" customHeight="1" x14ac:dyDescent="0.2">
      <c r="AQ2126" s="32"/>
    </row>
    <row r="2127" spans="43:43" ht="12" customHeight="1" x14ac:dyDescent="0.2">
      <c r="AQ2127" s="32"/>
    </row>
    <row r="2128" spans="43:43" ht="12" customHeight="1" x14ac:dyDescent="0.2">
      <c r="AQ2128" s="32"/>
    </row>
    <row r="2129" spans="43:43" ht="12" customHeight="1" x14ac:dyDescent="0.2">
      <c r="AQ2129" s="32"/>
    </row>
    <row r="2130" spans="43:43" ht="12" customHeight="1" x14ac:dyDescent="0.2">
      <c r="AQ2130" s="32"/>
    </row>
    <row r="2131" spans="43:43" ht="12" customHeight="1" x14ac:dyDescent="0.2">
      <c r="AQ2131" s="32"/>
    </row>
    <row r="2132" spans="43:43" ht="12" customHeight="1" x14ac:dyDescent="0.2">
      <c r="AQ2132" s="32"/>
    </row>
    <row r="2133" spans="43:43" ht="12" customHeight="1" x14ac:dyDescent="0.2">
      <c r="AQ2133" s="32"/>
    </row>
    <row r="2134" spans="43:43" ht="12" customHeight="1" x14ac:dyDescent="0.2">
      <c r="AQ2134" s="32"/>
    </row>
    <row r="2135" spans="43:43" ht="12" customHeight="1" x14ac:dyDescent="0.2">
      <c r="AQ2135" s="32"/>
    </row>
    <row r="2136" spans="43:43" ht="12" customHeight="1" x14ac:dyDescent="0.2">
      <c r="AQ2136" s="32"/>
    </row>
    <row r="2137" spans="43:43" ht="12" customHeight="1" x14ac:dyDescent="0.2">
      <c r="AQ2137" s="32"/>
    </row>
    <row r="2138" spans="43:43" ht="12" customHeight="1" x14ac:dyDescent="0.2">
      <c r="AQ2138" s="32"/>
    </row>
    <row r="2139" spans="43:43" ht="12" customHeight="1" x14ac:dyDescent="0.2">
      <c r="AQ2139" s="32"/>
    </row>
    <row r="2140" spans="43:43" ht="12" customHeight="1" x14ac:dyDescent="0.2">
      <c r="AQ2140" s="32"/>
    </row>
    <row r="2141" spans="43:43" ht="12" customHeight="1" x14ac:dyDescent="0.2">
      <c r="AQ2141" s="32"/>
    </row>
    <row r="2142" spans="43:43" ht="12" customHeight="1" x14ac:dyDescent="0.2">
      <c r="AQ2142" s="32"/>
    </row>
    <row r="2143" spans="43:43" ht="12" customHeight="1" x14ac:dyDescent="0.2">
      <c r="AQ2143" s="32"/>
    </row>
    <row r="2144" spans="43:43" ht="12" customHeight="1" x14ac:dyDescent="0.2">
      <c r="AQ2144" s="32"/>
    </row>
    <row r="2145" spans="43:43" ht="12" customHeight="1" x14ac:dyDescent="0.2">
      <c r="AQ2145" s="32"/>
    </row>
    <row r="2146" spans="43:43" ht="12" customHeight="1" x14ac:dyDescent="0.2">
      <c r="AQ2146" s="32"/>
    </row>
    <row r="2147" spans="43:43" ht="12" customHeight="1" x14ac:dyDescent="0.2">
      <c r="AQ2147" s="32"/>
    </row>
    <row r="2148" spans="43:43" ht="12" customHeight="1" x14ac:dyDescent="0.2">
      <c r="AQ2148" s="32"/>
    </row>
    <row r="2149" spans="43:43" ht="12" customHeight="1" x14ac:dyDescent="0.2">
      <c r="AQ2149" s="32"/>
    </row>
    <row r="2150" spans="43:43" ht="12" customHeight="1" x14ac:dyDescent="0.2">
      <c r="AQ2150" s="32"/>
    </row>
    <row r="2151" spans="43:43" ht="12" customHeight="1" x14ac:dyDescent="0.2">
      <c r="AQ2151" s="32"/>
    </row>
    <row r="2152" spans="43:43" ht="12" customHeight="1" x14ac:dyDescent="0.2">
      <c r="AQ2152" s="32"/>
    </row>
    <row r="2153" spans="43:43" ht="12" customHeight="1" x14ac:dyDescent="0.2">
      <c r="AQ2153" s="32"/>
    </row>
    <row r="2154" spans="43:43" ht="12" customHeight="1" x14ac:dyDescent="0.2">
      <c r="AQ2154" s="32"/>
    </row>
    <row r="2155" spans="43:43" ht="12" customHeight="1" x14ac:dyDescent="0.2">
      <c r="AQ2155" s="32"/>
    </row>
    <row r="2156" spans="43:43" ht="12" customHeight="1" x14ac:dyDescent="0.2">
      <c r="AQ2156" s="32"/>
    </row>
    <row r="2157" spans="43:43" ht="12" customHeight="1" x14ac:dyDescent="0.2">
      <c r="AQ2157" s="32"/>
    </row>
    <row r="2158" spans="43:43" ht="12" customHeight="1" x14ac:dyDescent="0.2">
      <c r="AQ2158" s="32"/>
    </row>
    <row r="2159" spans="43:43" ht="12" customHeight="1" x14ac:dyDescent="0.2">
      <c r="AQ2159" s="32"/>
    </row>
    <row r="2160" spans="43:43" ht="12" customHeight="1" x14ac:dyDescent="0.2">
      <c r="AQ2160" s="32"/>
    </row>
    <row r="2161" spans="43:43" ht="12" customHeight="1" x14ac:dyDescent="0.2">
      <c r="AQ2161" s="32"/>
    </row>
    <row r="2162" spans="43:43" ht="12" customHeight="1" x14ac:dyDescent="0.2">
      <c r="AQ2162" s="32"/>
    </row>
    <row r="2163" spans="43:43" ht="12" customHeight="1" x14ac:dyDescent="0.2">
      <c r="AQ2163" s="32"/>
    </row>
    <row r="2164" spans="43:43" ht="12" customHeight="1" x14ac:dyDescent="0.2">
      <c r="AQ2164" s="32"/>
    </row>
    <row r="2165" spans="43:43" ht="12" customHeight="1" x14ac:dyDescent="0.2">
      <c r="AQ2165" s="32"/>
    </row>
    <row r="2166" spans="43:43" ht="12" customHeight="1" x14ac:dyDescent="0.2">
      <c r="AQ2166" s="32"/>
    </row>
    <row r="2167" spans="43:43" ht="12" customHeight="1" x14ac:dyDescent="0.2">
      <c r="AQ2167" s="32"/>
    </row>
    <row r="2168" spans="43:43" ht="12" customHeight="1" x14ac:dyDescent="0.2">
      <c r="AQ2168" s="32"/>
    </row>
    <row r="2169" spans="43:43" ht="12" customHeight="1" x14ac:dyDescent="0.2">
      <c r="AQ2169" s="32"/>
    </row>
    <row r="2170" spans="43:43" ht="12" customHeight="1" x14ac:dyDescent="0.2">
      <c r="AQ2170" s="32"/>
    </row>
    <row r="2171" spans="43:43" ht="12" customHeight="1" x14ac:dyDescent="0.2">
      <c r="AQ2171" s="32"/>
    </row>
    <row r="2172" spans="43:43" ht="12" customHeight="1" x14ac:dyDescent="0.2">
      <c r="AQ2172" s="32"/>
    </row>
    <row r="2173" spans="43:43" ht="12" customHeight="1" x14ac:dyDescent="0.2">
      <c r="AQ2173" s="32"/>
    </row>
    <row r="2174" spans="43:43" ht="12" customHeight="1" x14ac:dyDescent="0.2">
      <c r="AQ2174" s="32"/>
    </row>
    <row r="2175" spans="43:43" ht="12" customHeight="1" x14ac:dyDescent="0.2">
      <c r="AQ2175" s="32"/>
    </row>
    <row r="2176" spans="43:43" ht="12" customHeight="1" x14ac:dyDescent="0.2">
      <c r="AQ2176" s="32"/>
    </row>
    <row r="2177" spans="43:43" ht="12" customHeight="1" x14ac:dyDescent="0.2">
      <c r="AQ2177" s="32"/>
    </row>
    <row r="2178" spans="43:43" ht="12" customHeight="1" x14ac:dyDescent="0.2">
      <c r="AQ2178" s="32"/>
    </row>
    <row r="2179" spans="43:43" ht="12" customHeight="1" x14ac:dyDescent="0.2">
      <c r="AQ2179" s="32"/>
    </row>
    <row r="2180" spans="43:43" ht="12" customHeight="1" x14ac:dyDescent="0.2">
      <c r="AQ2180" s="32"/>
    </row>
    <row r="2181" spans="43:43" ht="12" customHeight="1" x14ac:dyDescent="0.2">
      <c r="AQ2181" s="32"/>
    </row>
    <row r="2182" spans="43:43" ht="12" customHeight="1" x14ac:dyDescent="0.2">
      <c r="AQ2182" s="32"/>
    </row>
    <row r="2183" spans="43:43" ht="12" customHeight="1" x14ac:dyDescent="0.2">
      <c r="AQ2183" s="32"/>
    </row>
    <row r="2184" spans="43:43" ht="12" customHeight="1" x14ac:dyDescent="0.2">
      <c r="AQ2184" s="32"/>
    </row>
    <row r="2185" spans="43:43" ht="12" customHeight="1" x14ac:dyDescent="0.2">
      <c r="AQ2185" s="32"/>
    </row>
    <row r="2186" spans="43:43" ht="12" customHeight="1" x14ac:dyDescent="0.2">
      <c r="AQ2186" s="32"/>
    </row>
    <row r="2187" spans="43:43" ht="12" customHeight="1" x14ac:dyDescent="0.2">
      <c r="AQ2187" s="32"/>
    </row>
    <row r="2188" spans="43:43" ht="12" customHeight="1" x14ac:dyDescent="0.2">
      <c r="AQ2188" s="32"/>
    </row>
    <row r="2189" spans="43:43" ht="12" customHeight="1" x14ac:dyDescent="0.2">
      <c r="AQ2189" s="32"/>
    </row>
    <row r="2190" spans="43:43" ht="12" customHeight="1" x14ac:dyDescent="0.2">
      <c r="AQ2190" s="32"/>
    </row>
    <row r="2191" spans="43:43" ht="12" customHeight="1" x14ac:dyDescent="0.2">
      <c r="AQ2191" s="32"/>
    </row>
    <row r="2192" spans="43:43" ht="12" customHeight="1" x14ac:dyDescent="0.2">
      <c r="AQ2192" s="32"/>
    </row>
    <row r="2193" spans="43:43" ht="12" customHeight="1" x14ac:dyDescent="0.2">
      <c r="AQ2193" s="32"/>
    </row>
    <row r="2194" spans="43:43" ht="12" customHeight="1" x14ac:dyDescent="0.2">
      <c r="AQ2194" s="32"/>
    </row>
    <row r="2195" spans="43:43" ht="12" customHeight="1" x14ac:dyDescent="0.2">
      <c r="AQ2195" s="32"/>
    </row>
    <row r="2196" spans="43:43" ht="12" customHeight="1" x14ac:dyDescent="0.2">
      <c r="AQ2196" s="32"/>
    </row>
    <row r="2197" spans="43:43" ht="12" customHeight="1" x14ac:dyDescent="0.2">
      <c r="AQ2197" s="32"/>
    </row>
    <row r="2198" spans="43:43" ht="12" customHeight="1" x14ac:dyDescent="0.2">
      <c r="AQ2198" s="32"/>
    </row>
    <row r="2199" spans="43:43" ht="12" customHeight="1" x14ac:dyDescent="0.2">
      <c r="AQ2199" s="32"/>
    </row>
    <row r="2200" spans="43:43" ht="12" customHeight="1" x14ac:dyDescent="0.2">
      <c r="AQ2200" s="32"/>
    </row>
    <row r="2201" spans="43:43" ht="12" customHeight="1" x14ac:dyDescent="0.2">
      <c r="AQ2201" s="32"/>
    </row>
    <row r="2202" spans="43:43" ht="12" customHeight="1" x14ac:dyDescent="0.2">
      <c r="AQ2202" s="32"/>
    </row>
    <row r="2203" spans="43:43" ht="12" customHeight="1" x14ac:dyDescent="0.2">
      <c r="AQ2203" s="32"/>
    </row>
    <row r="2204" spans="43:43" ht="12" customHeight="1" x14ac:dyDescent="0.2">
      <c r="AQ2204" s="32"/>
    </row>
    <row r="2205" spans="43:43" ht="12" customHeight="1" x14ac:dyDescent="0.2">
      <c r="AQ2205" s="32"/>
    </row>
    <row r="2206" spans="43:43" ht="12" customHeight="1" x14ac:dyDescent="0.2">
      <c r="AQ2206" s="32"/>
    </row>
    <row r="2207" spans="43:43" ht="12" customHeight="1" x14ac:dyDescent="0.2">
      <c r="AQ2207" s="32"/>
    </row>
    <row r="2208" spans="43:43" ht="12" customHeight="1" x14ac:dyDescent="0.2">
      <c r="AQ2208" s="32"/>
    </row>
    <row r="2209" spans="43:43" ht="12" customHeight="1" x14ac:dyDescent="0.2">
      <c r="AQ2209" s="32"/>
    </row>
    <row r="2210" spans="43:43" ht="12" customHeight="1" x14ac:dyDescent="0.2">
      <c r="AQ2210" s="32"/>
    </row>
    <row r="2211" spans="43:43" ht="12" customHeight="1" x14ac:dyDescent="0.2">
      <c r="AQ2211" s="32"/>
    </row>
    <row r="2212" spans="43:43" ht="12" customHeight="1" x14ac:dyDescent="0.2">
      <c r="AQ2212" s="32"/>
    </row>
    <row r="2213" spans="43:43" ht="12" customHeight="1" x14ac:dyDescent="0.2">
      <c r="AQ2213" s="32"/>
    </row>
    <row r="2214" spans="43:43" ht="12" customHeight="1" x14ac:dyDescent="0.2">
      <c r="AQ2214" s="32"/>
    </row>
    <row r="2215" spans="43:43" ht="12" customHeight="1" x14ac:dyDescent="0.2">
      <c r="AQ2215" s="32"/>
    </row>
    <row r="2216" spans="43:43" ht="12" customHeight="1" x14ac:dyDescent="0.2">
      <c r="AQ2216" s="32"/>
    </row>
    <row r="2217" spans="43:43" ht="12" customHeight="1" x14ac:dyDescent="0.2">
      <c r="AQ2217" s="32"/>
    </row>
    <row r="2218" spans="43:43" ht="12" customHeight="1" x14ac:dyDescent="0.2">
      <c r="AQ2218" s="32"/>
    </row>
    <row r="2219" spans="43:43" ht="12" customHeight="1" x14ac:dyDescent="0.2">
      <c r="AQ2219" s="32"/>
    </row>
    <row r="2220" spans="43:43" ht="12" customHeight="1" x14ac:dyDescent="0.2">
      <c r="AQ2220" s="32"/>
    </row>
    <row r="2221" spans="43:43" ht="12" customHeight="1" x14ac:dyDescent="0.2">
      <c r="AQ2221" s="32"/>
    </row>
    <row r="2222" spans="43:43" ht="12" customHeight="1" x14ac:dyDescent="0.2">
      <c r="AQ2222" s="32"/>
    </row>
    <row r="2223" spans="43:43" ht="12" customHeight="1" x14ac:dyDescent="0.2">
      <c r="AQ2223" s="32"/>
    </row>
    <row r="2224" spans="43:43" ht="12" customHeight="1" x14ac:dyDescent="0.2">
      <c r="AQ2224" s="32"/>
    </row>
    <row r="2225" spans="43:43" ht="12" customHeight="1" x14ac:dyDescent="0.2">
      <c r="AQ2225" s="32"/>
    </row>
    <row r="2226" spans="43:43" ht="12" customHeight="1" x14ac:dyDescent="0.2">
      <c r="AQ2226" s="32"/>
    </row>
    <row r="2227" spans="43:43" ht="12" customHeight="1" x14ac:dyDescent="0.2">
      <c r="AQ2227" s="32"/>
    </row>
    <row r="2228" spans="43:43" ht="12" customHeight="1" x14ac:dyDescent="0.2">
      <c r="AQ2228" s="32"/>
    </row>
    <row r="2229" spans="43:43" ht="12" customHeight="1" x14ac:dyDescent="0.2">
      <c r="AQ2229" s="32"/>
    </row>
    <row r="2230" spans="43:43" ht="12" customHeight="1" x14ac:dyDescent="0.2">
      <c r="AQ2230" s="32"/>
    </row>
    <row r="2231" spans="43:43" ht="12" customHeight="1" x14ac:dyDescent="0.2">
      <c r="AQ2231" s="32"/>
    </row>
    <row r="2232" spans="43:43" ht="12" customHeight="1" x14ac:dyDescent="0.2">
      <c r="AQ2232" s="32"/>
    </row>
    <row r="2233" spans="43:43" ht="12" customHeight="1" x14ac:dyDescent="0.2">
      <c r="AQ2233" s="32"/>
    </row>
    <row r="2234" spans="43:43" ht="12" customHeight="1" x14ac:dyDescent="0.2">
      <c r="AQ2234" s="32"/>
    </row>
    <row r="2235" spans="43:43" ht="12" customHeight="1" x14ac:dyDescent="0.2">
      <c r="AQ2235" s="32"/>
    </row>
    <row r="2236" spans="43:43" ht="12" customHeight="1" x14ac:dyDescent="0.2">
      <c r="AQ2236" s="32"/>
    </row>
    <row r="2237" spans="43:43" ht="12" customHeight="1" x14ac:dyDescent="0.2">
      <c r="AQ2237" s="32"/>
    </row>
    <row r="2238" spans="43:43" ht="12" customHeight="1" x14ac:dyDescent="0.2">
      <c r="AQ2238" s="32"/>
    </row>
    <row r="2239" spans="43:43" ht="12" customHeight="1" x14ac:dyDescent="0.2">
      <c r="AQ2239" s="32"/>
    </row>
    <row r="2240" spans="43:43" ht="12" customHeight="1" x14ac:dyDescent="0.2">
      <c r="AQ2240" s="32"/>
    </row>
    <row r="2241" spans="43:43" ht="12" customHeight="1" x14ac:dyDescent="0.2">
      <c r="AQ2241" s="32"/>
    </row>
    <row r="2242" spans="43:43" ht="12" customHeight="1" x14ac:dyDescent="0.2">
      <c r="AQ2242" s="32"/>
    </row>
    <row r="2243" spans="43:43" ht="12" customHeight="1" x14ac:dyDescent="0.2">
      <c r="AQ2243" s="32"/>
    </row>
    <row r="2244" spans="43:43" ht="12" customHeight="1" x14ac:dyDescent="0.2">
      <c r="AQ2244" s="32"/>
    </row>
    <row r="2245" spans="43:43" ht="12" customHeight="1" x14ac:dyDescent="0.2">
      <c r="AQ2245" s="32"/>
    </row>
    <row r="2246" spans="43:43" ht="12" customHeight="1" x14ac:dyDescent="0.2">
      <c r="AQ2246" s="32"/>
    </row>
    <row r="2247" spans="43:43" ht="12" customHeight="1" x14ac:dyDescent="0.2">
      <c r="AQ2247" s="32"/>
    </row>
    <row r="2248" spans="43:43" ht="12" customHeight="1" x14ac:dyDescent="0.2">
      <c r="AQ2248" s="32"/>
    </row>
    <row r="2249" spans="43:43" ht="12" customHeight="1" x14ac:dyDescent="0.2">
      <c r="AQ2249" s="32"/>
    </row>
    <row r="2250" spans="43:43" ht="12" customHeight="1" x14ac:dyDescent="0.2">
      <c r="AQ2250" s="32"/>
    </row>
    <row r="2251" spans="43:43" ht="12" customHeight="1" x14ac:dyDescent="0.2">
      <c r="AQ2251" s="32"/>
    </row>
    <row r="2252" spans="43:43" ht="12" customHeight="1" x14ac:dyDescent="0.2">
      <c r="AQ2252" s="32"/>
    </row>
    <row r="2253" spans="43:43" ht="12" customHeight="1" x14ac:dyDescent="0.2">
      <c r="AQ2253" s="32"/>
    </row>
    <row r="2254" spans="43:43" ht="12" customHeight="1" x14ac:dyDescent="0.2">
      <c r="AQ2254" s="32"/>
    </row>
    <row r="2255" spans="43:43" ht="12" customHeight="1" x14ac:dyDescent="0.2">
      <c r="AQ2255" s="32"/>
    </row>
    <row r="2256" spans="43:43" ht="12" customHeight="1" x14ac:dyDescent="0.2">
      <c r="AQ2256" s="32"/>
    </row>
    <row r="2257" spans="43:43" ht="12" customHeight="1" x14ac:dyDescent="0.2">
      <c r="AQ2257" s="32"/>
    </row>
    <row r="2258" spans="43:43" ht="12" customHeight="1" x14ac:dyDescent="0.2">
      <c r="AQ2258" s="32"/>
    </row>
    <row r="2259" spans="43:43" ht="12" customHeight="1" x14ac:dyDescent="0.2">
      <c r="AQ2259" s="32"/>
    </row>
    <row r="2260" spans="43:43" ht="12" customHeight="1" x14ac:dyDescent="0.2">
      <c r="AQ2260" s="32"/>
    </row>
    <row r="2261" spans="43:43" ht="12" customHeight="1" x14ac:dyDescent="0.2">
      <c r="AQ2261" s="32"/>
    </row>
    <row r="2262" spans="43:43" ht="12" customHeight="1" x14ac:dyDescent="0.2">
      <c r="AQ2262" s="32"/>
    </row>
    <row r="2263" spans="43:43" ht="12" customHeight="1" x14ac:dyDescent="0.2">
      <c r="AQ2263" s="32"/>
    </row>
    <row r="2264" spans="43:43" ht="12" customHeight="1" x14ac:dyDescent="0.2">
      <c r="AQ2264" s="32"/>
    </row>
    <row r="2265" spans="43:43" ht="12" customHeight="1" x14ac:dyDescent="0.2">
      <c r="AQ2265" s="32"/>
    </row>
    <row r="2266" spans="43:43" ht="12" customHeight="1" x14ac:dyDescent="0.2">
      <c r="AQ2266" s="32"/>
    </row>
    <row r="2267" spans="43:43" ht="12" customHeight="1" x14ac:dyDescent="0.2">
      <c r="AQ2267" s="32"/>
    </row>
    <row r="2268" spans="43:43" ht="12" customHeight="1" x14ac:dyDescent="0.2">
      <c r="AQ2268" s="32"/>
    </row>
    <row r="2269" spans="43:43" ht="12" customHeight="1" x14ac:dyDescent="0.2">
      <c r="AQ2269" s="32"/>
    </row>
    <row r="2270" spans="43:43" ht="12" customHeight="1" x14ac:dyDescent="0.2">
      <c r="AQ2270" s="32"/>
    </row>
    <row r="2271" spans="43:43" ht="12" customHeight="1" x14ac:dyDescent="0.2">
      <c r="AQ2271" s="32"/>
    </row>
    <row r="2272" spans="43:43" ht="12" customHeight="1" x14ac:dyDescent="0.2">
      <c r="AQ2272" s="32"/>
    </row>
    <row r="2273" spans="43:43" ht="12" customHeight="1" x14ac:dyDescent="0.2">
      <c r="AQ2273" s="32"/>
    </row>
    <row r="2274" spans="43:43" ht="12" customHeight="1" x14ac:dyDescent="0.2">
      <c r="AQ2274" s="32"/>
    </row>
    <row r="2275" spans="43:43" ht="12" customHeight="1" x14ac:dyDescent="0.2">
      <c r="AQ2275" s="32"/>
    </row>
    <row r="2276" spans="43:43" ht="12" customHeight="1" x14ac:dyDescent="0.2">
      <c r="AQ2276" s="32"/>
    </row>
    <row r="2277" spans="43:43" ht="12" customHeight="1" x14ac:dyDescent="0.2">
      <c r="AQ2277" s="32"/>
    </row>
    <row r="2278" spans="43:43" ht="12" customHeight="1" x14ac:dyDescent="0.2">
      <c r="AQ2278" s="32"/>
    </row>
    <row r="2279" spans="43:43" ht="12" customHeight="1" x14ac:dyDescent="0.2">
      <c r="AQ2279" s="32"/>
    </row>
    <row r="2280" spans="43:43" ht="12" customHeight="1" x14ac:dyDescent="0.2">
      <c r="AQ2280" s="32"/>
    </row>
    <row r="2281" spans="43:43" ht="12" customHeight="1" x14ac:dyDescent="0.2">
      <c r="AQ2281" s="32"/>
    </row>
    <row r="2282" spans="43:43" ht="12" customHeight="1" x14ac:dyDescent="0.2">
      <c r="AQ2282" s="32"/>
    </row>
    <row r="2283" spans="43:43" ht="12" customHeight="1" x14ac:dyDescent="0.2">
      <c r="AQ2283" s="32"/>
    </row>
    <row r="2284" spans="43:43" ht="12" customHeight="1" x14ac:dyDescent="0.2">
      <c r="AQ2284" s="32"/>
    </row>
    <row r="2285" spans="43:43" ht="12" customHeight="1" x14ac:dyDescent="0.2">
      <c r="AQ2285" s="32"/>
    </row>
    <row r="2286" spans="43:43" ht="12" customHeight="1" x14ac:dyDescent="0.2">
      <c r="AQ2286" s="32"/>
    </row>
    <row r="2287" spans="43:43" ht="12" customHeight="1" x14ac:dyDescent="0.2">
      <c r="AQ2287" s="32"/>
    </row>
    <row r="2288" spans="43:43" ht="12" customHeight="1" x14ac:dyDescent="0.2">
      <c r="AQ2288" s="32"/>
    </row>
    <row r="2289" spans="43:43" ht="12" customHeight="1" x14ac:dyDescent="0.2">
      <c r="AQ2289" s="32"/>
    </row>
    <row r="2290" spans="43:43" ht="12" customHeight="1" x14ac:dyDescent="0.2">
      <c r="AQ2290" s="32"/>
    </row>
    <row r="2291" spans="43:43" ht="12" customHeight="1" x14ac:dyDescent="0.2">
      <c r="AQ2291" s="32"/>
    </row>
    <row r="2292" spans="43:43" ht="12" customHeight="1" x14ac:dyDescent="0.2">
      <c r="AQ2292" s="32"/>
    </row>
    <row r="2293" spans="43:43" ht="12" customHeight="1" x14ac:dyDescent="0.2">
      <c r="AQ2293" s="32"/>
    </row>
    <row r="2294" spans="43:43" ht="12" customHeight="1" x14ac:dyDescent="0.2">
      <c r="AQ2294" s="32"/>
    </row>
    <row r="2295" spans="43:43" ht="12" customHeight="1" x14ac:dyDescent="0.2">
      <c r="AQ2295" s="32"/>
    </row>
    <row r="2296" spans="43:43" ht="12" customHeight="1" x14ac:dyDescent="0.2">
      <c r="AQ2296" s="32"/>
    </row>
    <row r="2297" spans="43:43" ht="12" customHeight="1" x14ac:dyDescent="0.2">
      <c r="AQ2297" s="32"/>
    </row>
    <row r="2298" spans="43:43" ht="12" customHeight="1" x14ac:dyDescent="0.2">
      <c r="AQ2298" s="32"/>
    </row>
    <row r="2299" spans="43:43" ht="12" customHeight="1" x14ac:dyDescent="0.2">
      <c r="AQ2299" s="32"/>
    </row>
    <row r="2300" spans="43:43" ht="12" customHeight="1" x14ac:dyDescent="0.2">
      <c r="AQ2300" s="32"/>
    </row>
    <row r="2301" spans="43:43" ht="12" customHeight="1" x14ac:dyDescent="0.2">
      <c r="AQ2301" s="32"/>
    </row>
    <row r="2302" spans="43:43" ht="12" customHeight="1" x14ac:dyDescent="0.2">
      <c r="AQ2302" s="32"/>
    </row>
    <row r="2303" spans="43:43" ht="12" customHeight="1" x14ac:dyDescent="0.2">
      <c r="AQ2303" s="32"/>
    </row>
    <row r="2304" spans="43:43" ht="12" customHeight="1" x14ac:dyDescent="0.2">
      <c r="AQ2304" s="32"/>
    </row>
    <row r="2305" spans="43:43" ht="12" customHeight="1" x14ac:dyDescent="0.2">
      <c r="AQ2305" s="32"/>
    </row>
    <row r="2306" spans="43:43" ht="12" customHeight="1" x14ac:dyDescent="0.2">
      <c r="AQ2306" s="32"/>
    </row>
    <row r="2307" spans="43:43" ht="12" customHeight="1" x14ac:dyDescent="0.2">
      <c r="AQ2307" s="32"/>
    </row>
    <row r="2308" spans="43:43" ht="12" customHeight="1" x14ac:dyDescent="0.2">
      <c r="AQ2308" s="32"/>
    </row>
    <row r="2309" spans="43:43" ht="12" customHeight="1" x14ac:dyDescent="0.2">
      <c r="AQ2309" s="32"/>
    </row>
    <row r="2310" spans="43:43" ht="12" customHeight="1" x14ac:dyDescent="0.2">
      <c r="AQ2310" s="32"/>
    </row>
    <row r="2311" spans="43:43" ht="12" customHeight="1" x14ac:dyDescent="0.2">
      <c r="AQ2311" s="32"/>
    </row>
    <row r="2312" spans="43:43" ht="12" customHeight="1" x14ac:dyDescent="0.2">
      <c r="AQ2312" s="32"/>
    </row>
    <row r="2313" spans="43:43" ht="12" customHeight="1" x14ac:dyDescent="0.2">
      <c r="AQ2313" s="32"/>
    </row>
    <row r="2314" spans="43:43" ht="12" customHeight="1" x14ac:dyDescent="0.2">
      <c r="AQ2314" s="32"/>
    </row>
    <row r="2315" spans="43:43" ht="12" customHeight="1" x14ac:dyDescent="0.2">
      <c r="AQ2315" s="32"/>
    </row>
    <row r="2316" spans="43:43" ht="12" customHeight="1" x14ac:dyDescent="0.2">
      <c r="AQ2316" s="32"/>
    </row>
    <row r="2317" spans="43:43" ht="12" customHeight="1" x14ac:dyDescent="0.2">
      <c r="AQ2317" s="32"/>
    </row>
    <row r="2318" spans="43:43" ht="12" customHeight="1" x14ac:dyDescent="0.2">
      <c r="AQ2318" s="32"/>
    </row>
    <row r="2319" spans="43:43" ht="12" customHeight="1" x14ac:dyDescent="0.2">
      <c r="AQ2319" s="32"/>
    </row>
    <row r="2320" spans="43:43" ht="12" customHeight="1" x14ac:dyDescent="0.2">
      <c r="AQ2320" s="32"/>
    </row>
    <row r="2321" spans="43:43" ht="12" customHeight="1" x14ac:dyDescent="0.2">
      <c r="AQ2321" s="32"/>
    </row>
    <row r="2322" spans="43:43" ht="12" customHeight="1" x14ac:dyDescent="0.2">
      <c r="AQ2322" s="32"/>
    </row>
    <row r="2323" spans="43:43" ht="12" customHeight="1" x14ac:dyDescent="0.2">
      <c r="AQ2323" s="32"/>
    </row>
    <row r="2324" spans="43:43" ht="12" customHeight="1" x14ac:dyDescent="0.2">
      <c r="AQ2324" s="32"/>
    </row>
    <row r="2325" spans="43:43" ht="12" customHeight="1" x14ac:dyDescent="0.2">
      <c r="AQ2325" s="32"/>
    </row>
    <row r="2326" spans="43:43" ht="12" customHeight="1" x14ac:dyDescent="0.2">
      <c r="AQ2326" s="32"/>
    </row>
    <row r="2327" spans="43:43" ht="12" customHeight="1" x14ac:dyDescent="0.2">
      <c r="AQ2327" s="32"/>
    </row>
    <row r="2328" spans="43:43" ht="12" customHeight="1" x14ac:dyDescent="0.2">
      <c r="AQ2328" s="32"/>
    </row>
    <row r="2329" spans="43:43" ht="12" customHeight="1" x14ac:dyDescent="0.2">
      <c r="AQ2329" s="32"/>
    </row>
    <row r="2330" spans="43:43" ht="12" customHeight="1" x14ac:dyDescent="0.2">
      <c r="AQ2330" s="32"/>
    </row>
    <row r="2331" spans="43:43" ht="12" customHeight="1" x14ac:dyDescent="0.2">
      <c r="AQ2331" s="32"/>
    </row>
    <row r="2332" spans="43:43" ht="12" customHeight="1" x14ac:dyDescent="0.2">
      <c r="AQ2332" s="32"/>
    </row>
    <row r="2333" spans="43:43" ht="12" customHeight="1" x14ac:dyDescent="0.2">
      <c r="AQ2333" s="32"/>
    </row>
    <row r="2334" spans="43:43" ht="12" customHeight="1" x14ac:dyDescent="0.2">
      <c r="AQ2334" s="32"/>
    </row>
    <row r="2335" spans="43:43" ht="12" customHeight="1" x14ac:dyDescent="0.2">
      <c r="AQ2335" s="32"/>
    </row>
    <row r="2336" spans="43:43" ht="12" customHeight="1" x14ac:dyDescent="0.2">
      <c r="AQ2336" s="32"/>
    </row>
    <row r="2337" spans="43:43" ht="12" customHeight="1" x14ac:dyDescent="0.2">
      <c r="AQ2337" s="32"/>
    </row>
    <row r="2338" spans="43:43" ht="12" customHeight="1" x14ac:dyDescent="0.2">
      <c r="AQ2338" s="32"/>
    </row>
    <row r="2339" spans="43:43" ht="12" customHeight="1" x14ac:dyDescent="0.2">
      <c r="AQ2339" s="32"/>
    </row>
    <row r="2340" spans="43:43" ht="12" customHeight="1" x14ac:dyDescent="0.2">
      <c r="AQ2340" s="32"/>
    </row>
    <row r="2341" spans="43:43" ht="12" customHeight="1" x14ac:dyDescent="0.2">
      <c r="AQ2341" s="32"/>
    </row>
    <row r="2342" spans="43:43" ht="12" customHeight="1" x14ac:dyDescent="0.2">
      <c r="AQ2342" s="32"/>
    </row>
    <row r="2343" spans="43:43" ht="12" customHeight="1" x14ac:dyDescent="0.2">
      <c r="AQ2343" s="32"/>
    </row>
    <row r="2344" spans="43:43" ht="12" customHeight="1" x14ac:dyDescent="0.2">
      <c r="AQ2344" s="32"/>
    </row>
    <row r="2345" spans="43:43" ht="12" customHeight="1" x14ac:dyDescent="0.2">
      <c r="AQ2345" s="32"/>
    </row>
    <row r="2346" spans="43:43" ht="12" customHeight="1" x14ac:dyDescent="0.2">
      <c r="AQ2346" s="32"/>
    </row>
    <row r="2347" spans="43:43" ht="12" customHeight="1" x14ac:dyDescent="0.2">
      <c r="AQ2347" s="32"/>
    </row>
    <row r="2348" spans="43:43" ht="12" customHeight="1" x14ac:dyDescent="0.2">
      <c r="AQ2348" s="32"/>
    </row>
    <row r="2349" spans="43:43" ht="12" customHeight="1" x14ac:dyDescent="0.2">
      <c r="AQ2349" s="32"/>
    </row>
    <row r="2350" spans="43:43" ht="12" customHeight="1" x14ac:dyDescent="0.2">
      <c r="AQ2350" s="32"/>
    </row>
    <row r="2351" spans="43:43" ht="12" customHeight="1" x14ac:dyDescent="0.2">
      <c r="AQ2351" s="32"/>
    </row>
    <row r="2352" spans="43:43" ht="12" customHeight="1" x14ac:dyDescent="0.2">
      <c r="AQ2352" s="32"/>
    </row>
    <row r="2353" spans="43:43" ht="12" customHeight="1" x14ac:dyDescent="0.2">
      <c r="AQ2353" s="32"/>
    </row>
    <row r="2354" spans="43:43" ht="12" customHeight="1" x14ac:dyDescent="0.2">
      <c r="AQ2354" s="32"/>
    </row>
    <row r="2355" spans="43:43" ht="12" customHeight="1" x14ac:dyDescent="0.2">
      <c r="AQ2355" s="32"/>
    </row>
    <row r="2356" spans="43:43" ht="12" customHeight="1" x14ac:dyDescent="0.2">
      <c r="AQ2356" s="32"/>
    </row>
    <row r="2357" spans="43:43" ht="12" customHeight="1" x14ac:dyDescent="0.2">
      <c r="AQ2357" s="32"/>
    </row>
    <row r="2358" spans="43:43" ht="12" customHeight="1" x14ac:dyDescent="0.2">
      <c r="AQ2358" s="32"/>
    </row>
    <row r="2359" spans="43:43" ht="12" customHeight="1" x14ac:dyDescent="0.2">
      <c r="AQ2359" s="32"/>
    </row>
    <row r="2360" spans="43:43" ht="12" customHeight="1" x14ac:dyDescent="0.2">
      <c r="AQ2360" s="32"/>
    </row>
    <row r="2361" spans="43:43" ht="12" customHeight="1" x14ac:dyDescent="0.2">
      <c r="AQ2361" s="32"/>
    </row>
    <row r="2362" spans="43:43" ht="12" customHeight="1" x14ac:dyDescent="0.2">
      <c r="AQ2362" s="32"/>
    </row>
    <row r="2363" spans="43:43" ht="12" customHeight="1" x14ac:dyDescent="0.2">
      <c r="AQ2363" s="32"/>
    </row>
    <row r="2364" spans="43:43" ht="12" customHeight="1" x14ac:dyDescent="0.2">
      <c r="AQ2364" s="32"/>
    </row>
    <row r="2365" spans="43:43" ht="12" customHeight="1" x14ac:dyDescent="0.2">
      <c r="AQ2365" s="32"/>
    </row>
    <row r="2366" spans="43:43" ht="12" customHeight="1" x14ac:dyDescent="0.2">
      <c r="AQ2366" s="32"/>
    </row>
    <row r="2367" spans="43:43" ht="12" customHeight="1" x14ac:dyDescent="0.2">
      <c r="AQ2367" s="32"/>
    </row>
    <row r="2368" spans="43:43" ht="12" customHeight="1" x14ac:dyDescent="0.2">
      <c r="AQ2368" s="32"/>
    </row>
    <row r="2369" spans="43:43" ht="12" customHeight="1" x14ac:dyDescent="0.2">
      <c r="AQ2369" s="32"/>
    </row>
    <row r="2370" spans="43:43" ht="12" customHeight="1" x14ac:dyDescent="0.2">
      <c r="AQ2370" s="32"/>
    </row>
    <row r="2371" spans="43:43" ht="12" customHeight="1" x14ac:dyDescent="0.2">
      <c r="AQ2371" s="32"/>
    </row>
    <row r="2372" spans="43:43" ht="12" customHeight="1" x14ac:dyDescent="0.2">
      <c r="AQ2372" s="32"/>
    </row>
    <row r="2373" spans="43:43" ht="12" customHeight="1" x14ac:dyDescent="0.2">
      <c r="AQ2373" s="32"/>
    </row>
    <row r="2374" spans="43:43" ht="12" customHeight="1" x14ac:dyDescent="0.2">
      <c r="AQ2374" s="32"/>
    </row>
    <row r="2375" spans="43:43" ht="12" customHeight="1" x14ac:dyDescent="0.2">
      <c r="AQ2375" s="32"/>
    </row>
    <row r="2376" spans="43:43" ht="12" customHeight="1" x14ac:dyDescent="0.2">
      <c r="AQ2376" s="32"/>
    </row>
    <row r="2377" spans="43:43" ht="12" customHeight="1" x14ac:dyDescent="0.2">
      <c r="AQ2377" s="32"/>
    </row>
    <row r="2378" spans="43:43" ht="12" customHeight="1" x14ac:dyDescent="0.2">
      <c r="AQ2378" s="32"/>
    </row>
    <row r="2379" spans="43:43" ht="12" customHeight="1" x14ac:dyDescent="0.2">
      <c r="AQ2379" s="32"/>
    </row>
    <row r="2380" spans="43:43" ht="12" customHeight="1" x14ac:dyDescent="0.2">
      <c r="AQ2380" s="32"/>
    </row>
    <row r="2381" spans="43:43" ht="12" customHeight="1" x14ac:dyDescent="0.2">
      <c r="AQ2381" s="32"/>
    </row>
    <row r="2382" spans="43:43" ht="12" customHeight="1" x14ac:dyDescent="0.2">
      <c r="AQ2382" s="32"/>
    </row>
    <row r="2383" spans="43:43" ht="12" customHeight="1" x14ac:dyDescent="0.2">
      <c r="AQ2383" s="32"/>
    </row>
    <row r="2384" spans="43:43" ht="12" customHeight="1" x14ac:dyDescent="0.2">
      <c r="AQ2384" s="32"/>
    </row>
    <row r="2385" spans="43:43" ht="12" customHeight="1" x14ac:dyDescent="0.2">
      <c r="AQ2385" s="32"/>
    </row>
    <row r="2386" spans="43:43" ht="12" customHeight="1" x14ac:dyDescent="0.2">
      <c r="AQ2386" s="32"/>
    </row>
    <row r="2387" spans="43:43" ht="12" customHeight="1" x14ac:dyDescent="0.2">
      <c r="AQ2387" s="32"/>
    </row>
    <row r="2388" spans="43:43" ht="12" customHeight="1" x14ac:dyDescent="0.2">
      <c r="AQ2388" s="32"/>
    </row>
    <row r="2389" spans="43:43" ht="12" customHeight="1" x14ac:dyDescent="0.2">
      <c r="AQ2389" s="32"/>
    </row>
    <row r="2390" spans="43:43" ht="12" customHeight="1" x14ac:dyDescent="0.2">
      <c r="AQ2390" s="32"/>
    </row>
    <row r="2391" spans="43:43" ht="12" customHeight="1" x14ac:dyDescent="0.2">
      <c r="AQ2391" s="32"/>
    </row>
    <row r="2392" spans="43:43" ht="12" customHeight="1" x14ac:dyDescent="0.2">
      <c r="AQ2392" s="32"/>
    </row>
    <row r="2393" spans="43:43" ht="12" customHeight="1" x14ac:dyDescent="0.2">
      <c r="AQ2393" s="32"/>
    </row>
    <row r="2394" spans="43:43" ht="12" customHeight="1" x14ac:dyDescent="0.2">
      <c r="AQ2394" s="32"/>
    </row>
    <row r="2395" spans="43:43" ht="12" customHeight="1" x14ac:dyDescent="0.2">
      <c r="AQ2395" s="32"/>
    </row>
    <row r="2396" spans="43:43" ht="12" customHeight="1" x14ac:dyDescent="0.2">
      <c r="AQ2396" s="32"/>
    </row>
    <row r="2397" spans="43:43" ht="12" customHeight="1" x14ac:dyDescent="0.2">
      <c r="AQ2397" s="32"/>
    </row>
    <row r="2398" spans="43:43" ht="12" customHeight="1" x14ac:dyDescent="0.2">
      <c r="AQ2398" s="32"/>
    </row>
    <row r="2399" spans="43:43" ht="12" customHeight="1" x14ac:dyDescent="0.2">
      <c r="AQ2399" s="32"/>
    </row>
    <row r="2400" spans="43:43" ht="12" customHeight="1" x14ac:dyDescent="0.2">
      <c r="AQ2400" s="32"/>
    </row>
    <row r="2401" spans="43:43" ht="12" customHeight="1" x14ac:dyDescent="0.2">
      <c r="AQ2401" s="32"/>
    </row>
    <row r="2402" spans="43:43" ht="12" customHeight="1" x14ac:dyDescent="0.2">
      <c r="AQ2402" s="32"/>
    </row>
    <row r="2403" spans="43:43" ht="12" customHeight="1" x14ac:dyDescent="0.2">
      <c r="AQ2403" s="32"/>
    </row>
    <row r="2404" spans="43:43" ht="12" customHeight="1" x14ac:dyDescent="0.2">
      <c r="AQ2404" s="32"/>
    </row>
    <row r="2405" spans="43:43" ht="12" customHeight="1" x14ac:dyDescent="0.2">
      <c r="AQ2405" s="32"/>
    </row>
    <row r="2406" spans="43:43" ht="12" customHeight="1" x14ac:dyDescent="0.2">
      <c r="AQ2406" s="32"/>
    </row>
    <row r="2407" spans="43:43" ht="12" customHeight="1" x14ac:dyDescent="0.2">
      <c r="AQ2407" s="32"/>
    </row>
    <row r="2408" spans="43:43" ht="12" customHeight="1" x14ac:dyDescent="0.2">
      <c r="AQ2408" s="32"/>
    </row>
    <row r="2409" spans="43:43" ht="12" customHeight="1" x14ac:dyDescent="0.2">
      <c r="AQ2409" s="32"/>
    </row>
    <row r="2410" spans="43:43" ht="12" customHeight="1" x14ac:dyDescent="0.2">
      <c r="AQ2410" s="32"/>
    </row>
    <row r="2411" spans="43:43" ht="12" customHeight="1" x14ac:dyDescent="0.2">
      <c r="AQ2411" s="32"/>
    </row>
    <row r="2412" spans="43:43" ht="12" customHeight="1" x14ac:dyDescent="0.2">
      <c r="AQ2412" s="32"/>
    </row>
    <row r="2413" spans="43:43" ht="12" customHeight="1" x14ac:dyDescent="0.2">
      <c r="AQ2413" s="32"/>
    </row>
    <row r="2414" spans="43:43" ht="12" customHeight="1" x14ac:dyDescent="0.2">
      <c r="AQ2414" s="32"/>
    </row>
    <row r="2415" spans="43:43" ht="12" customHeight="1" x14ac:dyDescent="0.2">
      <c r="AQ2415" s="32"/>
    </row>
    <row r="2416" spans="43:43" ht="12" customHeight="1" x14ac:dyDescent="0.2">
      <c r="AQ2416" s="32"/>
    </row>
    <row r="2417" spans="43:43" ht="12" customHeight="1" x14ac:dyDescent="0.2">
      <c r="AQ2417" s="32"/>
    </row>
    <row r="2418" spans="43:43" ht="12" customHeight="1" x14ac:dyDescent="0.2">
      <c r="AQ2418" s="32"/>
    </row>
    <row r="2419" spans="43:43" ht="12" customHeight="1" x14ac:dyDescent="0.2">
      <c r="AQ2419" s="32"/>
    </row>
    <row r="2420" spans="43:43" ht="12" customHeight="1" x14ac:dyDescent="0.2">
      <c r="AQ2420" s="32"/>
    </row>
    <row r="2421" spans="43:43" ht="12" customHeight="1" x14ac:dyDescent="0.2">
      <c r="AQ2421" s="32"/>
    </row>
    <row r="2422" spans="43:43" ht="12" customHeight="1" x14ac:dyDescent="0.2">
      <c r="AQ2422" s="32"/>
    </row>
    <row r="2423" spans="43:43" ht="12" customHeight="1" x14ac:dyDescent="0.2">
      <c r="AQ2423" s="32"/>
    </row>
    <row r="2424" spans="43:43" ht="12" customHeight="1" x14ac:dyDescent="0.2">
      <c r="AQ2424" s="32"/>
    </row>
    <row r="2425" spans="43:43" ht="12" customHeight="1" x14ac:dyDescent="0.2">
      <c r="AQ2425" s="32"/>
    </row>
    <row r="2426" spans="43:43" ht="12" customHeight="1" x14ac:dyDescent="0.2">
      <c r="AQ2426" s="32"/>
    </row>
    <row r="2427" spans="43:43" ht="12" customHeight="1" x14ac:dyDescent="0.2">
      <c r="AQ2427" s="32"/>
    </row>
    <row r="2428" spans="43:43" ht="12" customHeight="1" x14ac:dyDescent="0.2">
      <c r="AQ2428" s="32"/>
    </row>
    <row r="2429" spans="43:43" ht="12" customHeight="1" x14ac:dyDescent="0.2">
      <c r="AQ2429" s="32"/>
    </row>
    <row r="2430" spans="43:43" ht="12" customHeight="1" x14ac:dyDescent="0.2">
      <c r="AQ2430" s="32"/>
    </row>
    <row r="2431" spans="43:43" ht="12" customHeight="1" x14ac:dyDescent="0.2">
      <c r="AQ2431" s="32"/>
    </row>
    <row r="2432" spans="43:43" ht="12" customHeight="1" x14ac:dyDescent="0.2">
      <c r="AQ2432" s="32"/>
    </row>
    <row r="2433" spans="43:43" ht="12" customHeight="1" x14ac:dyDescent="0.2">
      <c r="AQ2433" s="32"/>
    </row>
    <row r="2434" spans="43:43" ht="12" customHeight="1" x14ac:dyDescent="0.2">
      <c r="AQ2434" s="32"/>
    </row>
    <row r="2435" spans="43:43" ht="12" customHeight="1" x14ac:dyDescent="0.2">
      <c r="AQ2435" s="32"/>
    </row>
    <row r="2436" spans="43:43" ht="12" customHeight="1" x14ac:dyDescent="0.2">
      <c r="AQ2436" s="32"/>
    </row>
    <row r="2437" spans="43:43" ht="12" customHeight="1" x14ac:dyDescent="0.2">
      <c r="AQ2437" s="32"/>
    </row>
    <row r="2438" spans="43:43" ht="12" customHeight="1" x14ac:dyDescent="0.2">
      <c r="AQ2438" s="32"/>
    </row>
    <row r="2439" spans="43:43" ht="12" customHeight="1" x14ac:dyDescent="0.2">
      <c r="AQ2439" s="32"/>
    </row>
    <row r="2440" spans="43:43" ht="12" customHeight="1" x14ac:dyDescent="0.2">
      <c r="AQ2440" s="32"/>
    </row>
    <row r="2441" spans="43:43" ht="12" customHeight="1" x14ac:dyDescent="0.2">
      <c r="AQ2441" s="32"/>
    </row>
    <row r="2442" spans="43:43" ht="12" customHeight="1" x14ac:dyDescent="0.2">
      <c r="AQ2442" s="32"/>
    </row>
    <row r="2443" spans="43:43" ht="12" customHeight="1" x14ac:dyDescent="0.2">
      <c r="AQ2443" s="32"/>
    </row>
    <row r="2444" spans="43:43" ht="12" customHeight="1" x14ac:dyDescent="0.2">
      <c r="AQ2444" s="32"/>
    </row>
    <row r="2445" spans="43:43" ht="12" customHeight="1" x14ac:dyDescent="0.2">
      <c r="AQ2445" s="32"/>
    </row>
    <row r="2446" spans="43:43" ht="12" customHeight="1" x14ac:dyDescent="0.2">
      <c r="AQ2446" s="32"/>
    </row>
    <row r="2447" spans="43:43" ht="12" customHeight="1" x14ac:dyDescent="0.2">
      <c r="AQ2447" s="32"/>
    </row>
    <row r="2448" spans="43:43" ht="12" customHeight="1" x14ac:dyDescent="0.2">
      <c r="AQ2448" s="32"/>
    </row>
    <row r="2449" spans="43:43" ht="12" customHeight="1" x14ac:dyDescent="0.2">
      <c r="AQ2449" s="32"/>
    </row>
    <row r="2450" spans="43:43" ht="12" customHeight="1" x14ac:dyDescent="0.2">
      <c r="AQ2450" s="32"/>
    </row>
    <row r="2451" spans="43:43" ht="12" customHeight="1" x14ac:dyDescent="0.2">
      <c r="AQ2451" s="32"/>
    </row>
    <row r="2452" spans="43:43" ht="12" customHeight="1" x14ac:dyDescent="0.2">
      <c r="AQ2452" s="32"/>
    </row>
    <row r="2453" spans="43:43" ht="12" customHeight="1" x14ac:dyDescent="0.2">
      <c r="AQ2453" s="32"/>
    </row>
    <row r="2454" spans="43:43" ht="12" customHeight="1" x14ac:dyDescent="0.2">
      <c r="AQ2454" s="32"/>
    </row>
    <row r="2455" spans="43:43" ht="12" customHeight="1" x14ac:dyDescent="0.2">
      <c r="AQ2455" s="32"/>
    </row>
    <row r="2456" spans="43:43" ht="12" customHeight="1" x14ac:dyDescent="0.2">
      <c r="AQ2456" s="32"/>
    </row>
    <row r="2457" spans="43:43" ht="12" customHeight="1" x14ac:dyDescent="0.2">
      <c r="AQ2457" s="32"/>
    </row>
    <row r="2458" spans="43:43" ht="12" customHeight="1" x14ac:dyDescent="0.2">
      <c r="AQ2458" s="32"/>
    </row>
    <row r="2459" spans="43:43" ht="12" customHeight="1" x14ac:dyDescent="0.2">
      <c r="AQ2459" s="32"/>
    </row>
    <row r="2460" spans="43:43" ht="12" customHeight="1" x14ac:dyDescent="0.2">
      <c r="AQ2460" s="32"/>
    </row>
    <row r="2461" spans="43:43" ht="12" customHeight="1" x14ac:dyDescent="0.2">
      <c r="AQ2461" s="32"/>
    </row>
    <row r="2462" spans="43:43" ht="12" customHeight="1" x14ac:dyDescent="0.2">
      <c r="AQ2462" s="32"/>
    </row>
    <row r="2463" spans="43:43" ht="12" customHeight="1" x14ac:dyDescent="0.2">
      <c r="AQ2463" s="32"/>
    </row>
    <row r="2464" spans="43:43" ht="12" customHeight="1" x14ac:dyDescent="0.2">
      <c r="AQ2464" s="32"/>
    </row>
    <row r="2465" spans="43:43" ht="12" customHeight="1" x14ac:dyDescent="0.2">
      <c r="AQ2465" s="32"/>
    </row>
    <row r="2466" spans="43:43" ht="12" customHeight="1" x14ac:dyDescent="0.2">
      <c r="AQ2466" s="32"/>
    </row>
    <row r="2467" spans="43:43" ht="12" customHeight="1" x14ac:dyDescent="0.2">
      <c r="AQ2467" s="32"/>
    </row>
    <row r="2468" spans="43:43" ht="12" customHeight="1" x14ac:dyDescent="0.2">
      <c r="AQ2468" s="32"/>
    </row>
    <row r="2469" spans="43:43" ht="12" customHeight="1" x14ac:dyDescent="0.2">
      <c r="AQ2469" s="32"/>
    </row>
    <row r="2470" spans="43:43" ht="12" customHeight="1" x14ac:dyDescent="0.2">
      <c r="AQ2470" s="32"/>
    </row>
    <row r="2471" spans="43:43" ht="12" customHeight="1" x14ac:dyDescent="0.2">
      <c r="AQ2471" s="32"/>
    </row>
    <row r="2472" spans="43:43" ht="12" customHeight="1" x14ac:dyDescent="0.2">
      <c r="AQ2472" s="32"/>
    </row>
    <row r="2473" spans="43:43" ht="12" customHeight="1" x14ac:dyDescent="0.2">
      <c r="AQ2473" s="32"/>
    </row>
    <row r="2474" spans="43:43" ht="12" customHeight="1" x14ac:dyDescent="0.2">
      <c r="AQ2474" s="32"/>
    </row>
    <row r="2475" spans="43:43" ht="12" customHeight="1" x14ac:dyDescent="0.2">
      <c r="AQ2475" s="32"/>
    </row>
    <row r="2476" spans="43:43" ht="12" customHeight="1" x14ac:dyDescent="0.2">
      <c r="AQ2476" s="32"/>
    </row>
    <row r="2477" spans="43:43" ht="12" customHeight="1" x14ac:dyDescent="0.2">
      <c r="AQ2477" s="32"/>
    </row>
    <row r="2478" spans="43:43" ht="12" customHeight="1" x14ac:dyDescent="0.2">
      <c r="AQ2478" s="32"/>
    </row>
    <row r="2479" spans="43:43" ht="12" customHeight="1" x14ac:dyDescent="0.2">
      <c r="AQ2479" s="32"/>
    </row>
    <row r="2480" spans="43:43" ht="12" customHeight="1" x14ac:dyDescent="0.2">
      <c r="AQ2480" s="32"/>
    </row>
    <row r="2481" spans="43:43" ht="12" customHeight="1" x14ac:dyDescent="0.2">
      <c r="AQ2481" s="32"/>
    </row>
    <row r="2482" spans="43:43" ht="12" customHeight="1" x14ac:dyDescent="0.2">
      <c r="AQ2482" s="32"/>
    </row>
    <row r="2483" spans="43:43" ht="12" customHeight="1" x14ac:dyDescent="0.2">
      <c r="AQ2483" s="32"/>
    </row>
    <row r="2484" spans="43:43" ht="12" customHeight="1" x14ac:dyDescent="0.2">
      <c r="AQ2484" s="32"/>
    </row>
    <row r="2485" spans="43:43" ht="12" customHeight="1" x14ac:dyDescent="0.2">
      <c r="AQ2485" s="32"/>
    </row>
    <row r="2486" spans="43:43" ht="12" customHeight="1" x14ac:dyDescent="0.2">
      <c r="AQ2486" s="32"/>
    </row>
    <row r="2487" spans="43:43" ht="12" customHeight="1" x14ac:dyDescent="0.2">
      <c r="AQ2487" s="32"/>
    </row>
    <row r="2488" spans="43:43" ht="12" customHeight="1" x14ac:dyDescent="0.2">
      <c r="AQ2488" s="32"/>
    </row>
    <row r="2489" spans="43:43" ht="12" customHeight="1" x14ac:dyDescent="0.2">
      <c r="AQ2489" s="32"/>
    </row>
    <row r="2490" spans="43:43" ht="12" customHeight="1" x14ac:dyDescent="0.2">
      <c r="AQ2490" s="32"/>
    </row>
    <row r="2491" spans="43:43" ht="12" customHeight="1" x14ac:dyDescent="0.2">
      <c r="AQ2491" s="32"/>
    </row>
    <row r="2492" spans="43:43" ht="12" customHeight="1" x14ac:dyDescent="0.2">
      <c r="AQ2492" s="32"/>
    </row>
    <row r="2493" spans="43:43" ht="12" customHeight="1" x14ac:dyDescent="0.2">
      <c r="AQ2493" s="32"/>
    </row>
    <row r="2494" spans="43:43" ht="12" customHeight="1" x14ac:dyDescent="0.2">
      <c r="AQ2494" s="32"/>
    </row>
    <row r="2495" spans="43:43" ht="12" customHeight="1" x14ac:dyDescent="0.2">
      <c r="AQ2495" s="32"/>
    </row>
    <row r="2496" spans="43:43" ht="12" customHeight="1" x14ac:dyDescent="0.2">
      <c r="AQ2496" s="32"/>
    </row>
    <row r="2497" spans="43:43" ht="12" customHeight="1" x14ac:dyDescent="0.2">
      <c r="AQ2497" s="32"/>
    </row>
    <row r="2498" spans="43:43" ht="12" customHeight="1" x14ac:dyDescent="0.2">
      <c r="AQ2498" s="32"/>
    </row>
    <row r="2499" spans="43:43" ht="12" customHeight="1" x14ac:dyDescent="0.2">
      <c r="AQ2499" s="32"/>
    </row>
    <row r="2500" spans="43:43" ht="12" customHeight="1" x14ac:dyDescent="0.2">
      <c r="AQ2500" s="32"/>
    </row>
    <row r="2501" spans="43:43" ht="12" customHeight="1" x14ac:dyDescent="0.2">
      <c r="AQ2501" s="32"/>
    </row>
    <row r="2502" spans="43:43" ht="12" customHeight="1" x14ac:dyDescent="0.2">
      <c r="AQ2502" s="32"/>
    </row>
    <row r="2503" spans="43:43" ht="12" customHeight="1" x14ac:dyDescent="0.2">
      <c r="AQ2503" s="32"/>
    </row>
    <row r="2504" spans="43:43" ht="12" customHeight="1" x14ac:dyDescent="0.2">
      <c r="AQ2504" s="32"/>
    </row>
    <row r="2505" spans="43:43" ht="12" customHeight="1" x14ac:dyDescent="0.2">
      <c r="AQ2505" s="32"/>
    </row>
    <row r="2506" spans="43:43" ht="12" customHeight="1" x14ac:dyDescent="0.2">
      <c r="AQ2506" s="32"/>
    </row>
    <row r="2507" spans="43:43" ht="12" customHeight="1" x14ac:dyDescent="0.2">
      <c r="AQ2507" s="32"/>
    </row>
    <row r="2508" spans="43:43" ht="12" customHeight="1" x14ac:dyDescent="0.2">
      <c r="AQ2508" s="32"/>
    </row>
    <row r="2509" spans="43:43" ht="12" customHeight="1" x14ac:dyDescent="0.2">
      <c r="AQ2509" s="32"/>
    </row>
    <row r="2510" spans="43:43" ht="12" customHeight="1" x14ac:dyDescent="0.2">
      <c r="AQ2510" s="32"/>
    </row>
    <row r="2511" spans="43:43" ht="12" customHeight="1" x14ac:dyDescent="0.2">
      <c r="AQ2511" s="32"/>
    </row>
    <row r="2512" spans="43:43" ht="12" customHeight="1" x14ac:dyDescent="0.2">
      <c r="AQ2512" s="32"/>
    </row>
    <row r="2513" spans="43:43" ht="12" customHeight="1" x14ac:dyDescent="0.2">
      <c r="AQ2513" s="32"/>
    </row>
    <row r="2514" spans="43:43" ht="12" customHeight="1" x14ac:dyDescent="0.2">
      <c r="AQ2514" s="32"/>
    </row>
    <row r="2515" spans="43:43" ht="12" customHeight="1" x14ac:dyDescent="0.2">
      <c r="AQ2515" s="32"/>
    </row>
    <row r="2516" spans="43:43" ht="12" customHeight="1" x14ac:dyDescent="0.2">
      <c r="AQ2516" s="32"/>
    </row>
    <row r="2517" spans="43:43" ht="12" customHeight="1" x14ac:dyDescent="0.2">
      <c r="AQ2517" s="32"/>
    </row>
    <row r="2518" spans="43:43" ht="12" customHeight="1" x14ac:dyDescent="0.2">
      <c r="AQ2518" s="32"/>
    </row>
    <row r="2519" spans="43:43" ht="12" customHeight="1" x14ac:dyDescent="0.2">
      <c r="AQ2519" s="32"/>
    </row>
    <row r="2520" spans="43:43" ht="12" customHeight="1" x14ac:dyDescent="0.2">
      <c r="AQ2520" s="32"/>
    </row>
    <row r="2521" spans="43:43" ht="12" customHeight="1" x14ac:dyDescent="0.2">
      <c r="AQ2521" s="32"/>
    </row>
    <row r="2522" spans="43:43" ht="12" customHeight="1" x14ac:dyDescent="0.2">
      <c r="AQ2522" s="32"/>
    </row>
    <row r="2523" spans="43:43" ht="12" customHeight="1" x14ac:dyDescent="0.2">
      <c r="AQ2523" s="32"/>
    </row>
    <row r="2524" spans="43:43" ht="12" customHeight="1" x14ac:dyDescent="0.2">
      <c r="AQ2524" s="32"/>
    </row>
    <row r="2525" spans="43:43" ht="12" customHeight="1" x14ac:dyDescent="0.2">
      <c r="AQ2525" s="32"/>
    </row>
    <row r="2526" spans="43:43" ht="12" customHeight="1" x14ac:dyDescent="0.2">
      <c r="AQ2526" s="32"/>
    </row>
    <row r="2527" spans="43:43" ht="12" customHeight="1" x14ac:dyDescent="0.2">
      <c r="AQ2527" s="32"/>
    </row>
    <row r="2528" spans="43:43" ht="12" customHeight="1" x14ac:dyDescent="0.2">
      <c r="AQ2528" s="32"/>
    </row>
    <row r="2529" spans="43:43" ht="12" customHeight="1" x14ac:dyDescent="0.2">
      <c r="AQ2529" s="32"/>
    </row>
    <row r="2530" spans="43:43" ht="12" customHeight="1" x14ac:dyDescent="0.2">
      <c r="AQ2530" s="32"/>
    </row>
    <row r="2531" spans="43:43" ht="12" customHeight="1" x14ac:dyDescent="0.2">
      <c r="AQ2531" s="32"/>
    </row>
    <row r="2532" spans="43:43" ht="12" customHeight="1" x14ac:dyDescent="0.2">
      <c r="AQ2532" s="32"/>
    </row>
    <row r="2533" spans="43:43" ht="12" customHeight="1" x14ac:dyDescent="0.2">
      <c r="AQ2533" s="32"/>
    </row>
    <row r="2534" spans="43:43" ht="12" customHeight="1" x14ac:dyDescent="0.2">
      <c r="AQ2534" s="32"/>
    </row>
    <row r="2535" spans="43:43" ht="12" customHeight="1" x14ac:dyDescent="0.2">
      <c r="AQ2535" s="32"/>
    </row>
    <row r="2536" spans="43:43" ht="12" customHeight="1" x14ac:dyDescent="0.2">
      <c r="AQ2536" s="32"/>
    </row>
    <row r="2537" spans="43:43" ht="12" customHeight="1" x14ac:dyDescent="0.2">
      <c r="AQ2537" s="32"/>
    </row>
    <row r="2538" spans="43:43" ht="12" customHeight="1" x14ac:dyDescent="0.2">
      <c r="AQ2538" s="32"/>
    </row>
    <row r="2539" spans="43:43" ht="12" customHeight="1" x14ac:dyDescent="0.2">
      <c r="AQ2539" s="32"/>
    </row>
    <row r="2540" spans="43:43" ht="12" customHeight="1" x14ac:dyDescent="0.2">
      <c r="AQ2540" s="32"/>
    </row>
    <row r="2541" spans="43:43" ht="12" customHeight="1" x14ac:dyDescent="0.2">
      <c r="AQ2541" s="32"/>
    </row>
    <row r="2542" spans="43:43" ht="12" customHeight="1" x14ac:dyDescent="0.2">
      <c r="AQ2542" s="32"/>
    </row>
    <row r="2543" spans="43:43" ht="12" customHeight="1" x14ac:dyDescent="0.2">
      <c r="AQ2543" s="32"/>
    </row>
    <row r="2544" spans="43:43" ht="12" customHeight="1" x14ac:dyDescent="0.2">
      <c r="AQ2544" s="32"/>
    </row>
    <row r="2545" spans="43:43" ht="12" customHeight="1" x14ac:dyDescent="0.2">
      <c r="AQ2545" s="32"/>
    </row>
    <row r="2546" spans="43:43" ht="12" customHeight="1" x14ac:dyDescent="0.2">
      <c r="AQ2546" s="32"/>
    </row>
    <row r="2547" spans="43:43" ht="12" customHeight="1" x14ac:dyDescent="0.2">
      <c r="AQ2547" s="32"/>
    </row>
    <row r="2548" spans="43:43" ht="12" customHeight="1" x14ac:dyDescent="0.2">
      <c r="AQ2548" s="32"/>
    </row>
    <row r="2549" spans="43:43" ht="12" customHeight="1" x14ac:dyDescent="0.2">
      <c r="AQ2549" s="32"/>
    </row>
    <row r="2550" spans="43:43" ht="12" customHeight="1" x14ac:dyDescent="0.2">
      <c r="AQ2550" s="32"/>
    </row>
    <row r="2551" spans="43:43" ht="12" customHeight="1" x14ac:dyDescent="0.2">
      <c r="AQ2551" s="32"/>
    </row>
    <row r="2552" spans="43:43" ht="12" customHeight="1" x14ac:dyDescent="0.2">
      <c r="AQ2552" s="32"/>
    </row>
    <row r="2553" spans="43:43" ht="12" customHeight="1" x14ac:dyDescent="0.2">
      <c r="AQ2553" s="32"/>
    </row>
    <row r="2554" spans="43:43" ht="12" customHeight="1" x14ac:dyDescent="0.2">
      <c r="AQ2554" s="32"/>
    </row>
    <row r="2555" spans="43:43" ht="12" customHeight="1" x14ac:dyDescent="0.2">
      <c r="AQ2555" s="32"/>
    </row>
    <row r="2556" spans="43:43" ht="12" customHeight="1" x14ac:dyDescent="0.2">
      <c r="AQ2556" s="32"/>
    </row>
    <row r="2557" spans="43:43" ht="12" customHeight="1" x14ac:dyDescent="0.2">
      <c r="AQ2557" s="32"/>
    </row>
    <row r="2558" spans="43:43" ht="12" customHeight="1" x14ac:dyDescent="0.2">
      <c r="AQ2558" s="32"/>
    </row>
    <row r="2559" spans="43:43" ht="12" customHeight="1" x14ac:dyDescent="0.2">
      <c r="AQ2559" s="32"/>
    </row>
    <row r="2560" spans="43:43" ht="12" customHeight="1" x14ac:dyDescent="0.2">
      <c r="AQ2560" s="32"/>
    </row>
    <row r="2561" spans="43:43" ht="12" customHeight="1" x14ac:dyDescent="0.2">
      <c r="AQ2561" s="32"/>
    </row>
    <row r="2562" spans="43:43" ht="12" customHeight="1" x14ac:dyDescent="0.2">
      <c r="AQ2562" s="32"/>
    </row>
    <row r="2563" spans="43:43" ht="12" customHeight="1" x14ac:dyDescent="0.2">
      <c r="AQ2563" s="32"/>
    </row>
    <row r="2564" spans="43:43" ht="12" customHeight="1" x14ac:dyDescent="0.2">
      <c r="AQ2564" s="32"/>
    </row>
    <row r="2565" spans="43:43" ht="12" customHeight="1" x14ac:dyDescent="0.2">
      <c r="AQ2565" s="32"/>
    </row>
    <row r="2566" spans="43:43" ht="12" customHeight="1" x14ac:dyDescent="0.2">
      <c r="AQ2566" s="32"/>
    </row>
    <row r="2567" spans="43:43" ht="12" customHeight="1" x14ac:dyDescent="0.2">
      <c r="AQ2567" s="32"/>
    </row>
    <row r="2568" spans="43:43" ht="12" customHeight="1" x14ac:dyDescent="0.2">
      <c r="AQ2568" s="32"/>
    </row>
    <row r="2569" spans="43:43" ht="12" customHeight="1" x14ac:dyDescent="0.2">
      <c r="AQ2569" s="32"/>
    </row>
    <row r="2570" spans="43:43" ht="12" customHeight="1" x14ac:dyDescent="0.2">
      <c r="AQ2570" s="32"/>
    </row>
    <row r="2571" spans="43:43" ht="12" customHeight="1" x14ac:dyDescent="0.2">
      <c r="AQ2571" s="32"/>
    </row>
    <row r="2572" spans="43:43" ht="12" customHeight="1" x14ac:dyDescent="0.2">
      <c r="AQ2572" s="32"/>
    </row>
    <row r="2573" spans="43:43" ht="12" customHeight="1" x14ac:dyDescent="0.2">
      <c r="AQ2573" s="32"/>
    </row>
    <row r="2574" spans="43:43" ht="12" customHeight="1" x14ac:dyDescent="0.2">
      <c r="AQ2574" s="32"/>
    </row>
    <row r="2575" spans="43:43" ht="12" customHeight="1" x14ac:dyDescent="0.2">
      <c r="AQ2575" s="32"/>
    </row>
    <row r="2576" spans="43:43" ht="12" customHeight="1" x14ac:dyDescent="0.2">
      <c r="AQ2576" s="32"/>
    </row>
    <row r="2577" spans="43:43" ht="12" customHeight="1" x14ac:dyDescent="0.2">
      <c r="AQ2577" s="32"/>
    </row>
    <row r="2578" spans="43:43" ht="12" customHeight="1" x14ac:dyDescent="0.2">
      <c r="AQ2578" s="32"/>
    </row>
    <row r="2579" spans="43:43" ht="12" customHeight="1" x14ac:dyDescent="0.2">
      <c r="AQ2579" s="32"/>
    </row>
    <row r="2580" spans="43:43" ht="12" customHeight="1" x14ac:dyDescent="0.2">
      <c r="AQ2580" s="32"/>
    </row>
    <row r="2581" spans="43:43" ht="12" customHeight="1" x14ac:dyDescent="0.2">
      <c r="AQ2581" s="32"/>
    </row>
    <row r="2582" spans="43:43" ht="12" customHeight="1" x14ac:dyDescent="0.2">
      <c r="AQ2582" s="32"/>
    </row>
    <row r="2583" spans="43:43" ht="12" customHeight="1" x14ac:dyDescent="0.2">
      <c r="AQ2583" s="32"/>
    </row>
    <row r="2584" spans="43:43" ht="12" customHeight="1" x14ac:dyDescent="0.2">
      <c r="AQ2584" s="32"/>
    </row>
    <row r="2585" spans="43:43" ht="12" customHeight="1" x14ac:dyDescent="0.2">
      <c r="AQ2585" s="32"/>
    </row>
    <row r="2586" spans="43:43" ht="12" customHeight="1" x14ac:dyDescent="0.2">
      <c r="AQ2586" s="32"/>
    </row>
    <row r="2587" spans="43:43" ht="12" customHeight="1" x14ac:dyDescent="0.2">
      <c r="AQ2587" s="32"/>
    </row>
    <row r="2588" spans="43:43" ht="12" customHeight="1" x14ac:dyDescent="0.2">
      <c r="AQ2588" s="32"/>
    </row>
    <row r="2589" spans="43:43" ht="12" customHeight="1" x14ac:dyDescent="0.2">
      <c r="AQ2589" s="32"/>
    </row>
    <row r="2590" spans="43:43" ht="12" customHeight="1" x14ac:dyDescent="0.2">
      <c r="AQ2590" s="32"/>
    </row>
    <row r="2591" spans="43:43" ht="12" customHeight="1" x14ac:dyDescent="0.2">
      <c r="AQ2591" s="32"/>
    </row>
    <row r="2592" spans="43:43" ht="12" customHeight="1" x14ac:dyDescent="0.2">
      <c r="AQ2592" s="32"/>
    </row>
    <row r="2593" spans="43:43" ht="12" customHeight="1" x14ac:dyDescent="0.2">
      <c r="AQ2593" s="32"/>
    </row>
    <row r="2594" spans="43:43" ht="12" customHeight="1" x14ac:dyDescent="0.2">
      <c r="AQ2594" s="32"/>
    </row>
    <row r="2595" spans="43:43" ht="12" customHeight="1" x14ac:dyDescent="0.2">
      <c r="AQ2595" s="32"/>
    </row>
    <row r="2596" spans="43:43" ht="12" customHeight="1" x14ac:dyDescent="0.2">
      <c r="AQ2596" s="32"/>
    </row>
    <row r="2597" spans="43:43" ht="12" customHeight="1" x14ac:dyDescent="0.2">
      <c r="AQ2597" s="32"/>
    </row>
    <row r="2598" spans="43:43" ht="12" customHeight="1" x14ac:dyDescent="0.2">
      <c r="AQ2598" s="32"/>
    </row>
    <row r="2599" spans="43:43" ht="12" customHeight="1" x14ac:dyDescent="0.2">
      <c r="AQ2599" s="32"/>
    </row>
    <row r="2600" spans="43:43" ht="12" customHeight="1" x14ac:dyDescent="0.2">
      <c r="AQ2600" s="32"/>
    </row>
    <row r="2601" spans="43:43" ht="12" customHeight="1" x14ac:dyDescent="0.2">
      <c r="AQ2601" s="32"/>
    </row>
    <row r="2602" spans="43:43" ht="12" customHeight="1" x14ac:dyDescent="0.2">
      <c r="AQ2602" s="32"/>
    </row>
    <row r="2603" spans="43:43" ht="12" customHeight="1" x14ac:dyDescent="0.2">
      <c r="AQ2603" s="32"/>
    </row>
    <row r="2604" spans="43:43" ht="12" customHeight="1" x14ac:dyDescent="0.2">
      <c r="AQ2604" s="32"/>
    </row>
    <row r="2605" spans="43:43" ht="12" customHeight="1" x14ac:dyDescent="0.2">
      <c r="AQ2605" s="32"/>
    </row>
    <row r="2606" spans="43:43" ht="12" customHeight="1" x14ac:dyDescent="0.2">
      <c r="AQ2606" s="32"/>
    </row>
    <row r="2607" spans="43:43" ht="12" customHeight="1" x14ac:dyDescent="0.2">
      <c r="AQ2607" s="32"/>
    </row>
    <row r="2608" spans="43:43" ht="12" customHeight="1" x14ac:dyDescent="0.2">
      <c r="AQ2608" s="32"/>
    </row>
    <row r="2609" spans="43:43" ht="12" customHeight="1" x14ac:dyDescent="0.2">
      <c r="AQ2609" s="32"/>
    </row>
    <row r="2610" spans="43:43" ht="12" customHeight="1" x14ac:dyDescent="0.2">
      <c r="AQ2610" s="32"/>
    </row>
    <row r="2611" spans="43:43" ht="12" customHeight="1" x14ac:dyDescent="0.2">
      <c r="AQ2611" s="32"/>
    </row>
    <row r="2612" spans="43:43" ht="12" customHeight="1" x14ac:dyDescent="0.2">
      <c r="AQ2612" s="32"/>
    </row>
    <row r="2613" spans="43:43" ht="12" customHeight="1" x14ac:dyDescent="0.2">
      <c r="AQ2613" s="32"/>
    </row>
    <row r="2614" spans="43:43" ht="12" customHeight="1" x14ac:dyDescent="0.2">
      <c r="AQ2614" s="32"/>
    </row>
    <row r="2615" spans="43:43" ht="12" customHeight="1" x14ac:dyDescent="0.2">
      <c r="AQ2615" s="32"/>
    </row>
    <row r="2616" spans="43:43" ht="12" customHeight="1" x14ac:dyDescent="0.2">
      <c r="AQ2616" s="32"/>
    </row>
    <row r="2617" spans="43:43" ht="12" customHeight="1" x14ac:dyDescent="0.2">
      <c r="AQ2617" s="32"/>
    </row>
    <row r="2618" spans="43:43" ht="12" customHeight="1" x14ac:dyDescent="0.2">
      <c r="AQ2618" s="32"/>
    </row>
    <row r="2619" spans="43:43" ht="12" customHeight="1" x14ac:dyDescent="0.2">
      <c r="AQ2619" s="32"/>
    </row>
    <row r="2620" spans="43:43" ht="12" customHeight="1" x14ac:dyDescent="0.2">
      <c r="AQ2620" s="32"/>
    </row>
    <row r="2621" spans="43:43" ht="12" customHeight="1" x14ac:dyDescent="0.2">
      <c r="AQ2621" s="32"/>
    </row>
    <row r="2622" spans="43:43" ht="12" customHeight="1" x14ac:dyDescent="0.2">
      <c r="AQ2622" s="32"/>
    </row>
    <row r="2623" spans="43:43" ht="12" customHeight="1" x14ac:dyDescent="0.2">
      <c r="AQ2623" s="32"/>
    </row>
    <row r="2624" spans="43:43" ht="12" customHeight="1" x14ac:dyDescent="0.2">
      <c r="AQ2624" s="32"/>
    </row>
    <row r="2625" spans="43:43" ht="12" customHeight="1" x14ac:dyDescent="0.2">
      <c r="AQ2625" s="32"/>
    </row>
    <row r="2626" spans="43:43" ht="12" customHeight="1" x14ac:dyDescent="0.2">
      <c r="AQ2626" s="32"/>
    </row>
    <row r="2627" spans="43:43" ht="12" customHeight="1" x14ac:dyDescent="0.2">
      <c r="AQ2627" s="32"/>
    </row>
    <row r="2628" spans="43:43" ht="12" customHeight="1" x14ac:dyDescent="0.2">
      <c r="AQ2628" s="32"/>
    </row>
    <row r="2629" spans="43:43" ht="12" customHeight="1" x14ac:dyDescent="0.2">
      <c r="AQ2629" s="32"/>
    </row>
    <row r="2630" spans="43:43" ht="12" customHeight="1" x14ac:dyDescent="0.2">
      <c r="AQ2630" s="32"/>
    </row>
    <row r="2631" spans="43:43" ht="12" customHeight="1" x14ac:dyDescent="0.2">
      <c r="AQ2631" s="32"/>
    </row>
    <row r="2632" spans="43:43" ht="12" customHeight="1" x14ac:dyDescent="0.2">
      <c r="AQ2632" s="32"/>
    </row>
    <row r="2633" spans="43:43" ht="12" customHeight="1" x14ac:dyDescent="0.2">
      <c r="AQ2633" s="32"/>
    </row>
    <row r="2634" spans="43:43" ht="12" customHeight="1" x14ac:dyDescent="0.2">
      <c r="AQ2634" s="32"/>
    </row>
    <row r="2635" spans="43:43" ht="12" customHeight="1" x14ac:dyDescent="0.2">
      <c r="AQ2635" s="32"/>
    </row>
    <row r="2636" spans="43:43" ht="12" customHeight="1" x14ac:dyDescent="0.2">
      <c r="AQ2636" s="32"/>
    </row>
    <row r="2637" spans="43:43" ht="12" customHeight="1" x14ac:dyDescent="0.2">
      <c r="AQ2637" s="32"/>
    </row>
    <row r="2638" spans="43:43" ht="12" customHeight="1" x14ac:dyDescent="0.2">
      <c r="AQ2638" s="32"/>
    </row>
    <row r="2639" spans="43:43" ht="12" customHeight="1" x14ac:dyDescent="0.2">
      <c r="AQ2639" s="32"/>
    </row>
    <row r="2640" spans="43:43" ht="12" customHeight="1" x14ac:dyDescent="0.2">
      <c r="AQ2640" s="32"/>
    </row>
    <row r="2641" spans="43:43" ht="12" customHeight="1" x14ac:dyDescent="0.2">
      <c r="AQ2641" s="32"/>
    </row>
    <row r="2642" spans="43:43" ht="12" customHeight="1" x14ac:dyDescent="0.2">
      <c r="AQ2642" s="32"/>
    </row>
    <row r="2643" spans="43:43" ht="12" customHeight="1" x14ac:dyDescent="0.2">
      <c r="AQ2643" s="32"/>
    </row>
    <row r="2644" spans="43:43" ht="12" customHeight="1" x14ac:dyDescent="0.2">
      <c r="AQ2644" s="32"/>
    </row>
    <row r="2645" spans="43:43" ht="12" customHeight="1" x14ac:dyDescent="0.2">
      <c r="AQ2645" s="32"/>
    </row>
    <row r="2646" spans="43:43" ht="12" customHeight="1" x14ac:dyDescent="0.2">
      <c r="AQ2646" s="32"/>
    </row>
    <row r="2647" spans="43:43" ht="12" customHeight="1" x14ac:dyDescent="0.2">
      <c r="AQ2647" s="32"/>
    </row>
    <row r="2648" spans="43:43" ht="12" customHeight="1" x14ac:dyDescent="0.2">
      <c r="AQ2648" s="32"/>
    </row>
    <row r="2649" spans="43:43" ht="12" customHeight="1" x14ac:dyDescent="0.2">
      <c r="AQ2649" s="32"/>
    </row>
    <row r="2650" spans="43:43" ht="12" customHeight="1" x14ac:dyDescent="0.2">
      <c r="AQ2650" s="32"/>
    </row>
    <row r="2651" spans="43:43" ht="12" customHeight="1" x14ac:dyDescent="0.2">
      <c r="AQ2651" s="32"/>
    </row>
    <row r="2652" spans="43:43" ht="12" customHeight="1" x14ac:dyDescent="0.2">
      <c r="AQ2652" s="32"/>
    </row>
    <row r="2653" spans="43:43" ht="12" customHeight="1" x14ac:dyDescent="0.2">
      <c r="AQ2653" s="32"/>
    </row>
    <row r="2654" spans="43:43" ht="12" customHeight="1" x14ac:dyDescent="0.2">
      <c r="AQ2654" s="32"/>
    </row>
    <row r="2655" spans="43:43" ht="12" customHeight="1" x14ac:dyDescent="0.2">
      <c r="AQ2655" s="32"/>
    </row>
    <row r="2656" spans="43:43" ht="12" customHeight="1" x14ac:dyDescent="0.2">
      <c r="AQ2656" s="32"/>
    </row>
    <row r="2657" spans="43:43" ht="12" customHeight="1" x14ac:dyDescent="0.2">
      <c r="AQ2657" s="32"/>
    </row>
    <row r="2658" spans="43:43" ht="12" customHeight="1" x14ac:dyDescent="0.2">
      <c r="AQ2658" s="32"/>
    </row>
    <row r="2659" spans="43:43" ht="12" customHeight="1" x14ac:dyDescent="0.2">
      <c r="AQ2659" s="32"/>
    </row>
    <row r="2660" spans="43:43" ht="12" customHeight="1" x14ac:dyDescent="0.2">
      <c r="AQ2660" s="32"/>
    </row>
    <row r="2661" spans="43:43" ht="12" customHeight="1" x14ac:dyDescent="0.2">
      <c r="AQ2661" s="32"/>
    </row>
    <row r="2662" spans="43:43" ht="12" customHeight="1" x14ac:dyDescent="0.2">
      <c r="AQ2662" s="32"/>
    </row>
    <row r="2663" spans="43:43" ht="12" customHeight="1" x14ac:dyDescent="0.2">
      <c r="AQ2663" s="32"/>
    </row>
    <row r="2664" spans="43:43" ht="12" customHeight="1" x14ac:dyDescent="0.2">
      <c r="AQ2664" s="32"/>
    </row>
    <row r="2665" spans="43:43" ht="12" customHeight="1" x14ac:dyDescent="0.2">
      <c r="AQ2665" s="32"/>
    </row>
    <row r="2666" spans="43:43" ht="12" customHeight="1" x14ac:dyDescent="0.2">
      <c r="AQ2666" s="32"/>
    </row>
    <row r="2667" spans="43:43" ht="12" customHeight="1" x14ac:dyDescent="0.2">
      <c r="AQ2667" s="32"/>
    </row>
    <row r="2668" spans="43:43" ht="12" customHeight="1" x14ac:dyDescent="0.2">
      <c r="AQ2668" s="32"/>
    </row>
    <row r="2669" spans="43:43" ht="12" customHeight="1" x14ac:dyDescent="0.2">
      <c r="AQ2669" s="32"/>
    </row>
    <row r="2670" spans="43:43" ht="12" customHeight="1" x14ac:dyDescent="0.2">
      <c r="AQ2670" s="32"/>
    </row>
    <row r="2671" spans="43:43" ht="12" customHeight="1" x14ac:dyDescent="0.2">
      <c r="AQ2671" s="32"/>
    </row>
    <row r="2672" spans="43:43" ht="12" customHeight="1" x14ac:dyDescent="0.2">
      <c r="AQ2672" s="32"/>
    </row>
    <row r="2673" spans="43:43" ht="12" customHeight="1" x14ac:dyDescent="0.2">
      <c r="AQ2673" s="32"/>
    </row>
    <row r="2674" spans="43:43" ht="12" customHeight="1" x14ac:dyDescent="0.2">
      <c r="AQ2674" s="32"/>
    </row>
    <row r="2675" spans="43:43" ht="12" customHeight="1" x14ac:dyDescent="0.2">
      <c r="AQ2675" s="32"/>
    </row>
    <row r="2676" spans="43:43" ht="12" customHeight="1" x14ac:dyDescent="0.2">
      <c r="AQ2676" s="32"/>
    </row>
    <row r="2677" spans="43:43" ht="12" customHeight="1" x14ac:dyDescent="0.2">
      <c r="AQ2677" s="32"/>
    </row>
    <row r="2678" spans="43:43" ht="12" customHeight="1" x14ac:dyDescent="0.2">
      <c r="AQ2678" s="32"/>
    </row>
    <row r="2679" spans="43:43" ht="12" customHeight="1" x14ac:dyDescent="0.2">
      <c r="AQ2679" s="32"/>
    </row>
    <row r="2680" spans="43:43" ht="12" customHeight="1" x14ac:dyDescent="0.2">
      <c r="AQ2680" s="32"/>
    </row>
    <row r="2681" spans="43:43" ht="12" customHeight="1" x14ac:dyDescent="0.2">
      <c r="AQ2681" s="32"/>
    </row>
    <row r="2682" spans="43:43" ht="12" customHeight="1" x14ac:dyDescent="0.2">
      <c r="AQ2682" s="32"/>
    </row>
    <row r="2683" spans="43:43" ht="12" customHeight="1" x14ac:dyDescent="0.2">
      <c r="AQ2683" s="32"/>
    </row>
    <row r="2684" spans="43:43" ht="12" customHeight="1" x14ac:dyDescent="0.2">
      <c r="AQ2684" s="32"/>
    </row>
    <row r="2685" spans="43:43" ht="12" customHeight="1" x14ac:dyDescent="0.2">
      <c r="AQ2685" s="32"/>
    </row>
    <row r="2686" spans="43:43" ht="12" customHeight="1" x14ac:dyDescent="0.2">
      <c r="AQ2686" s="32"/>
    </row>
    <row r="2687" spans="43:43" ht="12" customHeight="1" x14ac:dyDescent="0.2">
      <c r="AQ2687" s="32"/>
    </row>
    <row r="2688" spans="43:43" ht="12" customHeight="1" x14ac:dyDescent="0.2">
      <c r="AQ2688" s="32"/>
    </row>
    <row r="2689" spans="43:43" ht="12" customHeight="1" x14ac:dyDescent="0.2">
      <c r="AQ2689" s="32"/>
    </row>
    <row r="2690" spans="43:43" ht="12" customHeight="1" x14ac:dyDescent="0.2">
      <c r="AQ2690" s="32"/>
    </row>
    <row r="2691" spans="43:43" ht="12" customHeight="1" x14ac:dyDescent="0.2">
      <c r="AQ2691" s="32"/>
    </row>
    <row r="2692" spans="43:43" ht="12" customHeight="1" x14ac:dyDescent="0.2">
      <c r="AQ2692" s="32"/>
    </row>
    <row r="2693" spans="43:43" ht="12" customHeight="1" x14ac:dyDescent="0.2">
      <c r="AQ2693" s="32"/>
    </row>
    <row r="2694" spans="43:43" ht="12" customHeight="1" x14ac:dyDescent="0.2">
      <c r="AQ2694" s="32"/>
    </row>
    <row r="2695" spans="43:43" ht="12" customHeight="1" x14ac:dyDescent="0.2">
      <c r="AQ2695" s="32"/>
    </row>
    <row r="2696" spans="43:43" ht="12" customHeight="1" x14ac:dyDescent="0.2">
      <c r="AQ2696" s="32"/>
    </row>
    <row r="2697" spans="43:43" ht="12" customHeight="1" x14ac:dyDescent="0.2">
      <c r="AQ2697" s="32"/>
    </row>
    <row r="2698" spans="43:43" ht="12" customHeight="1" x14ac:dyDescent="0.2">
      <c r="AQ2698" s="32"/>
    </row>
    <row r="2699" spans="43:43" ht="12" customHeight="1" x14ac:dyDescent="0.2">
      <c r="AQ2699" s="32"/>
    </row>
    <row r="2700" spans="43:43" ht="12" customHeight="1" x14ac:dyDescent="0.2">
      <c r="AQ2700" s="32"/>
    </row>
    <row r="2701" spans="43:43" ht="12" customHeight="1" x14ac:dyDescent="0.2">
      <c r="AQ2701" s="32"/>
    </row>
    <row r="2702" spans="43:43" ht="12" customHeight="1" x14ac:dyDescent="0.2">
      <c r="AQ2702" s="32"/>
    </row>
    <row r="2703" spans="43:43" ht="12" customHeight="1" x14ac:dyDescent="0.2">
      <c r="AQ2703" s="32"/>
    </row>
    <row r="2704" spans="43:43" ht="12" customHeight="1" x14ac:dyDescent="0.2">
      <c r="AQ2704" s="32"/>
    </row>
    <row r="2705" spans="43:43" ht="12" customHeight="1" x14ac:dyDescent="0.2">
      <c r="AQ2705" s="32"/>
    </row>
    <row r="2706" spans="43:43" ht="12" customHeight="1" x14ac:dyDescent="0.2">
      <c r="AQ2706" s="32"/>
    </row>
    <row r="2707" spans="43:43" ht="12" customHeight="1" x14ac:dyDescent="0.2">
      <c r="AQ2707" s="32"/>
    </row>
    <row r="2708" spans="43:43" ht="12" customHeight="1" x14ac:dyDescent="0.2">
      <c r="AQ2708" s="32"/>
    </row>
    <row r="2709" spans="43:43" ht="12" customHeight="1" x14ac:dyDescent="0.2">
      <c r="AQ2709" s="32"/>
    </row>
    <row r="2710" spans="43:43" ht="12" customHeight="1" x14ac:dyDescent="0.2">
      <c r="AQ2710" s="32"/>
    </row>
    <row r="2711" spans="43:43" ht="12" customHeight="1" x14ac:dyDescent="0.2">
      <c r="AQ2711" s="32"/>
    </row>
    <row r="2712" spans="43:43" ht="12" customHeight="1" x14ac:dyDescent="0.2">
      <c r="AQ2712" s="32"/>
    </row>
    <row r="2713" spans="43:43" ht="12" customHeight="1" x14ac:dyDescent="0.2">
      <c r="AQ2713" s="32"/>
    </row>
    <row r="2714" spans="43:43" ht="12" customHeight="1" x14ac:dyDescent="0.2">
      <c r="AQ2714" s="32"/>
    </row>
    <row r="2715" spans="43:43" ht="12" customHeight="1" x14ac:dyDescent="0.2">
      <c r="AQ2715" s="32"/>
    </row>
    <row r="2716" spans="43:43" ht="12" customHeight="1" x14ac:dyDescent="0.2">
      <c r="AQ2716" s="32"/>
    </row>
    <row r="2717" spans="43:43" ht="12" customHeight="1" x14ac:dyDescent="0.2">
      <c r="AQ2717" s="32"/>
    </row>
    <row r="2718" spans="43:43" ht="12" customHeight="1" x14ac:dyDescent="0.2">
      <c r="AQ2718" s="32"/>
    </row>
    <row r="2719" spans="43:43" ht="12" customHeight="1" x14ac:dyDescent="0.2">
      <c r="AQ2719" s="32"/>
    </row>
    <row r="2720" spans="43:43" ht="12" customHeight="1" x14ac:dyDescent="0.2">
      <c r="AQ2720" s="32"/>
    </row>
    <row r="2721" spans="43:43" ht="12" customHeight="1" x14ac:dyDescent="0.2">
      <c r="AQ2721" s="32"/>
    </row>
    <row r="2722" spans="43:43" ht="12" customHeight="1" x14ac:dyDescent="0.2">
      <c r="AQ2722" s="32"/>
    </row>
    <row r="2723" spans="43:43" ht="12" customHeight="1" x14ac:dyDescent="0.2">
      <c r="AQ2723" s="32"/>
    </row>
    <row r="2724" spans="43:43" ht="12" customHeight="1" x14ac:dyDescent="0.2">
      <c r="AQ2724" s="32"/>
    </row>
    <row r="2725" spans="43:43" ht="12" customHeight="1" x14ac:dyDescent="0.2">
      <c r="AQ2725" s="32"/>
    </row>
    <row r="2726" spans="43:43" ht="12" customHeight="1" x14ac:dyDescent="0.2">
      <c r="AQ2726" s="32"/>
    </row>
    <row r="2727" spans="43:43" ht="12" customHeight="1" x14ac:dyDescent="0.2">
      <c r="AQ2727" s="32"/>
    </row>
    <row r="2728" spans="43:43" ht="12" customHeight="1" x14ac:dyDescent="0.2">
      <c r="AQ2728" s="32"/>
    </row>
    <row r="2729" spans="43:43" ht="12" customHeight="1" x14ac:dyDescent="0.2">
      <c r="AQ2729" s="32"/>
    </row>
    <row r="2730" spans="43:43" ht="12" customHeight="1" x14ac:dyDescent="0.2">
      <c r="AQ2730" s="32"/>
    </row>
    <row r="2731" spans="43:43" ht="12" customHeight="1" x14ac:dyDescent="0.2">
      <c r="AQ2731" s="32"/>
    </row>
    <row r="2732" spans="43:43" ht="12" customHeight="1" x14ac:dyDescent="0.2">
      <c r="AQ2732" s="32"/>
    </row>
    <row r="2733" spans="43:43" ht="12" customHeight="1" x14ac:dyDescent="0.2">
      <c r="AQ2733" s="32"/>
    </row>
    <row r="2734" spans="43:43" ht="12" customHeight="1" x14ac:dyDescent="0.2">
      <c r="AQ2734" s="32"/>
    </row>
    <row r="2735" spans="43:43" ht="12" customHeight="1" x14ac:dyDescent="0.2">
      <c r="AQ2735" s="32"/>
    </row>
    <row r="2736" spans="43:43" ht="12" customHeight="1" x14ac:dyDescent="0.2">
      <c r="AQ2736" s="32"/>
    </row>
    <row r="2737" spans="43:43" ht="12" customHeight="1" x14ac:dyDescent="0.2">
      <c r="AQ2737" s="32"/>
    </row>
    <row r="2738" spans="43:43" ht="12" customHeight="1" x14ac:dyDescent="0.2">
      <c r="AQ2738" s="32"/>
    </row>
    <row r="2739" spans="43:43" ht="12" customHeight="1" x14ac:dyDescent="0.2">
      <c r="AQ2739" s="32"/>
    </row>
    <row r="2740" spans="43:43" ht="12" customHeight="1" x14ac:dyDescent="0.2">
      <c r="AQ2740" s="32"/>
    </row>
    <row r="2741" spans="43:43" ht="12" customHeight="1" x14ac:dyDescent="0.2">
      <c r="AQ2741" s="32"/>
    </row>
    <row r="2742" spans="43:43" ht="12" customHeight="1" x14ac:dyDescent="0.2">
      <c r="AQ2742" s="32"/>
    </row>
    <row r="2743" spans="43:43" ht="12" customHeight="1" x14ac:dyDescent="0.2">
      <c r="AQ2743" s="32"/>
    </row>
    <row r="2744" spans="43:43" ht="12" customHeight="1" x14ac:dyDescent="0.2">
      <c r="AQ2744" s="32"/>
    </row>
    <row r="2745" spans="43:43" ht="12" customHeight="1" x14ac:dyDescent="0.2">
      <c r="AQ2745" s="32"/>
    </row>
    <row r="2746" spans="43:43" ht="12" customHeight="1" x14ac:dyDescent="0.2">
      <c r="AQ2746" s="32"/>
    </row>
    <row r="2747" spans="43:43" ht="12" customHeight="1" x14ac:dyDescent="0.2">
      <c r="AQ2747" s="32"/>
    </row>
    <row r="2748" spans="43:43" ht="12" customHeight="1" x14ac:dyDescent="0.2">
      <c r="AQ2748" s="32"/>
    </row>
    <row r="2749" spans="43:43" ht="12" customHeight="1" x14ac:dyDescent="0.2">
      <c r="AQ2749" s="32"/>
    </row>
    <row r="2750" spans="43:43" ht="12" customHeight="1" x14ac:dyDescent="0.2">
      <c r="AQ2750" s="32"/>
    </row>
    <row r="2751" spans="43:43" ht="12" customHeight="1" x14ac:dyDescent="0.2">
      <c r="AQ2751" s="32"/>
    </row>
    <row r="2752" spans="43:43" ht="12" customHeight="1" x14ac:dyDescent="0.2">
      <c r="AQ2752" s="32"/>
    </row>
    <row r="2753" spans="43:43" ht="12" customHeight="1" x14ac:dyDescent="0.2">
      <c r="AQ2753" s="32"/>
    </row>
    <row r="2754" spans="43:43" ht="12" customHeight="1" x14ac:dyDescent="0.2">
      <c r="AQ2754" s="32"/>
    </row>
    <row r="2755" spans="43:43" ht="12" customHeight="1" x14ac:dyDescent="0.2">
      <c r="AQ2755" s="32"/>
    </row>
    <row r="2756" spans="43:43" ht="12" customHeight="1" x14ac:dyDescent="0.2">
      <c r="AQ2756" s="32"/>
    </row>
    <row r="2757" spans="43:43" ht="12" customHeight="1" x14ac:dyDescent="0.2">
      <c r="AQ2757" s="32"/>
    </row>
    <row r="2758" spans="43:43" ht="12" customHeight="1" x14ac:dyDescent="0.2">
      <c r="AQ2758" s="32"/>
    </row>
    <row r="2759" spans="43:43" ht="12" customHeight="1" x14ac:dyDescent="0.2">
      <c r="AQ2759" s="32"/>
    </row>
    <row r="2760" spans="43:43" ht="12" customHeight="1" x14ac:dyDescent="0.2">
      <c r="AQ2760" s="32"/>
    </row>
    <row r="2761" spans="43:43" ht="12" customHeight="1" x14ac:dyDescent="0.2">
      <c r="AQ2761" s="32"/>
    </row>
    <row r="2762" spans="43:43" ht="12" customHeight="1" x14ac:dyDescent="0.2">
      <c r="AQ2762" s="32"/>
    </row>
    <row r="2763" spans="43:43" ht="12" customHeight="1" x14ac:dyDescent="0.2">
      <c r="AQ2763" s="32"/>
    </row>
    <row r="2764" spans="43:43" ht="12" customHeight="1" x14ac:dyDescent="0.2">
      <c r="AQ2764" s="32"/>
    </row>
    <row r="2765" spans="43:43" ht="12" customHeight="1" x14ac:dyDescent="0.2">
      <c r="AQ2765" s="32"/>
    </row>
    <row r="2766" spans="43:43" ht="12" customHeight="1" x14ac:dyDescent="0.2">
      <c r="AQ2766" s="32"/>
    </row>
    <row r="2767" spans="43:43" ht="12" customHeight="1" x14ac:dyDescent="0.2">
      <c r="AQ2767" s="32"/>
    </row>
    <row r="2768" spans="43:43" ht="12" customHeight="1" x14ac:dyDescent="0.2">
      <c r="AQ2768" s="32"/>
    </row>
    <row r="2769" spans="43:43" ht="12" customHeight="1" x14ac:dyDescent="0.2">
      <c r="AQ2769" s="32"/>
    </row>
    <row r="2770" spans="43:43" ht="12" customHeight="1" x14ac:dyDescent="0.2">
      <c r="AQ2770" s="32"/>
    </row>
    <row r="2771" spans="43:43" ht="12" customHeight="1" x14ac:dyDescent="0.2">
      <c r="AQ2771" s="32"/>
    </row>
    <row r="2772" spans="43:43" ht="12" customHeight="1" x14ac:dyDescent="0.2">
      <c r="AQ2772" s="32"/>
    </row>
    <row r="2773" spans="43:43" ht="12" customHeight="1" x14ac:dyDescent="0.2">
      <c r="AQ2773" s="32"/>
    </row>
    <row r="2774" spans="43:43" ht="12" customHeight="1" x14ac:dyDescent="0.2">
      <c r="AQ2774" s="32"/>
    </row>
    <row r="2775" spans="43:43" ht="12" customHeight="1" x14ac:dyDescent="0.2">
      <c r="AQ2775" s="32"/>
    </row>
    <row r="2776" spans="43:43" ht="12" customHeight="1" x14ac:dyDescent="0.2">
      <c r="AQ2776" s="32"/>
    </row>
    <row r="2777" spans="43:43" ht="12" customHeight="1" x14ac:dyDescent="0.2">
      <c r="AQ2777" s="32"/>
    </row>
    <row r="2778" spans="43:43" ht="12" customHeight="1" x14ac:dyDescent="0.2">
      <c r="AQ2778" s="32"/>
    </row>
    <row r="2779" spans="43:43" ht="12" customHeight="1" x14ac:dyDescent="0.2">
      <c r="AQ2779" s="32"/>
    </row>
    <row r="2780" spans="43:43" ht="12" customHeight="1" x14ac:dyDescent="0.2">
      <c r="AQ2780" s="32"/>
    </row>
    <row r="2781" spans="43:43" ht="12" customHeight="1" x14ac:dyDescent="0.2">
      <c r="AQ2781" s="32"/>
    </row>
    <row r="2782" spans="43:43" ht="12" customHeight="1" x14ac:dyDescent="0.2">
      <c r="AQ2782" s="32"/>
    </row>
    <row r="2783" spans="43:43" ht="12" customHeight="1" x14ac:dyDescent="0.2">
      <c r="AQ2783" s="32"/>
    </row>
    <row r="2784" spans="43:43" ht="12" customHeight="1" x14ac:dyDescent="0.2">
      <c r="AQ2784" s="32"/>
    </row>
    <row r="2785" spans="43:43" ht="12" customHeight="1" x14ac:dyDescent="0.2">
      <c r="AQ2785" s="32"/>
    </row>
    <row r="2786" spans="43:43" ht="12" customHeight="1" x14ac:dyDescent="0.2">
      <c r="AQ2786" s="32"/>
    </row>
    <row r="2787" spans="43:43" ht="12" customHeight="1" x14ac:dyDescent="0.2">
      <c r="AQ2787" s="32"/>
    </row>
    <row r="2788" spans="43:43" ht="12" customHeight="1" x14ac:dyDescent="0.2">
      <c r="AQ2788" s="32"/>
    </row>
    <row r="2789" spans="43:43" ht="12" customHeight="1" x14ac:dyDescent="0.2">
      <c r="AQ2789" s="32"/>
    </row>
    <row r="2790" spans="43:43" ht="12" customHeight="1" x14ac:dyDescent="0.2">
      <c r="AQ2790" s="32"/>
    </row>
    <row r="2791" spans="43:43" ht="12" customHeight="1" x14ac:dyDescent="0.2">
      <c r="AQ2791" s="32"/>
    </row>
    <row r="2792" spans="43:43" ht="12" customHeight="1" x14ac:dyDescent="0.2">
      <c r="AQ2792" s="32"/>
    </row>
    <row r="2793" spans="43:43" ht="12" customHeight="1" x14ac:dyDescent="0.2">
      <c r="AQ2793" s="32"/>
    </row>
    <row r="2794" spans="43:43" ht="12" customHeight="1" x14ac:dyDescent="0.2">
      <c r="AQ2794" s="32"/>
    </row>
    <row r="2795" spans="43:43" ht="12" customHeight="1" x14ac:dyDescent="0.2">
      <c r="AQ2795" s="32"/>
    </row>
    <row r="2796" spans="43:43" ht="12" customHeight="1" x14ac:dyDescent="0.2">
      <c r="AQ2796" s="32"/>
    </row>
    <row r="2797" spans="43:43" ht="12" customHeight="1" x14ac:dyDescent="0.2">
      <c r="AQ2797" s="32"/>
    </row>
    <row r="2798" spans="43:43" ht="12" customHeight="1" x14ac:dyDescent="0.2">
      <c r="AQ2798" s="32"/>
    </row>
    <row r="2799" spans="43:43" ht="12" customHeight="1" x14ac:dyDescent="0.2">
      <c r="AQ2799" s="32"/>
    </row>
    <row r="2800" spans="43:43" ht="12" customHeight="1" x14ac:dyDescent="0.2">
      <c r="AQ2800" s="32"/>
    </row>
    <row r="2801" spans="43:43" ht="12" customHeight="1" x14ac:dyDescent="0.2">
      <c r="AQ2801" s="32"/>
    </row>
    <row r="2802" spans="43:43" ht="12" customHeight="1" x14ac:dyDescent="0.2">
      <c r="AQ2802" s="32"/>
    </row>
    <row r="2803" spans="43:43" ht="12" customHeight="1" x14ac:dyDescent="0.2">
      <c r="AQ2803" s="32"/>
    </row>
    <row r="2804" spans="43:43" ht="12" customHeight="1" x14ac:dyDescent="0.2">
      <c r="AQ2804" s="32"/>
    </row>
    <row r="2805" spans="43:43" ht="12" customHeight="1" x14ac:dyDescent="0.2">
      <c r="AQ2805" s="32"/>
    </row>
    <row r="2806" spans="43:43" ht="12" customHeight="1" x14ac:dyDescent="0.2">
      <c r="AQ2806" s="32"/>
    </row>
    <row r="2807" spans="43:43" ht="12" customHeight="1" x14ac:dyDescent="0.2">
      <c r="AQ2807" s="32"/>
    </row>
    <row r="2808" spans="43:43" ht="12" customHeight="1" x14ac:dyDescent="0.2">
      <c r="AQ2808" s="32"/>
    </row>
    <row r="2809" spans="43:43" ht="12" customHeight="1" x14ac:dyDescent="0.2">
      <c r="AQ2809" s="32"/>
    </row>
    <row r="2810" spans="43:43" ht="12" customHeight="1" x14ac:dyDescent="0.2">
      <c r="AQ2810" s="32"/>
    </row>
    <row r="2811" spans="43:43" ht="12" customHeight="1" x14ac:dyDescent="0.2">
      <c r="AQ2811" s="32"/>
    </row>
    <row r="2812" spans="43:43" ht="12" customHeight="1" x14ac:dyDescent="0.2">
      <c r="AQ2812" s="32"/>
    </row>
    <row r="2813" spans="43:43" ht="12" customHeight="1" x14ac:dyDescent="0.2">
      <c r="AQ2813" s="32"/>
    </row>
    <row r="2814" spans="43:43" ht="12" customHeight="1" x14ac:dyDescent="0.2">
      <c r="AQ2814" s="32"/>
    </row>
    <row r="2815" spans="43:43" ht="12" customHeight="1" x14ac:dyDescent="0.2">
      <c r="AQ2815" s="32"/>
    </row>
    <row r="2816" spans="43:43" ht="12" customHeight="1" x14ac:dyDescent="0.2">
      <c r="AQ2816" s="32"/>
    </row>
    <row r="2817" spans="43:43" ht="12" customHeight="1" x14ac:dyDescent="0.2">
      <c r="AQ2817" s="32"/>
    </row>
    <row r="2818" spans="43:43" ht="12" customHeight="1" x14ac:dyDescent="0.2">
      <c r="AQ2818" s="32"/>
    </row>
    <row r="2819" spans="43:43" ht="12" customHeight="1" x14ac:dyDescent="0.2">
      <c r="AQ2819" s="32"/>
    </row>
    <row r="2820" spans="43:43" ht="12" customHeight="1" x14ac:dyDescent="0.2">
      <c r="AQ2820" s="32"/>
    </row>
    <row r="2821" spans="43:43" ht="12" customHeight="1" x14ac:dyDescent="0.2">
      <c r="AQ2821" s="32"/>
    </row>
    <row r="2822" spans="43:43" ht="12" customHeight="1" x14ac:dyDescent="0.2">
      <c r="AQ2822" s="32"/>
    </row>
    <row r="2823" spans="43:43" ht="12" customHeight="1" x14ac:dyDescent="0.2">
      <c r="AQ2823" s="32"/>
    </row>
    <row r="2824" spans="43:43" ht="12" customHeight="1" x14ac:dyDescent="0.2">
      <c r="AQ2824" s="32"/>
    </row>
    <row r="2825" spans="43:43" ht="12" customHeight="1" x14ac:dyDescent="0.2">
      <c r="AQ2825" s="32"/>
    </row>
    <row r="2826" spans="43:43" ht="12" customHeight="1" x14ac:dyDescent="0.2">
      <c r="AQ2826" s="32"/>
    </row>
    <row r="2827" spans="43:43" ht="12" customHeight="1" x14ac:dyDescent="0.2">
      <c r="AQ2827" s="32"/>
    </row>
    <row r="2828" spans="43:43" ht="12" customHeight="1" x14ac:dyDescent="0.2">
      <c r="AQ2828" s="32"/>
    </row>
    <row r="2829" spans="43:43" ht="12" customHeight="1" x14ac:dyDescent="0.2">
      <c r="AQ2829" s="32"/>
    </row>
    <row r="2830" spans="43:43" ht="12" customHeight="1" x14ac:dyDescent="0.2">
      <c r="AQ2830" s="32"/>
    </row>
    <row r="2831" spans="43:43" ht="12" customHeight="1" x14ac:dyDescent="0.2">
      <c r="AQ2831" s="32"/>
    </row>
    <row r="2832" spans="43:43" ht="12" customHeight="1" x14ac:dyDescent="0.2">
      <c r="AQ2832" s="32"/>
    </row>
    <row r="2833" spans="43:43" ht="12" customHeight="1" x14ac:dyDescent="0.2">
      <c r="AQ2833" s="32"/>
    </row>
    <row r="2834" spans="43:43" ht="12" customHeight="1" x14ac:dyDescent="0.2">
      <c r="AQ2834" s="32"/>
    </row>
    <row r="2835" spans="43:43" ht="12" customHeight="1" x14ac:dyDescent="0.2">
      <c r="AQ2835" s="32"/>
    </row>
    <row r="2836" spans="43:43" ht="12" customHeight="1" x14ac:dyDescent="0.2">
      <c r="AQ2836" s="32"/>
    </row>
    <row r="2837" spans="43:43" ht="12" customHeight="1" x14ac:dyDescent="0.2">
      <c r="AQ2837" s="32"/>
    </row>
    <row r="2838" spans="43:43" ht="12" customHeight="1" x14ac:dyDescent="0.2">
      <c r="AQ2838" s="32"/>
    </row>
    <row r="2839" spans="43:43" ht="12" customHeight="1" x14ac:dyDescent="0.2">
      <c r="AQ2839" s="32"/>
    </row>
    <row r="2840" spans="43:43" ht="12" customHeight="1" x14ac:dyDescent="0.2">
      <c r="AQ2840" s="32"/>
    </row>
    <row r="2841" spans="43:43" ht="12" customHeight="1" x14ac:dyDescent="0.2">
      <c r="AQ2841" s="32"/>
    </row>
    <row r="2842" spans="43:43" ht="12" customHeight="1" x14ac:dyDescent="0.2">
      <c r="AQ2842" s="32"/>
    </row>
    <row r="2843" spans="43:43" ht="12" customHeight="1" x14ac:dyDescent="0.2">
      <c r="AQ2843" s="32"/>
    </row>
    <row r="2844" spans="43:43" ht="12" customHeight="1" x14ac:dyDescent="0.2">
      <c r="AQ2844" s="32"/>
    </row>
    <row r="2845" spans="43:43" ht="12" customHeight="1" x14ac:dyDescent="0.2">
      <c r="AQ2845" s="32"/>
    </row>
    <row r="2846" spans="43:43" ht="12" customHeight="1" x14ac:dyDescent="0.2">
      <c r="AQ2846" s="32"/>
    </row>
    <row r="2847" spans="43:43" ht="12" customHeight="1" x14ac:dyDescent="0.2">
      <c r="AQ2847" s="32"/>
    </row>
    <row r="2848" spans="43:43" ht="12" customHeight="1" x14ac:dyDescent="0.2">
      <c r="AQ2848" s="32"/>
    </row>
    <row r="2849" spans="43:43" ht="12" customHeight="1" x14ac:dyDescent="0.2">
      <c r="AQ2849" s="32"/>
    </row>
    <row r="2850" spans="43:43" ht="12" customHeight="1" x14ac:dyDescent="0.2">
      <c r="AQ2850" s="32"/>
    </row>
    <row r="2851" spans="43:43" ht="12" customHeight="1" x14ac:dyDescent="0.2">
      <c r="AQ2851" s="32"/>
    </row>
    <row r="2852" spans="43:43" ht="12" customHeight="1" x14ac:dyDescent="0.2">
      <c r="AQ2852" s="32"/>
    </row>
    <row r="2853" spans="43:43" ht="12" customHeight="1" x14ac:dyDescent="0.2">
      <c r="AQ2853" s="32"/>
    </row>
    <row r="2854" spans="43:43" ht="12" customHeight="1" x14ac:dyDescent="0.2">
      <c r="AQ2854" s="32"/>
    </row>
    <row r="2855" spans="43:43" ht="12" customHeight="1" x14ac:dyDescent="0.2">
      <c r="AQ2855" s="32"/>
    </row>
    <row r="2856" spans="43:43" ht="12" customHeight="1" x14ac:dyDescent="0.2">
      <c r="AQ2856" s="32"/>
    </row>
    <row r="2857" spans="43:43" ht="12" customHeight="1" x14ac:dyDescent="0.2">
      <c r="AQ2857" s="32"/>
    </row>
    <row r="2858" spans="43:43" ht="12" customHeight="1" x14ac:dyDescent="0.2">
      <c r="AQ2858" s="32"/>
    </row>
    <row r="2859" spans="43:43" ht="12" customHeight="1" x14ac:dyDescent="0.2">
      <c r="AQ2859" s="32"/>
    </row>
    <row r="2860" spans="43:43" ht="12" customHeight="1" x14ac:dyDescent="0.2">
      <c r="AQ2860" s="32"/>
    </row>
    <row r="2861" spans="43:43" ht="12" customHeight="1" x14ac:dyDescent="0.2">
      <c r="AQ2861" s="32"/>
    </row>
    <row r="2862" spans="43:43" ht="12" customHeight="1" x14ac:dyDescent="0.2">
      <c r="AQ2862" s="32"/>
    </row>
    <row r="2863" spans="43:43" ht="12" customHeight="1" x14ac:dyDescent="0.2">
      <c r="AQ2863" s="32"/>
    </row>
    <row r="2864" spans="43:43" ht="12" customHeight="1" x14ac:dyDescent="0.2">
      <c r="AQ2864" s="32"/>
    </row>
    <row r="2865" spans="43:43" ht="12" customHeight="1" x14ac:dyDescent="0.2">
      <c r="AQ2865" s="32"/>
    </row>
    <row r="2866" spans="43:43" ht="12" customHeight="1" x14ac:dyDescent="0.2">
      <c r="AQ2866" s="32"/>
    </row>
    <row r="2867" spans="43:43" ht="12" customHeight="1" x14ac:dyDescent="0.2">
      <c r="AQ2867" s="32"/>
    </row>
    <row r="2868" spans="43:43" ht="12" customHeight="1" x14ac:dyDescent="0.2">
      <c r="AQ2868" s="32"/>
    </row>
    <row r="2869" spans="43:43" ht="12" customHeight="1" x14ac:dyDescent="0.2">
      <c r="AQ2869" s="32"/>
    </row>
    <row r="2870" spans="43:43" ht="12" customHeight="1" x14ac:dyDescent="0.2">
      <c r="AQ2870" s="32"/>
    </row>
    <row r="2871" spans="43:43" ht="12" customHeight="1" x14ac:dyDescent="0.2">
      <c r="AQ2871" s="32"/>
    </row>
    <row r="2872" spans="43:43" ht="12" customHeight="1" x14ac:dyDescent="0.2">
      <c r="AQ2872" s="32"/>
    </row>
    <row r="2873" spans="43:43" ht="12" customHeight="1" x14ac:dyDescent="0.2">
      <c r="AQ2873" s="32"/>
    </row>
    <row r="2874" spans="43:43" ht="12" customHeight="1" x14ac:dyDescent="0.2">
      <c r="AQ2874" s="32"/>
    </row>
    <row r="2875" spans="43:43" ht="12" customHeight="1" x14ac:dyDescent="0.2">
      <c r="AQ2875" s="32"/>
    </row>
    <row r="2876" spans="43:43" ht="12" customHeight="1" x14ac:dyDescent="0.2">
      <c r="AQ2876" s="32"/>
    </row>
    <row r="2877" spans="43:43" ht="12" customHeight="1" x14ac:dyDescent="0.2">
      <c r="AQ2877" s="32"/>
    </row>
    <row r="2878" spans="43:43" ht="12" customHeight="1" x14ac:dyDescent="0.2">
      <c r="AQ2878" s="32"/>
    </row>
    <row r="2879" spans="43:43" ht="12" customHeight="1" x14ac:dyDescent="0.2">
      <c r="AQ2879" s="32"/>
    </row>
    <row r="2880" spans="43:43" ht="12" customHeight="1" x14ac:dyDescent="0.2">
      <c r="AQ2880" s="32"/>
    </row>
    <row r="2881" spans="43:43" ht="12" customHeight="1" x14ac:dyDescent="0.2">
      <c r="AQ2881" s="32"/>
    </row>
    <row r="2882" spans="43:43" ht="12" customHeight="1" x14ac:dyDescent="0.2">
      <c r="AQ2882" s="32"/>
    </row>
    <row r="2883" spans="43:43" ht="12" customHeight="1" x14ac:dyDescent="0.2">
      <c r="AQ2883" s="32"/>
    </row>
    <row r="2884" spans="43:43" ht="12" customHeight="1" x14ac:dyDescent="0.2">
      <c r="AQ2884" s="32"/>
    </row>
    <row r="2885" spans="43:43" ht="12" customHeight="1" x14ac:dyDescent="0.2">
      <c r="AQ2885" s="32"/>
    </row>
    <row r="2886" spans="43:43" ht="12" customHeight="1" x14ac:dyDescent="0.2">
      <c r="AQ2886" s="32"/>
    </row>
    <row r="2887" spans="43:43" ht="12" customHeight="1" x14ac:dyDescent="0.2">
      <c r="AQ2887" s="32"/>
    </row>
    <row r="2888" spans="43:43" ht="12" customHeight="1" x14ac:dyDescent="0.2">
      <c r="AQ2888" s="32"/>
    </row>
    <row r="2889" spans="43:43" ht="12" customHeight="1" x14ac:dyDescent="0.2">
      <c r="AQ2889" s="32"/>
    </row>
    <row r="2890" spans="43:43" ht="12" customHeight="1" x14ac:dyDescent="0.2">
      <c r="AQ2890" s="32"/>
    </row>
    <row r="2891" spans="43:43" ht="12" customHeight="1" x14ac:dyDescent="0.2">
      <c r="AQ2891" s="32"/>
    </row>
    <row r="2892" spans="43:43" ht="12" customHeight="1" x14ac:dyDescent="0.2">
      <c r="AQ2892" s="32"/>
    </row>
    <row r="2893" spans="43:43" ht="12" customHeight="1" x14ac:dyDescent="0.2">
      <c r="AQ2893" s="32"/>
    </row>
    <row r="2894" spans="43:43" ht="12" customHeight="1" x14ac:dyDescent="0.2">
      <c r="AQ2894" s="32"/>
    </row>
    <row r="2895" spans="43:43" ht="12" customHeight="1" x14ac:dyDescent="0.2">
      <c r="AQ2895" s="32"/>
    </row>
    <row r="2896" spans="43:43" ht="12" customHeight="1" x14ac:dyDescent="0.2">
      <c r="AQ2896" s="32"/>
    </row>
    <row r="2897" spans="43:43" ht="12" customHeight="1" x14ac:dyDescent="0.2">
      <c r="AQ2897" s="32"/>
    </row>
    <row r="2898" spans="43:43" ht="12" customHeight="1" x14ac:dyDescent="0.2">
      <c r="AQ2898" s="32"/>
    </row>
    <row r="2899" spans="43:43" ht="12" customHeight="1" x14ac:dyDescent="0.2">
      <c r="AQ2899" s="32"/>
    </row>
    <row r="2900" spans="43:43" ht="12" customHeight="1" x14ac:dyDescent="0.2">
      <c r="AQ2900" s="32"/>
    </row>
    <row r="2901" spans="43:43" ht="12" customHeight="1" x14ac:dyDescent="0.2">
      <c r="AQ2901" s="32"/>
    </row>
    <row r="2902" spans="43:43" ht="12" customHeight="1" x14ac:dyDescent="0.2">
      <c r="AQ2902" s="32"/>
    </row>
    <row r="2903" spans="43:43" ht="12" customHeight="1" x14ac:dyDescent="0.2">
      <c r="AQ2903" s="32"/>
    </row>
    <row r="2904" spans="43:43" ht="12" customHeight="1" x14ac:dyDescent="0.2">
      <c r="AQ2904" s="32"/>
    </row>
    <row r="2905" spans="43:43" ht="12" customHeight="1" x14ac:dyDescent="0.2">
      <c r="AQ2905" s="32"/>
    </row>
    <row r="2906" spans="43:43" ht="12" customHeight="1" x14ac:dyDescent="0.2">
      <c r="AQ2906" s="32"/>
    </row>
    <row r="2907" spans="43:43" ht="12" customHeight="1" x14ac:dyDescent="0.2">
      <c r="AQ2907" s="32"/>
    </row>
    <row r="2908" spans="43:43" ht="12" customHeight="1" x14ac:dyDescent="0.2">
      <c r="AQ2908" s="32"/>
    </row>
    <row r="2909" spans="43:43" ht="12" customHeight="1" x14ac:dyDescent="0.2">
      <c r="AQ2909" s="32"/>
    </row>
    <row r="2910" spans="43:43" ht="12" customHeight="1" x14ac:dyDescent="0.2">
      <c r="AQ2910" s="32"/>
    </row>
    <row r="2911" spans="43:43" ht="12" customHeight="1" x14ac:dyDescent="0.2">
      <c r="AQ2911" s="32"/>
    </row>
    <row r="2912" spans="43:43" ht="12" customHeight="1" x14ac:dyDescent="0.2">
      <c r="AQ2912" s="32"/>
    </row>
    <row r="2913" spans="43:43" ht="12" customHeight="1" x14ac:dyDescent="0.2">
      <c r="AQ2913" s="32"/>
    </row>
    <row r="2914" spans="43:43" ht="12" customHeight="1" x14ac:dyDescent="0.2">
      <c r="AQ2914" s="32"/>
    </row>
    <row r="2915" spans="43:43" ht="12" customHeight="1" x14ac:dyDescent="0.2">
      <c r="AQ2915" s="32"/>
    </row>
    <row r="2916" spans="43:43" ht="12" customHeight="1" x14ac:dyDescent="0.2">
      <c r="AQ2916" s="32"/>
    </row>
    <row r="2917" spans="43:43" ht="12" customHeight="1" x14ac:dyDescent="0.2">
      <c r="AQ2917" s="32"/>
    </row>
    <row r="2918" spans="43:43" ht="12" customHeight="1" x14ac:dyDescent="0.2">
      <c r="AQ2918" s="32"/>
    </row>
    <row r="2919" spans="43:43" ht="12" customHeight="1" x14ac:dyDescent="0.2">
      <c r="AQ2919" s="32"/>
    </row>
    <row r="2920" spans="43:43" ht="12" customHeight="1" x14ac:dyDescent="0.2">
      <c r="AQ2920" s="32"/>
    </row>
    <row r="2921" spans="43:43" ht="12" customHeight="1" x14ac:dyDescent="0.2">
      <c r="AQ2921" s="32"/>
    </row>
    <row r="2922" spans="43:43" ht="12" customHeight="1" x14ac:dyDescent="0.2">
      <c r="AQ2922" s="32"/>
    </row>
    <row r="2923" spans="43:43" ht="12" customHeight="1" x14ac:dyDescent="0.2">
      <c r="AQ2923" s="32"/>
    </row>
    <row r="2924" spans="43:43" ht="12" customHeight="1" x14ac:dyDescent="0.2">
      <c r="AQ2924" s="32"/>
    </row>
    <row r="2925" spans="43:43" ht="12" customHeight="1" x14ac:dyDescent="0.2">
      <c r="AQ2925" s="32"/>
    </row>
    <row r="2926" spans="43:43" ht="12" customHeight="1" x14ac:dyDescent="0.2">
      <c r="AQ2926" s="32"/>
    </row>
    <row r="2927" spans="43:43" ht="12" customHeight="1" x14ac:dyDescent="0.2">
      <c r="AQ2927" s="32"/>
    </row>
    <row r="2928" spans="43:43" ht="12" customHeight="1" x14ac:dyDescent="0.2">
      <c r="AQ2928" s="32"/>
    </row>
    <row r="2929" spans="43:43" ht="12" customHeight="1" x14ac:dyDescent="0.2">
      <c r="AQ2929" s="32"/>
    </row>
    <row r="2930" spans="43:43" ht="12" customHeight="1" x14ac:dyDescent="0.2">
      <c r="AQ2930" s="32"/>
    </row>
    <row r="2931" spans="43:43" ht="12" customHeight="1" x14ac:dyDescent="0.2">
      <c r="AQ2931" s="32"/>
    </row>
    <row r="2932" spans="43:43" ht="12" customHeight="1" x14ac:dyDescent="0.2">
      <c r="AQ2932" s="32"/>
    </row>
    <row r="2933" spans="43:43" ht="12" customHeight="1" x14ac:dyDescent="0.2">
      <c r="AQ2933" s="32"/>
    </row>
    <row r="2934" spans="43:43" ht="12" customHeight="1" x14ac:dyDescent="0.2">
      <c r="AQ2934" s="32"/>
    </row>
    <row r="2935" spans="43:43" ht="12" customHeight="1" x14ac:dyDescent="0.2">
      <c r="AQ2935" s="32"/>
    </row>
    <row r="2936" spans="43:43" ht="12" customHeight="1" x14ac:dyDescent="0.2">
      <c r="AQ2936" s="32"/>
    </row>
    <row r="2937" spans="43:43" ht="12" customHeight="1" x14ac:dyDescent="0.2">
      <c r="AQ2937" s="32"/>
    </row>
    <row r="2938" spans="43:43" ht="12" customHeight="1" x14ac:dyDescent="0.2">
      <c r="AQ2938" s="32"/>
    </row>
    <row r="2939" spans="43:43" ht="12" customHeight="1" x14ac:dyDescent="0.2">
      <c r="AQ2939" s="32"/>
    </row>
    <row r="2940" spans="43:43" ht="12" customHeight="1" x14ac:dyDescent="0.2">
      <c r="AQ2940" s="32"/>
    </row>
    <row r="2941" spans="43:43" ht="12" customHeight="1" x14ac:dyDescent="0.2">
      <c r="AQ2941" s="32"/>
    </row>
    <row r="2942" spans="43:43" ht="12" customHeight="1" x14ac:dyDescent="0.2">
      <c r="AQ2942" s="32"/>
    </row>
    <row r="2943" spans="43:43" ht="12" customHeight="1" x14ac:dyDescent="0.2">
      <c r="AQ2943" s="32"/>
    </row>
    <row r="2944" spans="43:43" ht="12" customHeight="1" x14ac:dyDescent="0.2">
      <c r="AQ2944" s="32"/>
    </row>
    <row r="2945" spans="43:43" ht="12" customHeight="1" x14ac:dyDescent="0.2">
      <c r="AQ2945" s="32"/>
    </row>
    <row r="2946" spans="43:43" ht="12" customHeight="1" x14ac:dyDescent="0.2">
      <c r="AQ2946" s="32"/>
    </row>
    <row r="2947" spans="43:43" ht="12" customHeight="1" x14ac:dyDescent="0.2">
      <c r="AQ2947" s="32"/>
    </row>
    <row r="2948" spans="43:43" ht="12" customHeight="1" x14ac:dyDescent="0.2">
      <c r="AQ2948" s="32"/>
    </row>
    <row r="2949" spans="43:43" ht="12" customHeight="1" x14ac:dyDescent="0.2">
      <c r="AQ2949" s="32"/>
    </row>
    <row r="2950" spans="43:43" ht="12" customHeight="1" x14ac:dyDescent="0.2">
      <c r="AQ2950" s="32"/>
    </row>
    <row r="2951" spans="43:43" ht="12" customHeight="1" x14ac:dyDescent="0.2">
      <c r="AQ2951" s="32"/>
    </row>
    <row r="2952" spans="43:43" ht="12" customHeight="1" x14ac:dyDescent="0.2">
      <c r="AQ2952" s="32"/>
    </row>
    <row r="2953" spans="43:43" ht="12" customHeight="1" x14ac:dyDescent="0.2">
      <c r="AQ2953" s="32"/>
    </row>
    <row r="2954" spans="43:43" ht="12" customHeight="1" x14ac:dyDescent="0.2">
      <c r="AQ2954" s="32"/>
    </row>
    <row r="2955" spans="43:43" ht="12" customHeight="1" x14ac:dyDescent="0.2">
      <c r="AQ2955" s="32"/>
    </row>
    <row r="2956" spans="43:43" ht="12" customHeight="1" x14ac:dyDescent="0.2">
      <c r="AQ2956" s="32"/>
    </row>
    <row r="2957" spans="43:43" ht="12" customHeight="1" x14ac:dyDescent="0.2">
      <c r="AQ2957" s="32"/>
    </row>
    <row r="2958" spans="43:43" ht="12" customHeight="1" x14ac:dyDescent="0.2">
      <c r="AQ2958" s="32"/>
    </row>
    <row r="2959" spans="43:43" ht="12" customHeight="1" x14ac:dyDescent="0.2">
      <c r="AQ2959" s="32"/>
    </row>
    <row r="2960" spans="43:43" ht="12" customHeight="1" x14ac:dyDescent="0.2">
      <c r="AQ2960" s="32"/>
    </row>
    <row r="2961" spans="43:43" ht="12" customHeight="1" x14ac:dyDescent="0.2">
      <c r="AQ2961" s="32"/>
    </row>
    <row r="2962" spans="43:43" ht="12" customHeight="1" x14ac:dyDescent="0.2">
      <c r="AQ2962" s="32"/>
    </row>
    <row r="2963" spans="43:43" ht="12" customHeight="1" x14ac:dyDescent="0.2">
      <c r="AQ2963" s="32"/>
    </row>
    <row r="2964" spans="43:43" ht="12" customHeight="1" x14ac:dyDescent="0.2">
      <c r="AQ2964" s="32"/>
    </row>
    <row r="2965" spans="43:43" ht="12" customHeight="1" x14ac:dyDescent="0.2">
      <c r="AQ2965" s="32"/>
    </row>
    <row r="2966" spans="43:43" ht="12" customHeight="1" x14ac:dyDescent="0.2">
      <c r="AQ2966" s="32"/>
    </row>
    <row r="2967" spans="43:43" ht="12" customHeight="1" x14ac:dyDescent="0.2">
      <c r="AQ2967" s="32"/>
    </row>
    <row r="2968" spans="43:43" ht="12" customHeight="1" x14ac:dyDescent="0.2">
      <c r="AQ2968" s="32"/>
    </row>
    <row r="2969" spans="43:43" ht="12" customHeight="1" x14ac:dyDescent="0.2">
      <c r="AQ2969" s="32"/>
    </row>
    <row r="2970" spans="43:43" ht="12" customHeight="1" x14ac:dyDescent="0.2">
      <c r="AQ2970" s="32"/>
    </row>
    <row r="2971" spans="43:43" ht="12" customHeight="1" x14ac:dyDescent="0.2">
      <c r="AQ2971" s="32"/>
    </row>
    <row r="2972" spans="43:43" ht="12" customHeight="1" x14ac:dyDescent="0.2">
      <c r="AQ2972" s="32"/>
    </row>
    <row r="2973" spans="43:43" ht="12" customHeight="1" x14ac:dyDescent="0.2">
      <c r="AQ2973" s="32"/>
    </row>
    <row r="2974" spans="43:43" ht="12" customHeight="1" x14ac:dyDescent="0.2">
      <c r="AQ2974" s="32"/>
    </row>
    <row r="2975" spans="43:43" ht="12" customHeight="1" x14ac:dyDescent="0.2">
      <c r="AQ2975" s="32"/>
    </row>
    <row r="2976" spans="43:43" ht="12" customHeight="1" x14ac:dyDescent="0.2">
      <c r="AQ2976" s="32"/>
    </row>
    <row r="2977" spans="43:43" ht="12" customHeight="1" x14ac:dyDescent="0.2">
      <c r="AQ2977" s="32"/>
    </row>
    <row r="2978" spans="43:43" ht="12" customHeight="1" x14ac:dyDescent="0.2">
      <c r="AQ2978" s="32"/>
    </row>
    <row r="2979" spans="43:43" ht="12" customHeight="1" x14ac:dyDescent="0.2">
      <c r="AQ2979" s="32"/>
    </row>
    <row r="2980" spans="43:43" ht="12" customHeight="1" x14ac:dyDescent="0.2">
      <c r="AQ2980" s="32"/>
    </row>
    <row r="2981" spans="43:43" ht="12" customHeight="1" x14ac:dyDescent="0.2">
      <c r="AQ2981" s="32"/>
    </row>
    <row r="2982" spans="43:43" ht="12" customHeight="1" x14ac:dyDescent="0.2">
      <c r="AQ2982" s="32"/>
    </row>
    <row r="2983" spans="43:43" ht="12" customHeight="1" x14ac:dyDescent="0.2">
      <c r="AQ2983" s="32"/>
    </row>
    <row r="2984" spans="43:43" ht="12" customHeight="1" x14ac:dyDescent="0.2">
      <c r="AQ2984" s="32"/>
    </row>
    <row r="2985" spans="43:43" ht="12" customHeight="1" x14ac:dyDescent="0.2">
      <c r="AQ2985" s="32"/>
    </row>
    <row r="2986" spans="43:43" ht="12" customHeight="1" x14ac:dyDescent="0.2">
      <c r="AQ2986" s="32"/>
    </row>
    <row r="2987" spans="43:43" ht="12" customHeight="1" x14ac:dyDescent="0.2">
      <c r="AQ2987" s="32"/>
    </row>
    <row r="2988" spans="43:43" ht="12" customHeight="1" x14ac:dyDescent="0.2">
      <c r="AQ2988" s="32"/>
    </row>
    <row r="2989" spans="43:43" ht="12" customHeight="1" x14ac:dyDescent="0.2">
      <c r="AQ2989" s="32"/>
    </row>
    <row r="2990" spans="43:43" ht="12" customHeight="1" x14ac:dyDescent="0.2">
      <c r="AQ2990" s="32"/>
    </row>
    <row r="2991" spans="43:43" ht="12" customHeight="1" x14ac:dyDescent="0.2">
      <c r="AQ2991" s="32"/>
    </row>
    <row r="2992" spans="43:43" ht="12" customHeight="1" x14ac:dyDescent="0.2">
      <c r="AQ2992" s="32"/>
    </row>
    <row r="2993" spans="43:43" ht="12" customHeight="1" x14ac:dyDescent="0.2">
      <c r="AQ2993" s="32"/>
    </row>
    <row r="2994" spans="43:43" ht="12" customHeight="1" x14ac:dyDescent="0.2">
      <c r="AQ2994" s="32"/>
    </row>
    <row r="2995" spans="43:43" ht="12" customHeight="1" x14ac:dyDescent="0.2">
      <c r="AQ2995" s="32"/>
    </row>
    <row r="2996" spans="43:43" ht="12" customHeight="1" x14ac:dyDescent="0.2">
      <c r="AQ2996" s="32"/>
    </row>
    <row r="2997" spans="43:43" ht="12" customHeight="1" x14ac:dyDescent="0.2">
      <c r="AQ2997" s="32"/>
    </row>
    <row r="2998" spans="43:43" ht="12" customHeight="1" x14ac:dyDescent="0.2">
      <c r="AQ2998" s="32"/>
    </row>
    <row r="2999" spans="43:43" ht="12" customHeight="1" x14ac:dyDescent="0.2">
      <c r="AQ2999" s="32"/>
    </row>
    <row r="3000" spans="43:43" ht="12" customHeight="1" x14ac:dyDescent="0.2">
      <c r="AQ3000" s="32"/>
    </row>
    <row r="3001" spans="43:43" ht="12" customHeight="1" x14ac:dyDescent="0.2">
      <c r="AQ3001" s="32"/>
    </row>
    <row r="3002" spans="43:43" ht="12" customHeight="1" x14ac:dyDescent="0.2">
      <c r="AQ3002" s="32"/>
    </row>
    <row r="3003" spans="43:43" ht="12" customHeight="1" x14ac:dyDescent="0.2">
      <c r="AQ3003" s="32"/>
    </row>
    <row r="3004" spans="43:43" ht="12" customHeight="1" x14ac:dyDescent="0.2">
      <c r="AQ3004" s="32"/>
    </row>
    <row r="3005" spans="43:43" ht="12" customHeight="1" x14ac:dyDescent="0.2">
      <c r="AQ3005" s="32"/>
    </row>
    <row r="3006" spans="43:43" ht="12" customHeight="1" x14ac:dyDescent="0.2">
      <c r="AQ3006" s="32"/>
    </row>
    <row r="3007" spans="43:43" ht="12" customHeight="1" x14ac:dyDescent="0.2">
      <c r="AQ3007" s="32"/>
    </row>
    <row r="3008" spans="43:43" ht="12" customHeight="1" x14ac:dyDescent="0.2">
      <c r="AQ3008" s="32"/>
    </row>
    <row r="3009" spans="43:43" ht="12" customHeight="1" x14ac:dyDescent="0.2">
      <c r="AQ3009" s="32"/>
    </row>
    <row r="3010" spans="43:43" ht="12" customHeight="1" x14ac:dyDescent="0.2">
      <c r="AQ3010" s="32"/>
    </row>
    <row r="3011" spans="43:43" ht="12" customHeight="1" x14ac:dyDescent="0.2">
      <c r="AQ3011" s="32"/>
    </row>
    <row r="3012" spans="43:43" ht="12" customHeight="1" x14ac:dyDescent="0.2">
      <c r="AQ3012" s="32"/>
    </row>
    <row r="3013" spans="43:43" ht="12" customHeight="1" x14ac:dyDescent="0.2">
      <c r="AQ3013" s="32"/>
    </row>
    <row r="3014" spans="43:43" ht="12" customHeight="1" x14ac:dyDescent="0.2">
      <c r="AQ3014" s="32"/>
    </row>
    <row r="3015" spans="43:43" ht="12" customHeight="1" x14ac:dyDescent="0.2">
      <c r="AQ3015" s="32"/>
    </row>
    <row r="3016" spans="43:43" ht="12" customHeight="1" x14ac:dyDescent="0.2">
      <c r="AQ3016" s="32"/>
    </row>
    <row r="3017" spans="43:43" ht="12" customHeight="1" x14ac:dyDescent="0.2">
      <c r="AQ3017" s="32"/>
    </row>
    <row r="3018" spans="43:43" ht="12" customHeight="1" x14ac:dyDescent="0.2">
      <c r="AQ3018" s="32"/>
    </row>
    <row r="3019" spans="43:43" ht="12" customHeight="1" x14ac:dyDescent="0.2">
      <c r="AQ3019" s="32"/>
    </row>
    <row r="3020" spans="43:43" ht="12" customHeight="1" x14ac:dyDescent="0.2">
      <c r="AQ3020" s="32"/>
    </row>
    <row r="3021" spans="43:43" ht="12" customHeight="1" x14ac:dyDescent="0.2">
      <c r="AQ3021" s="32"/>
    </row>
    <row r="3022" spans="43:43" ht="12" customHeight="1" x14ac:dyDescent="0.2">
      <c r="AQ3022" s="32"/>
    </row>
    <row r="3023" spans="43:43" ht="12" customHeight="1" x14ac:dyDescent="0.2">
      <c r="AQ3023" s="32"/>
    </row>
    <row r="3024" spans="43:43" ht="12" customHeight="1" x14ac:dyDescent="0.2">
      <c r="AQ3024" s="32"/>
    </row>
    <row r="3025" spans="43:43" ht="12" customHeight="1" x14ac:dyDescent="0.2">
      <c r="AQ3025" s="32"/>
    </row>
    <row r="3026" spans="43:43" ht="12" customHeight="1" x14ac:dyDescent="0.2">
      <c r="AQ3026" s="32"/>
    </row>
    <row r="3027" spans="43:43" ht="12" customHeight="1" x14ac:dyDescent="0.2">
      <c r="AQ3027" s="32"/>
    </row>
    <row r="3028" spans="43:43" ht="12" customHeight="1" x14ac:dyDescent="0.2">
      <c r="AQ3028" s="32"/>
    </row>
    <row r="3029" spans="43:43" ht="12" customHeight="1" x14ac:dyDescent="0.2">
      <c r="AQ3029" s="32"/>
    </row>
    <row r="3030" spans="43:43" ht="12" customHeight="1" x14ac:dyDescent="0.2">
      <c r="AQ3030" s="32"/>
    </row>
    <row r="3031" spans="43:43" ht="12" customHeight="1" x14ac:dyDescent="0.2">
      <c r="AQ3031" s="32"/>
    </row>
    <row r="3032" spans="43:43" ht="12" customHeight="1" x14ac:dyDescent="0.2">
      <c r="AQ3032" s="32"/>
    </row>
    <row r="3033" spans="43:43" ht="12" customHeight="1" x14ac:dyDescent="0.2">
      <c r="AQ3033" s="32"/>
    </row>
    <row r="3034" spans="43:43" ht="12" customHeight="1" x14ac:dyDescent="0.2">
      <c r="AQ3034" s="32"/>
    </row>
    <row r="3035" spans="43:43" ht="12" customHeight="1" x14ac:dyDescent="0.2">
      <c r="AQ3035" s="32"/>
    </row>
    <row r="3036" spans="43:43" ht="12" customHeight="1" x14ac:dyDescent="0.2">
      <c r="AQ3036" s="32"/>
    </row>
    <row r="3037" spans="43:43" ht="12" customHeight="1" x14ac:dyDescent="0.2">
      <c r="AQ3037" s="32"/>
    </row>
    <row r="3038" spans="43:43" ht="12" customHeight="1" x14ac:dyDescent="0.2">
      <c r="AQ3038" s="32"/>
    </row>
    <row r="3039" spans="43:43" ht="12" customHeight="1" x14ac:dyDescent="0.2">
      <c r="AQ3039" s="32"/>
    </row>
    <row r="3040" spans="43:43" ht="12" customHeight="1" x14ac:dyDescent="0.2">
      <c r="AQ3040" s="32"/>
    </row>
    <row r="3041" spans="43:43" ht="12" customHeight="1" x14ac:dyDescent="0.2">
      <c r="AQ3041" s="32"/>
    </row>
    <row r="3042" spans="43:43" ht="12" customHeight="1" x14ac:dyDescent="0.2">
      <c r="AQ3042" s="32"/>
    </row>
    <row r="3043" spans="43:43" ht="12" customHeight="1" x14ac:dyDescent="0.2">
      <c r="AQ3043" s="32"/>
    </row>
    <row r="3044" spans="43:43" ht="12" customHeight="1" x14ac:dyDescent="0.2">
      <c r="AQ3044" s="32"/>
    </row>
    <row r="3045" spans="43:43" ht="12" customHeight="1" x14ac:dyDescent="0.2">
      <c r="AQ3045" s="32"/>
    </row>
    <row r="3046" spans="43:43" ht="12" customHeight="1" x14ac:dyDescent="0.2">
      <c r="AQ3046" s="32"/>
    </row>
    <row r="3047" spans="43:43" ht="12" customHeight="1" x14ac:dyDescent="0.2">
      <c r="AQ3047" s="32"/>
    </row>
    <row r="3048" spans="43:43" ht="12" customHeight="1" x14ac:dyDescent="0.2">
      <c r="AQ3048" s="32"/>
    </row>
    <row r="3049" spans="43:43" ht="12" customHeight="1" x14ac:dyDescent="0.2">
      <c r="AQ3049" s="32"/>
    </row>
    <row r="3050" spans="43:43" ht="12" customHeight="1" x14ac:dyDescent="0.2">
      <c r="AQ3050" s="32"/>
    </row>
    <row r="3051" spans="43:43" ht="12" customHeight="1" x14ac:dyDescent="0.2">
      <c r="AQ3051" s="32"/>
    </row>
    <row r="3052" spans="43:43" ht="12" customHeight="1" x14ac:dyDescent="0.2">
      <c r="AQ3052" s="32"/>
    </row>
    <row r="3053" spans="43:43" ht="12" customHeight="1" x14ac:dyDescent="0.2">
      <c r="AQ3053" s="32"/>
    </row>
    <row r="3054" spans="43:43" ht="12" customHeight="1" x14ac:dyDescent="0.2">
      <c r="AQ3054" s="32"/>
    </row>
    <row r="3055" spans="43:43" ht="12" customHeight="1" x14ac:dyDescent="0.2">
      <c r="AQ3055" s="32"/>
    </row>
    <row r="3056" spans="43:43" ht="12" customHeight="1" x14ac:dyDescent="0.2">
      <c r="AQ3056" s="32"/>
    </row>
    <row r="3057" spans="43:43" ht="12" customHeight="1" x14ac:dyDescent="0.2">
      <c r="AQ3057" s="32"/>
    </row>
    <row r="3058" spans="43:43" ht="12" customHeight="1" x14ac:dyDescent="0.2">
      <c r="AQ3058" s="32"/>
    </row>
    <row r="3059" spans="43:43" ht="12" customHeight="1" x14ac:dyDescent="0.2">
      <c r="AQ3059" s="32"/>
    </row>
    <row r="3060" spans="43:43" ht="12" customHeight="1" x14ac:dyDescent="0.2">
      <c r="AQ3060" s="32"/>
    </row>
    <row r="3061" spans="43:43" ht="12" customHeight="1" x14ac:dyDescent="0.2">
      <c r="AQ3061" s="32"/>
    </row>
    <row r="3062" spans="43:43" ht="12" customHeight="1" x14ac:dyDescent="0.2">
      <c r="AQ3062" s="32"/>
    </row>
    <row r="3063" spans="43:43" ht="12" customHeight="1" x14ac:dyDescent="0.2">
      <c r="AQ3063" s="32"/>
    </row>
    <row r="3064" spans="43:43" ht="12" customHeight="1" x14ac:dyDescent="0.2">
      <c r="AQ3064" s="32"/>
    </row>
    <row r="3065" spans="43:43" ht="12" customHeight="1" x14ac:dyDescent="0.2">
      <c r="AQ3065" s="32"/>
    </row>
    <row r="3066" spans="43:43" ht="12" customHeight="1" x14ac:dyDescent="0.2">
      <c r="AQ3066" s="32"/>
    </row>
    <row r="3067" spans="43:43" ht="12" customHeight="1" x14ac:dyDescent="0.2">
      <c r="AQ3067" s="32"/>
    </row>
    <row r="3068" spans="43:43" ht="12" customHeight="1" x14ac:dyDescent="0.2">
      <c r="AQ3068" s="32"/>
    </row>
    <row r="3069" spans="43:43" ht="12" customHeight="1" x14ac:dyDescent="0.2">
      <c r="AQ3069" s="32"/>
    </row>
    <row r="3070" spans="43:43" ht="12" customHeight="1" x14ac:dyDescent="0.2">
      <c r="AQ3070" s="32"/>
    </row>
    <row r="3071" spans="43:43" ht="12" customHeight="1" x14ac:dyDescent="0.2">
      <c r="AQ3071" s="32"/>
    </row>
    <row r="3072" spans="43:43" ht="12" customHeight="1" x14ac:dyDescent="0.2">
      <c r="AQ3072" s="32"/>
    </row>
    <row r="3073" spans="43:43" ht="12" customHeight="1" x14ac:dyDescent="0.2">
      <c r="AQ3073" s="32"/>
    </row>
    <row r="3074" spans="43:43" ht="12" customHeight="1" x14ac:dyDescent="0.2">
      <c r="AQ3074" s="32"/>
    </row>
    <row r="3075" spans="43:43" ht="12" customHeight="1" x14ac:dyDescent="0.2">
      <c r="AQ3075" s="32"/>
    </row>
    <row r="3076" spans="43:43" ht="12" customHeight="1" x14ac:dyDescent="0.2">
      <c r="AQ3076" s="32"/>
    </row>
    <row r="3077" spans="43:43" ht="12" customHeight="1" x14ac:dyDescent="0.2">
      <c r="AQ3077" s="32"/>
    </row>
    <row r="3078" spans="43:43" ht="12" customHeight="1" x14ac:dyDescent="0.2">
      <c r="AQ3078" s="32"/>
    </row>
    <row r="3079" spans="43:43" ht="12" customHeight="1" x14ac:dyDescent="0.2">
      <c r="AQ3079" s="32"/>
    </row>
    <row r="3080" spans="43:43" ht="12" customHeight="1" x14ac:dyDescent="0.2">
      <c r="AQ3080" s="32"/>
    </row>
    <row r="3081" spans="43:43" ht="12" customHeight="1" x14ac:dyDescent="0.2">
      <c r="AQ3081" s="32"/>
    </row>
    <row r="3082" spans="43:43" ht="12" customHeight="1" x14ac:dyDescent="0.2">
      <c r="AQ3082" s="32"/>
    </row>
    <row r="3083" spans="43:43" ht="12" customHeight="1" x14ac:dyDescent="0.2">
      <c r="AQ3083" s="32"/>
    </row>
    <row r="3084" spans="43:43" ht="12" customHeight="1" x14ac:dyDescent="0.2">
      <c r="AQ3084" s="32"/>
    </row>
    <row r="3085" spans="43:43" ht="12" customHeight="1" x14ac:dyDescent="0.2">
      <c r="AQ3085" s="32"/>
    </row>
    <row r="3086" spans="43:43" ht="12" customHeight="1" x14ac:dyDescent="0.2">
      <c r="AQ3086" s="32"/>
    </row>
    <row r="3087" spans="43:43" ht="12" customHeight="1" x14ac:dyDescent="0.2">
      <c r="AQ3087" s="32"/>
    </row>
    <row r="3088" spans="43:43" ht="12" customHeight="1" x14ac:dyDescent="0.2">
      <c r="AQ3088" s="32"/>
    </row>
    <row r="3089" spans="43:43" ht="12" customHeight="1" x14ac:dyDescent="0.2">
      <c r="AQ3089" s="32"/>
    </row>
    <row r="3090" spans="43:43" ht="12" customHeight="1" x14ac:dyDescent="0.2">
      <c r="AQ3090" s="32"/>
    </row>
    <row r="3091" spans="43:43" ht="12" customHeight="1" x14ac:dyDescent="0.2">
      <c r="AQ3091" s="32"/>
    </row>
    <row r="3092" spans="43:43" ht="12" customHeight="1" x14ac:dyDescent="0.2">
      <c r="AQ3092" s="32"/>
    </row>
    <row r="3093" spans="43:43" ht="12" customHeight="1" x14ac:dyDescent="0.2">
      <c r="AQ3093" s="32"/>
    </row>
    <row r="3094" spans="43:43" ht="12" customHeight="1" x14ac:dyDescent="0.2">
      <c r="AQ3094" s="32"/>
    </row>
    <row r="3095" spans="43:43" ht="12" customHeight="1" x14ac:dyDescent="0.2">
      <c r="AQ3095" s="32"/>
    </row>
    <row r="3096" spans="43:43" ht="12" customHeight="1" x14ac:dyDescent="0.2">
      <c r="AQ3096" s="32"/>
    </row>
    <row r="3097" spans="43:43" ht="12" customHeight="1" x14ac:dyDescent="0.2">
      <c r="AQ3097" s="32"/>
    </row>
    <row r="3098" spans="43:43" ht="12" customHeight="1" x14ac:dyDescent="0.2">
      <c r="AQ3098" s="32"/>
    </row>
    <row r="3099" spans="43:43" ht="12" customHeight="1" x14ac:dyDescent="0.2">
      <c r="AQ3099" s="32"/>
    </row>
    <row r="3100" spans="43:43" ht="12" customHeight="1" x14ac:dyDescent="0.2">
      <c r="AQ3100" s="32"/>
    </row>
    <row r="3101" spans="43:43" ht="12" customHeight="1" x14ac:dyDescent="0.2">
      <c r="AQ3101" s="32"/>
    </row>
    <row r="3102" spans="43:43" ht="12" customHeight="1" x14ac:dyDescent="0.2">
      <c r="AQ3102" s="32"/>
    </row>
    <row r="3103" spans="43:43" ht="12" customHeight="1" x14ac:dyDescent="0.2">
      <c r="AQ3103" s="32"/>
    </row>
    <row r="3104" spans="43:43" ht="12" customHeight="1" x14ac:dyDescent="0.2">
      <c r="AQ3104" s="32"/>
    </row>
    <row r="3105" spans="43:43" ht="12" customHeight="1" x14ac:dyDescent="0.2">
      <c r="AQ3105" s="32"/>
    </row>
    <row r="3106" spans="43:43" ht="12" customHeight="1" x14ac:dyDescent="0.2">
      <c r="AQ3106" s="32"/>
    </row>
    <row r="3107" spans="43:43" ht="12" customHeight="1" x14ac:dyDescent="0.2">
      <c r="AQ3107" s="32"/>
    </row>
    <row r="3108" spans="43:43" ht="12" customHeight="1" x14ac:dyDescent="0.2">
      <c r="AQ3108" s="32"/>
    </row>
    <row r="3109" spans="43:43" ht="12" customHeight="1" x14ac:dyDescent="0.2">
      <c r="AQ3109" s="32"/>
    </row>
    <row r="3110" spans="43:43" ht="12" customHeight="1" x14ac:dyDescent="0.2">
      <c r="AQ3110" s="32"/>
    </row>
    <row r="3111" spans="43:43" ht="12" customHeight="1" x14ac:dyDescent="0.2">
      <c r="AQ3111" s="32"/>
    </row>
    <row r="3112" spans="43:43" ht="12" customHeight="1" x14ac:dyDescent="0.2">
      <c r="AQ3112" s="32"/>
    </row>
    <row r="3113" spans="43:43" ht="12" customHeight="1" x14ac:dyDescent="0.2">
      <c r="AQ3113" s="32"/>
    </row>
    <row r="3114" spans="43:43" ht="12" customHeight="1" x14ac:dyDescent="0.2">
      <c r="AQ3114" s="32"/>
    </row>
    <row r="3115" spans="43:43" ht="12" customHeight="1" x14ac:dyDescent="0.2">
      <c r="AQ3115" s="32"/>
    </row>
    <row r="3116" spans="43:43" ht="12" customHeight="1" x14ac:dyDescent="0.2">
      <c r="AQ3116" s="32"/>
    </row>
    <row r="3117" spans="43:43" ht="12" customHeight="1" x14ac:dyDescent="0.2">
      <c r="AQ3117" s="32"/>
    </row>
    <row r="3118" spans="43:43" ht="12" customHeight="1" x14ac:dyDescent="0.2">
      <c r="AQ3118" s="32"/>
    </row>
    <row r="3119" spans="43:43" ht="12" customHeight="1" x14ac:dyDescent="0.2">
      <c r="AQ3119" s="32"/>
    </row>
    <row r="3120" spans="43:43" ht="12" customHeight="1" x14ac:dyDescent="0.2">
      <c r="AQ3120" s="32"/>
    </row>
    <row r="3121" spans="43:43" ht="12" customHeight="1" x14ac:dyDescent="0.2">
      <c r="AQ3121" s="32"/>
    </row>
    <row r="3122" spans="43:43" ht="12" customHeight="1" x14ac:dyDescent="0.2">
      <c r="AQ3122" s="32"/>
    </row>
    <row r="3123" spans="43:43" ht="12" customHeight="1" x14ac:dyDescent="0.2">
      <c r="AQ3123" s="32"/>
    </row>
    <row r="3124" spans="43:43" ht="12" customHeight="1" x14ac:dyDescent="0.2">
      <c r="AQ3124" s="32"/>
    </row>
    <row r="3125" spans="43:43" ht="12" customHeight="1" x14ac:dyDescent="0.2">
      <c r="AQ3125" s="32"/>
    </row>
    <row r="3126" spans="43:43" ht="12" customHeight="1" x14ac:dyDescent="0.2">
      <c r="AQ3126" s="32"/>
    </row>
    <row r="3127" spans="43:43" ht="12" customHeight="1" x14ac:dyDescent="0.2">
      <c r="AQ3127" s="32"/>
    </row>
    <row r="3128" spans="43:43" ht="12" customHeight="1" x14ac:dyDescent="0.2">
      <c r="AQ3128" s="32"/>
    </row>
    <row r="3129" spans="43:43" ht="12" customHeight="1" x14ac:dyDescent="0.2">
      <c r="AQ3129" s="32"/>
    </row>
    <row r="3130" spans="43:43" ht="12" customHeight="1" x14ac:dyDescent="0.2">
      <c r="AQ3130" s="32"/>
    </row>
    <row r="3131" spans="43:43" ht="12" customHeight="1" x14ac:dyDescent="0.2">
      <c r="AQ3131" s="32"/>
    </row>
    <row r="3132" spans="43:43" ht="12" customHeight="1" x14ac:dyDescent="0.2">
      <c r="AQ3132" s="32"/>
    </row>
    <row r="3133" spans="43:43" ht="12" customHeight="1" x14ac:dyDescent="0.2">
      <c r="AQ3133" s="32"/>
    </row>
    <row r="3134" spans="43:43" ht="12" customHeight="1" x14ac:dyDescent="0.2">
      <c r="AQ3134" s="32"/>
    </row>
    <row r="3135" spans="43:43" ht="12" customHeight="1" x14ac:dyDescent="0.2">
      <c r="AQ3135" s="32"/>
    </row>
    <row r="3136" spans="43:43" ht="12" customHeight="1" x14ac:dyDescent="0.2">
      <c r="AQ3136" s="32"/>
    </row>
    <row r="3137" spans="43:43" ht="12" customHeight="1" x14ac:dyDescent="0.2">
      <c r="AQ3137" s="32"/>
    </row>
    <row r="3138" spans="43:43" ht="12" customHeight="1" x14ac:dyDescent="0.2">
      <c r="AQ3138" s="32"/>
    </row>
    <row r="3139" spans="43:43" ht="12" customHeight="1" x14ac:dyDescent="0.2">
      <c r="AQ3139" s="32"/>
    </row>
    <row r="3140" spans="43:43" ht="12" customHeight="1" x14ac:dyDescent="0.2">
      <c r="AQ3140" s="32"/>
    </row>
    <row r="3141" spans="43:43" ht="12" customHeight="1" x14ac:dyDescent="0.2">
      <c r="AQ3141" s="32"/>
    </row>
    <row r="3142" spans="43:43" ht="12" customHeight="1" x14ac:dyDescent="0.2">
      <c r="AQ3142" s="32"/>
    </row>
    <row r="3143" spans="43:43" ht="12" customHeight="1" x14ac:dyDescent="0.2">
      <c r="AQ3143" s="32"/>
    </row>
    <row r="3144" spans="43:43" ht="12" customHeight="1" x14ac:dyDescent="0.2">
      <c r="AQ3144" s="32"/>
    </row>
    <row r="3145" spans="43:43" ht="12" customHeight="1" x14ac:dyDescent="0.2">
      <c r="AQ3145" s="32"/>
    </row>
    <row r="3146" spans="43:43" ht="12" customHeight="1" x14ac:dyDescent="0.2">
      <c r="AQ3146" s="32"/>
    </row>
    <row r="3147" spans="43:43" ht="12" customHeight="1" x14ac:dyDescent="0.2">
      <c r="AQ3147" s="32"/>
    </row>
    <row r="3148" spans="43:43" ht="12" customHeight="1" x14ac:dyDescent="0.2">
      <c r="AQ3148" s="32"/>
    </row>
    <row r="3149" spans="43:43" ht="12" customHeight="1" x14ac:dyDescent="0.2">
      <c r="AQ3149" s="32"/>
    </row>
    <row r="3150" spans="43:43" ht="12" customHeight="1" x14ac:dyDescent="0.2">
      <c r="AQ3150" s="32"/>
    </row>
    <row r="3151" spans="43:43" ht="12" customHeight="1" x14ac:dyDescent="0.2">
      <c r="AQ3151" s="32"/>
    </row>
    <row r="3152" spans="43:43" ht="12" customHeight="1" x14ac:dyDescent="0.2">
      <c r="AQ3152" s="32"/>
    </row>
    <row r="3153" spans="43:43" ht="12" customHeight="1" x14ac:dyDescent="0.2">
      <c r="AQ3153" s="32"/>
    </row>
    <row r="3154" spans="43:43" ht="12" customHeight="1" x14ac:dyDescent="0.2">
      <c r="AQ3154" s="32"/>
    </row>
    <row r="3155" spans="43:43" ht="12" customHeight="1" x14ac:dyDescent="0.2">
      <c r="AQ3155" s="32"/>
    </row>
    <row r="3156" spans="43:43" ht="12" customHeight="1" x14ac:dyDescent="0.2">
      <c r="AQ3156" s="32"/>
    </row>
    <row r="3157" spans="43:43" ht="12" customHeight="1" x14ac:dyDescent="0.2">
      <c r="AQ3157" s="32"/>
    </row>
    <row r="3158" spans="43:43" ht="12" customHeight="1" x14ac:dyDescent="0.2">
      <c r="AQ3158" s="32"/>
    </row>
    <row r="3159" spans="43:43" ht="12" customHeight="1" x14ac:dyDescent="0.2">
      <c r="AQ3159" s="32"/>
    </row>
    <row r="3160" spans="43:43" ht="12" customHeight="1" x14ac:dyDescent="0.2">
      <c r="AQ3160" s="32"/>
    </row>
    <row r="3161" spans="43:43" ht="12" customHeight="1" x14ac:dyDescent="0.2">
      <c r="AQ3161" s="32"/>
    </row>
    <row r="3162" spans="43:43" ht="12" customHeight="1" x14ac:dyDescent="0.2">
      <c r="AQ3162" s="32"/>
    </row>
    <row r="3163" spans="43:43" ht="12" customHeight="1" x14ac:dyDescent="0.2">
      <c r="AQ3163" s="32"/>
    </row>
    <row r="3164" spans="43:43" ht="12" customHeight="1" x14ac:dyDescent="0.2">
      <c r="AQ3164" s="32"/>
    </row>
    <row r="3165" spans="43:43" ht="12" customHeight="1" x14ac:dyDescent="0.2">
      <c r="AQ3165" s="32"/>
    </row>
    <row r="3166" spans="43:43" ht="12" customHeight="1" x14ac:dyDescent="0.2">
      <c r="AQ3166" s="32"/>
    </row>
    <row r="3167" spans="43:43" ht="12" customHeight="1" x14ac:dyDescent="0.2">
      <c r="AQ3167" s="32"/>
    </row>
    <row r="3168" spans="43:43" ht="12" customHeight="1" x14ac:dyDescent="0.2">
      <c r="AQ3168" s="32"/>
    </row>
    <row r="3169" spans="43:43" ht="12" customHeight="1" x14ac:dyDescent="0.2">
      <c r="AQ3169" s="32"/>
    </row>
    <row r="3170" spans="43:43" ht="12" customHeight="1" x14ac:dyDescent="0.2">
      <c r="AQ3170" s="32"/>
    </row>
    <row r="3171" spans="43:43" ht="12" customHeight="1" x14ac:dyDescent="0.2">
      <c r="AQ3171" s="32"/>
    </row>
    <row r="3172" spans="43:43" ht="12" customHeight="1" x14ac:dyDescent="0.2">
      <c r="AQ3172" s="32"/>
    </row>
    <row r="3173" spans="43:43" ht="12" customHeight="1" x14ac:dyDescent="0.2">
      <c r="AQ3173" s="32"/>
    </row>
    <row r="3174" spans="43:43" ht="12" customHeight="1" x14ac:dyDescent="0.2">
      <c r="AQ3174" s="32"/>
    </row>
    <row r="3175" spans="43:43" ht="12" customHeight="1" x14ac:dyDescent="0.2">
      <c r="AQ3175" s="32"/>
    </row>
    <row r="3176" spans="43:43" ht="12" customHeight="1" x14ac:dyDescent="0.2">
      <c r="AQ3176" s="32"/>
    </row>
    <row r="3177" spans="43:43" ht="12" customHeight="1" x14ac:dyDescent="0.2">
      <c r="AQ3177" s="32"/>
    </row>
    <row r="3178" spans="43:43" ht="12" customHeight="1" x14ac:dyDescent="0.2">
      <c r="AQ3178" s="32"/>
    </row>
    <row r="3179" spans="43:43" ht="12" customHeight="1" x14ac:dyDescent="0.2">
      <c r="AQ3179" s="32"/>
    </row>
    <row r="3180" spans="43:43" ht="12" customHeight="1" x14ac:dyDescent="0.2">
      <c r="AQ3180" s="32"/>
    </row>
    <row r="3181" spans="43:43" ht="12" customHeight="1" x14ac:dyDescent="0.2">
      <c r="AQ3181" s="32"/>
    </row>
    <row r="3182" spans="43:43" ht="12" customHeight="1" x14ac:dyDescent="0.2">
      <c r="AQ3182" s="32"/>
    </row>
    <row r="3183" spans="43:43" ht="12" customHeight="1" x14ac:dyDescent="0.2">
      <c r="AQ3183" s="32"/>
    </row>
    <row r="3184" spans="43:43" ht="12" customHeight="1" x14ac:dyDescent="0.2">
      <c r="AQ3184" s="32"/>
    </row>
    <row r="3185" spans="43:43" ht="12" customHeight="1" x14ac:dyDescent="0.2">
      <c r="AQ3185" s="32"/>
    </row>
    <row r="3186" spans="43:43" ht="12" customHeight="1" x14ac:dyDescent="0.2">
      <c r="AQ3186" s="32"/>
    </row>
    <row r="3187" spans="43:43" ht="12" customHeight="1" x14ac:dyDescent="0.2">
      <c r="AQ3187" s="32"/>
    </row>
    <row r="3188" spans="43:43" ht="12" customHeight="1" x14ac:dyDescent="0.2">
      <c r="AQ3188" s="32"/>
    </row>
    <row r="3189" spans="43:43" ht="12" customHeight="1" x14ac:dyDescent="0.2">
      <c r="AQ3189" s="32"/>
    </row>
    <row r="3190" spans="43:43" ht="12" customHeight="1" x14ac:dyDescent="0.2">
      <c r="AQ3190" s="32"/>
    </row>
    <row r="3191" spans="43:43" ht="12" customHeight="1" x14ac:dyDescent="0.2">
      <c r="AQ3191" s="32"/>
    </row>
    <row r="3192" spans="43:43" ht="12" customHeight="1" x14ac:dyDescent="0.2">
      <c r="AQ3192" s="32"/>
    </row>
    <row r="3193" spans="43:43" ht="12" customHeight="1" x14ac:dyDescent="0.2">
      <c r="AQ3193" s="32"/>
    </row>
    <row r="3194" spans="43:43" ht="12" customHeight="1" x14ac:dyDescent="0.2">
      <c r="AQ3194" s="32"/>
    </row>
    <row r="3195" spans="43:43" ht="12" customHeight="1" x14ac:dyDescent="0.2">
      <c r="AQ3195" s="32"/>
    </row>
    <row r="3196" spans="43:43" ht="12" customHeight="1" x14ac:dyDescent="0.2">
      <c r="AQ3196" s="32"/>
    </row>
    <row r="3197" spans="43:43" ht="12" customHeight="1" x14ac:dyDescent="0.2">
      <c r="AQ3197" s="32"/>
    </row>
    <row r="3198" spans="43:43" ht="12" customHeight="1" x14ac:dyDescent="0.2">
      <c r="AQ3198" s="32"/>
    </row>
    <row r="3199" spans="43:43" ht="12" customHeight="1" x14ac:dyDescent="0.2">
      <c r="AQ3199" s="32"/>
    </row>
    <row r="3200" spans="43:43" ht="12" customHeight="1" x14ac:dyDescent="0.2">
      <c r="AQ3200" s="32"/>
    </row>
    <row r="3201" spans="43:43" ht="12" customHeight="1" x14ac:dyDescent="0.2">
      <c r="AQ3201" s="32"/>
    </row>
    <row r="3202" spans="43:43" ht="12" customHeight="1" x14ac:dyDescent="0.2">
      <c r="AQ3202" s="32"/>
    </row>
    <row r="3203" spans="43:43" ht="12" customHeight="1" x14ac:dyDescent="0.2">
      <c r="AQ3203" s="32"/>
    </row>
    <row r="3204" spans="43:43" ht="12" customHeight="1" x14ac:dyDescent="0.2">
      <c r="AQ3204" s="32"/>
    </row>
    <row r="3205" spans="43:43" ht="12" customHeight="1" x14ac:dyDescent="0.2">
      <c r="AQ3205" s="32"/>
    </row>
    <row r="3206" spans="43:43" ht="12" customHeight="1" x14ac:dyDescent="0.2">
      <c r="AQ3206" s="32"/>
    </row>
    <row r="3207" spans="43:43" ht="12" customHeight="1" x14ac:dyDescent="0.2">
      <c r="AQ3207" s="32"/>
    </row>
    <row r="3208" spans="43:43" ht="12" customHeight="1" x14ac:dyDescent="0.2">
      <c r="AQ3208" s="32"/>
    </row>
    <row r="3209" spans="43:43" ht="12" customHeight="1" x14ac:dyDescent="0.2">
      <c r="AQ3209" s="32"/>
    </row>
    <row r="3210" spans="43:43" ht="12" customHeight="1" x14ac:dyDescent="0.2">
      <c r="AQ3210" s="32"/>
    </row>
    <row r="3211" spans="43:43" ht="12" customHeight="1" x14ac:dyDescent="0.2">
      <c r="AQ3211" s="32"/>
    </row>
    <row r="3212" spans="43:43" ht="12" customHeight="1" x14ac:dyDescent="0.2">
      <c r="AQ3212" s="32"/>
    </row>
    <row r="3213" spans="43:43" ht="12" customHeight="1" x14ac:dyDescent="0.2">
      <c r="AQ3213" s="32"/>
    </row>
    <row r="3214" spans="43:43" ht="12" customHeight="1" x14ac:dyDescent="0.2">
      <c r="AQ3214" s="32"/>
    </row>
    <row r="3215" spans="43:43" ht="12" customHeight="1" x14ac:dyDescent="0.2">
      <c r="AQ3215" s="32"/>
    </row>
    <row r="3216" spans="43:43" ht="12" customHeight="1" x14ac:dyDescent="0.2">
      <c r="AQ3216" s="32"/>
    </row>
    <row r="3217" spans="43:43" ht="12" customHeight="1" x14ac:dyDescent="0.2">
      <c r="AQ3217" s="32"/>
    </row>
    <row r="3218" spans="43:43" ht="12" customHeight="1" x14ac:dyDescent="0.2">
      <c r="AQ3218" s="32"/>
    </row>
    <row r="3219" spans="43:43" ht="12" customHeight="1" x14ac:dyDescent="0.2">
      <c r="AQ3219" s="32"/>
    </row>
    <row r="3220" spans="43:43" ht="12" customHeight="1" x14ac:dyDescent="0.2">
      <c r="AQ3220" s="32"/>
    </row>
    <row r="3221" spans="43:43" ht="12" customHeight="1" x14ac:dyDescent="0.2">
      <c r="AQ3221" s="32"/>
    </row>
    <row r="3222" spans="43:43" ht="12" customHeight="1" x14ac:dyDescent="0.2">
      <c r="AQ3222" s="32"/>
    </row>
    <row r="3223" spans="43:43" ht="12" customHeight="1" x14ac:dyDescent="0.2">
      <c r="AQ3223" s="32"/>
    </row>
    <row r="3224" spans="43:43" ht="12" customHeight="1" x14ac:dyDescent="0.2">
      <c r="AQ3224" s="32"/>
    </row>
    <row r="3225" spans="43:43" ht="12" customHeight="1" x14ac:dyDescent="0.2">
      <c r="AQ3225" s="32"/>
    </row>
    <row r="3226" spans="43:43" ht="12" customHeight="1" x14ac:dyDescent="0.2">
      <c r="AQ3226" s="32"/>
    </row>
    <row r="3227" spans="43:43" ht="12" customHeight="1" x14ac:dyDescent="0.2">
      <c r="AQ3227" s="32"/>
    </row>
    <row r="3228" spans="43:43" ht="12" customHeight="1" x14ac:dyDescent="0.2">
      <c r="AQ3228" s="32"/>
    </row>
    <row r="3229" spans="43:43" ht="12" customHeight="1" x14ac:dyDescent="0.2">
      <c r="AQ3229" s="32"/>
    </row>
    <row r="3230" spans="43:43" ht="12" customHeight="1" x14ac:dyDescent="0.2">
      <c r="AQ3230" s="32"/>
    </row>
    <row r="3231" spans="43:43" ht="12" customHeight="1" x14ac:dyDescent="0.2">
      <c r="AQ3231" s="32"/>
    </row>
    <row r="3232" spans="43:43" ht="12" customHeight="1" x14ac:dyDescent="0.2">
      <c r="AQ3232" s="32"/>
    </row>
    <row r="3233" spans="43:43" ht="12" customHeight="1" x14ac:dyDescent="0.2">
      <c r="AQ3233" s="32"/>
    </row>
    <row r="3234" spans="43:43" ht="12" customHeight="1" x14ac:dyDescent="0.2">
      <c r="AQ3234" s="32"/>
    </row>
    <row r="3235" spans="43:43" ht="12" customHeight="1" x14ac:dyDescent="0.2">
      <c r="AQ3235" s="32"/>
    </row>
    <row r="3236" spans="43:43" ht="12" customHeight="1" x14ac:dyDescent="0.2">
      <c r="AQ3236" s="32"/>
    </row>
    <row r="3237" spans="43:43" ht="12" customHeight="1" x14ac:dyDescent="0.2">
      <c r="AQ3237" s="32"/>
    </row>
    <row r="3238" spans="43:43" ht="12" customHeight="1" x14ac:dyDescent="0.2">
      <c r="AQ3238" s="32"/>
    </row>
    <row r="3239" spans="43:43" ht="12" customHeight="1" x14ac:dyDescent="0.2">
      <c r="AQ3239" s="32"/>
    </row>
    <row r="3240" spans="43:43" ht="12" customHeight="1" x14ac:dyDescent="0.2">
      <c r="AQ3240" s="32"/>
    </row>
    <row r="3241" spans="43:43" ht="12" customHeight="1" x14ac:dyDescent="0.2">
      <c r="AQ3241" s="32"/>
    </row>
    <row r="3242" spans="43:43" ht="12" customHeight="1" x14ac:dyDescent="0.2">
      <c r="AQ3242" s="32"/>
    </row>
    <row r="3243" spans="43:43" ht="12" customHeight="1" x14ac:dyDescent="0.2">
      <c r="AQ3243" s="32"/>
    </row>
    <row r="3244" spans="43:43" ht="12" customHeight="1" x14ac:dyDescent="0.2">
      <c r="AQ3244" s="32"/>
    </row>
    <row r="3245" spans="43:43" ht="12" customHeight="1" x14ac:dyDescent="0.2">
      <c r="AQ3245" s="32"/>
    </row>
    <row r="3246" spans="43:43" ht="12" customHeight="1" x14ac:dyDescent="0.2">
      <c r="AQ3246" s="32"/>
    </row>
    <row r="3247" spans="43:43" ht="12" customHeight="1" x14ac:dyDescent="0.2">
      <c r="AQ3247" s="32"/>
    </row>
    <row r="3248" spans="43:43" ht="12" customHeight="1" x14ac:dyDescent="0.2">
      <c r="AQ3248" s="32"/>
    </row>
    <row r="3249" spans="43:43" ht="12" customHeight="1" x14ac:dyDescent="0.2">
      <c r="AQ3249" s="32"/>
    </row>
    <row r="3250" spans="43:43" ht="12" customHeight="1" x14ac:dyDescent="0.2">
      <c r="AQ3250" s="32"/>
    </row>
    <row r="3251" spans="43:43" ht="12" customHeight="1" x14ac:dyDescent="0.2">
      <c r="AQ3251" s="32"/>
    </row>
    <row r="3252" spans="43:43" ht="12" customHeight="1" x14ac:dyDescent="0.2">
      <c r="AQ3252" s="32"/>
    </row>
    <row r="3253" spans="43:43" ht="12" customHeight="1" x14ac:dyDescent="0.2">
      <c r="AQ3253" s="32"/>
    </row>
    <row r="3254" spans="43:43" ht="12" customHeight="1" x14ac:dyDescent="0.2">
      <c r="AQ3254" s="32"/>
    </row>
    <row r="3255" spans="43:43" ht="12" customHeight="1" x14ac:dyDescent="0.2">
      <c r="AQ3255" s="32"/>
    </row>
    <row r="3256" spans="43:43" ht="12" customHeight="1" x14ac:dyDescent="0.2">
      <c r="AQ3256" s="32"/>
    </row>
    <row r="3257" spans="43:43" ht="12" customHeight="1" x14ac:dyDescent="0.2">
      <c r="AQ3257" s="32"/>
    </row>
    <row r="3258" spans="43:43" ht="12" customHeight="1" x14ac:dyDescent="0.2">
      <c r="AQ3258" s="32"/>
    </row>
    <row r="3259" spans="43:43" ht="12" customHeight="1" x14ac:dyDescent="0.2">
      <c r="AQ3259" s="32"/>
    </row>
    <row r="3260" spans="43:43" ht="12" customHeight="1" x14ac:dyDescent="0.2">
      <c r="AQ3260" s="32"/>
    </row>
    <row r="3261" spans="43:43" ht="12" customHeight="1" x14ac:dyDescent="0.2">
      <c r="AQ3261" s="32"/>
    </row>
    <row r="3262" spans="43:43" ht="12" customHeight="1" x14ac:dyDescent="0.2">
      <c r="AQ3262" s="32"/>
    </row>
    <row r="3263" spans="43:43" ht="12" customHeight="1" x14ac:dyDescent="0.2">
      <c r="AQ3263" s="32"/>
    </row>
    <row r="3264" spans="43:43" ht="12" customHeight="1" x14ac:dyDescent="0.2">
      <c r="AQ3264" s="32"/>
    </row>
    <row r="3265" spans="43:43" ht="12" customHeight="1" x14ac:dyDescent="0.2">
      <c r="AQ3265" s="32"/>
    </row>
    <row r="3266" spans="43:43" ht="12" customHeight="1" x14ac:dyDescent="0.2">
      <c r="AQ3266" s="32"/>
    </row>
    <row r="3267" spans="43:43" ht="12" customHeight="1" x14ac:dyDescent="0.2">
      <c r="AQ3267" s="32"/>
    </row>
    <row r="3268" spans="43:43" ht="12" customHeight="1" x14ac:dyDescent="0.2">
      <c r="AQ3268" s="32"/>
    </row>
    <row r="3269" spans="43:43" ht="12" customHeight="1" x14ac:dyDescent="0.2">
      <c r="AQ3269" s="32"/>
    </row>
    <row r="3270" spans="43:43" ht="12" customHeight="1" x14ac:dyDescent="0.2">
      <c r="AQ3270" s="32"/>
    </row>
    <row r="3271" spans="43:43" ht="12" customHeight="1" x14ac:dyDescent="0.2">
      <c r="AQ3271" s="32"/>
    </row>
    <row r="3272" spans="43:43" ht="12" customHeight="1" x14ac:dyDescent="0.2">
      <c r="AQ3272" s="32"/>
    </row>
    <row r="3273" spans="43:43" ht="12" customHeight="1" x14ac:dyDescent="0.2">
      <c r="AQ3273" s="32"/>
    </row>
    <row r="3274" spans="43:43" ht="12" customHeight="1" x14ac:dyDescent="0.2">
      <c r="AQ3274" s="32"/>
    </row>
    <row r="3275" spans="43:43" ht="12" customHeight="1" x14ac:dyDescent="0.2">
      <c r="AQ3275" s="32"/>
    </row>
    <row r="3276" spans="43:43" ht="12" customHeight="1" x14ac:dyDescent="0.2">
      <c r="AQ3276" s="32"/>
    </row>
    <row r="3277" spans="43:43" ht="12" customHeight="1" x14ac:dyDescent="0.2">
      <c r="AQ3277" s="32"/>
    </row>
    <row r="3278" spans="43:43" ht="12" customHeight="1" x14ac:dyDescent="0.2">
      <c r="AQ3278" s="32"/>
    </row>
    <row r="3279" spans="43:43" ht="12" customHeight="1" x14ac:dyDescent="0.2">
      <c r="AQ3279" s="32"/>
    </row>
    <row r="3280" spans="43:43" ht="12" customHeight="1" x14ac:dyDescent="0.2">
      <c r="AQ3280" s="32"/>
    </row>
    <row r="3281" spans="43:43" ht="12" customHeight="1" x14ac:dyDescent="0.2">
      <c r="AQ3281" s="32"/>
    </row>
    <row r="3282" spans="43:43" ht="12" customHeight="1" x14ac:dyDescent="0.2">
      <c r="AQ3282" s="32"/>
    </row>
    <row r="3283" spans="43:43" ht="12" customHeight="1" x14ac:dyDescent="0.2">
      <c r="AQ3283" s="32"/>
    </row>
    <row r="3284" spans="43:43" ht="12" customHeight="1" x14ac:dyDescent="0.2">
      <c r="AQ3284" s="32"/>
    </row>
    <row r="3285" spans="43:43" ht="12" customHeight="1" x14ac:dyDescent="0.2">
      <c r="AQ3285" s="32"/>
    </row>
    <row r="3286" spans="43:43" ht="12" customHeight="1" x14ac:dyDescent="0.2">
      <c r="AQ3286" s="32"/>
    </row>
    <row r="3287" spans="43:43" ht="12" customHeight="1" x14ac:dyDescent="0.2">
      <c r="AQ3287" s="32"/>
    </row>
    <row r="3288" spans="43:43" ht="12" customHeight="1" x14ac:dyDescent="0.2">
      <c r="AQ3288" s="32"/>
    </row>
    <row r="3289" spans="43:43" ht="12" customHeight="1" x14ac:dyDescent="0.2">
      <c r="AQ3289" s="32"/>
    </row>
    <row r="3290" spans="43:43" ht="12" customHeight="1" x14ac:dyDescent="0.2">
      <c r="AQ3290" s="32"/>
    </row>
    <row r="3291" spans="43:43" ht="12" customHeight="1" x14ac:dyDescent="0.2">
      <c r="AQ3291" s="32"/>
    </row>
    <row r="3292" spans="43:43" ht="12" customHeight="1" x14ac:dyDescent="0.2">
      <c r="AQ3292" s="32"/>
    </row>
    <row r="3293" spans="43:43" ht="12" customHeight="1" x14ac:dyDescent="0.2">
      <c r="AQ3293" s="32"/>
    </row>
    <row r="3294" spans="43:43" ht="12" customHeight="1" x14ac:dyDescent="0.2">
      <c r="AQ3294" s="32"/>
    </row>
    <row r="3295" spans="43:43" ht="12" customHeight="1" x14ac:dyDescent="0.2">
      <c r="AQ3295" s="32"/>
    </row>
    <row r="3296" spans="43:43" ht="12" customHeight="1" x14ac:dyDescent="0.2">
      <c r="AQ3296" s="32"/>
    </row>
    <row r="3297" spans="43:43" ht="12" customHeight="1" x14ac:dyDescent="0.2">
      <c r="AQ3297" s="32"/>
    </row>
    <row r="3298" spans="43:43" ht="12" customHeight="1" x14ac:dyDescent="0.2">
      <c r="AQ3298" s="32"/>
    </row>
    <row r="3299" spans="43:43" ht="12" customHeight="1" x14ac:dyDescent="0.2">
      <c r="AQ3299" s="32"/>
    </row>
    <row r="3300" spans="43:43" ht="12" customHeight="1" x14ac:dyDescent="0.2">
      <c r="AQ3300" s="32"/>
    </row>
    <row r="3301" spans="43:43" ht="12" customHeight="1" x14ac:dyDescent="0.2">
      <c r="AQ3301" s="32"/>
    </row>
    <row r="3302" spans="43:43" ht="12" customHeight="1" x14ac:dyDescent="0.2">
      <c r="AQ3302" s="32"/>
    </row>
    <row r="3303" spans="43:43" ht="12" customHeight="1" x14ac:dyDescent="0.2">
      <c r="AQ3303" s="32"/>
    </row>
    <row r="3304" spans="43:43" ht="12" customHeight="1" x14ac:dyDescent="0.2">
      <c r="AQ3304" s="32"/>
    </row>
    <row r="3305" spans="43:43" ht="12" customHeight="1" x14ac:dyDescent="0.2">
      <c r="AQ3305" s="32"/>
    </row>
    <row r="3306" spans="43:43" ht="12" customHeight="1" x14ac:dyDescent="0.2">
      <c r="AQ3306" s="32"/>
    </row>
    <row r="3307" spans="43:43" ht="12" customHeight="1" x14ac:dyDescent="0.2">
      <c r="AQ3307" s="32"/>
    </row>
    <row r="3308" spans="43:43" ht="12" customHeight="1" x14ac:dyDescent="0.2">
      <c r="AQ3308" s="32"/>
    </row>
    <row r="3309" spans="43:43" ht="12" customHeight="1" x14ac:dyDescent="0.2">
      <c r="AQ3309" s="32"/>
    </row>
    <row r="3310" spans="43:43" ht="12" customHeight="1" x14ac:dyDescent="0.2">
      <c r="AQ3310" s="32"/>
    </row>
    <row r="3311" spans="43:43" ht="12" customHeight="1" x14ac:dyDescent="0.2">
      <c r="AQ3311" s="32"/>
    </row>
    <row r="3312" spans="43:43" ht="12" customHeight="1" x14ac:dyDescent="0.2">
      <c r="AQ3312" s="32"/>
    </row>
    <row r="3313" spans="43:43" ht="12" customHeight="1" x14ac:dyDescent="0.2">
      <c r="AQ3313" s="32"/>
    </row>
    <row r="3314" spans="43:43" ht="12" customHeight="1" x14ac:dyDescent="0.2">
      <c r="AQ3314" s="32"/>
    </row>
    <row r="3315" spans="43:43" ht="12" customHeight="1" x14ac:dyDescent="0.2">
      <c r="AQ3315" s="32"/>
    </row>
    <row r="3316" spans="43:43" ht="12" customHeight="1" x14ac:dyDescent="0.2">
      <c r="AQ3316" s="32"/>
    </row>
    <row r="3317" spans="43:43" ht="12" customHeight="1" x14ac:dyDescent="0.2">
      <c r="AQ3317" s="32"/>
    </row>
    <row r="3318" spans="43:43" ht="12" customHeight="1" x14ac:dyDescent="0.2">
      <c r="AQ3318" s="32"/>
    </row>
    <row r="3319" spans="43:43" ht="12" customHeight="1" x14ac:dyDescent="0.2">
      <c r="AQ3319" s="32"/>
    </row>
    <row r="3320" spans="43:43" ht="12" customHeight="1" x14ac:dyDescent="0.2">
      <c r="AQ3320" s="32"/>
    </row>
    <row r="3321" spans="43:43" ht="12" customHeight="1" x14ac:dyDescent="0.2">
      <c r="AQ3321" s="32"/>
    </row>
    <row r="3322" spans="43:43" ht="12" customHeight="1" x14ac:dyDescent="0.2">
      <c r="AQ3322" s="32"/>
    </row>
    <row r="3323" spans="43:43" ht="12" customHeight="1" x14ac:dyDescent="0.2">
      <c r="AQ3323" s="32"/>
    </row>
    <row r="3324" spans="43:43" ht="12" customHeight="1" x14ac:dyDescent="0.2">
      <c r="AQ3324" s="32"/>
    </row>
    <row r="3325" spans="43:43" ht="12" customHeight="1" x14ac:dyDescent="0.2">
      <c r="AQ3325" s="32"/>
    </row>
    <row r="3326" spans="43:43" ht="12" customHeight="1" x14ac:dyDescent="0.2">
      <c r="AQ3326" s="32"/>
    </row>
    <row r="3327" spans="43:43" ht="12" customHeight="1" x14ac:dyDescent="0.2">
      <c r="AQ3327" s="32"/>
    </row>
    <row r="3328" spans="43:43" ht="12" customHeight="1" x14ac:dyDescent="0.2">
      <c r="AQ3328" s="32"/>
    </row>
    <row r="3329" spans="43:43" ht="12" customHeight="1" x14ac:dyDescent="0.2">
      <c r="AQ3329" s="32"/>
    </row>
    <row r="3330" spans="43:43" ht="12" customHeight="1" x14ac:dyDescent="0.2">
      <c r="AQ3330" s="32"/>
    </row>
    <row r="3331" spans="43:43" ht="12" customHeight="1" x14ac:dyDescent="0.2">
      <c r="AQ3331" s="32"/>
    </row>
    <row r="3332" spans="43:43" ht="12" customHeight="1" x14ac:dyDescent="0.2">
      <c r="AQ3332" s="32"/>
    </row>
    <row r="3333" spans="43:43" ht="12" customHeight="1" x14ac:dyDescent="0.2">
      <c r="AQ3333" s="32"/>
    </row>
    <row r="3334" spans="43:43" ht="12" customHeight="1" x14ac:dyDescent="0.2">
      <c r="AQ3334" s="32"/>
    </row>
    <row r="3335" spans="43:43" ht="12" customHeight="1" x14ac:dyDescent="0.2">
      <c r="AQ3335" s="32"/>
    </row>
    <row r="3336" spans="43:43" ht="12" customHeight="1" x14ac:dyDescent="0.2">
      <c r="AQ3336" s="32"/>
    </row>
    <row r="3337" spans="43:43" ht="12" customHeight="1" x14ac:dyDescent="0.2">
      <c r="AQ3337" s="32"/>
    </row>
    <row r="3338" spans="43:43" ht="12" customHeight="1" x14ac:dyDescent="0.2">
      <c r="AQ3338" s="32"/>
    </row>
    <row r="3339" spans="43:43" ht="12" customHeight="1" x14ac:dyDescent="0.2">
      <c r="AQ3339" s="32"/>
    </row>
    <row r="3340" spans="43:43" ht="12" customHeight="1" x14ac:dyDescent="0.2">
      <c r="AQ3340" s="32"/>
    </row>
    <row r="3341" spans="43:43" ht="12" customHeight="1" x14ac:dyDescent="0.2">
      <c r="AQ3341" s="32"/>
    </row>
    <row r="3342" spans="43:43" ht="12" customHeight="1" x14ac:dyDescent="0.2">
      <c r="AQ3342" s="32"/>
    </row>
    <row r="3343" spans="43:43" ht="12" customHeight="1" x14ac:dyDescent="0.2">
      <c r="AQ3343" s="32"/>
    </row>
    <row r="3344" spans="43:43" ht="12" customHeight="1" x14ac:dyDescent="0.2">
      <c r="AQ3344" s="32"/>
    </row>
    <row r="3345" spans="43:43" ht="12" customHeight="1" x14ac:dyDescent="0.2">
      <c r="AQ3345" s="32"/>
    </row>
    <row r="3346" spans="43:43" ht="12" customHeight="1" x14ac:dyDescent="0.2">
      <c r="AQ3346" s="32"/>
    </row>
    <row r="3347" spans="43:43" ht="12" customHeight="1" x14ac:dyDescent="0.2">
      <c r="AQ3347" s="32"/>
    </row>
    <row r="3348" spans="43:43" ht="12" customHeight="1" x14ac:dyDescent="0.2">
      <c r="AQ3348" s="32"/>
    </row>
    <row r="3349" spans="43:43" ht="12" customHeight="1" x14ac:dyDescent="0.2">
      <c r="AQ3349" s="32"/>
    </row>
    <row r="3350" spans="43:43" ht="12" customHeight="1" x14ac:dyDescent="0.2">
      <c r="AQ3350" s="32"/>
    </row>
    <row r="3351" spans="43:43" ht="12" customHeight="1" x14ac:dyDescent="0.2">
      <c r="AQ3351" s="32"/>
    </row>
    <row r="3352" spans="43:43" ht="12" customHeight="1" x14ac:dyDescent="0.2">
      <c r="AQ3352" s="32"/>
    </row>
    <row r="3353" spans="43:43" ht="12" customHeight="1" x14ac:dyDescent="0.2">
      <c r="AQ3353" s="32"/>
    </row>
    <row r="3354" spans="43:43" ht="12" customHeight="1" x14ac:dyDescent="0.2">
      <c r="AQ3354" s="32"/>
    </row>
    <row r="3355" spans="43:43" ht="12" customHeight="1" x14ac:dyDescent="0.2">
      <c r="AQ3355" s="32"/>
    </row>
    <row r="3356" spans="43:43" ht="12" customHeight="1" x14ac:dyDescent="0.2">
      <c r="AQ3356" s="32"/>
    </row>
    <row r="3357" spans="43:43" ht="12" customHeight="1" x14ac:dyDescent="0.2">
      <c r="AQ3357" s="32"/>
    </row>
    <row r="3358" spans="43:43" ht="12" customHeight="1" x14ac:dyDescent="0.2">
      <c r="AQ3358" s="32"/>
    </row>
    <row r="3359" spans="43:43" ht="12" customHeight="1" x14ac:dyDescent="0.2">
      <c r="AQ3359" s="32"/>
    </row>
    <row r="3360" spans="43:43" ht="12" customHeight="1" x14ac:dyDescent="0.2">
      <c r="AQ3360" s="32"/>
    </row>
    <row r="3361" spans="43:43" ht="12" customHeight="1" x14ac:dyDescent="0.2">
      <c r="AQ3361" s="32"/>
    </row>
    <row r="3362" spans="43:43" ht="12" customHeight="1" x14ac:dyDescent="0.2">
      <c r="AQ3362" s="32"/>
    </row>
    <row r="3363" spans="43:43" ht="12" customHeight="1" x14ac:dyDescent="0.2">
      <c r="AQ3363" s="32"/>
    </row>
    <row r="3364" spans="43:43" ht="12" customHeight="1" x14ac:dyDescent="0.2">
      <c r="AQ3364" s="32"/>
    </row>
    <row r="3365" spans="43:43" ht="12" customHeight="1" x14ac:dyDescent="0.2">
      <c r="AQ3365" s="32"/>
    </row>
    <row r="3366" spans="43:43" ht="12" customHeight="1" x14ac:dyDescent="0.2">
      <c r="AQ3366" s="32"/>
    </row>
    <row r="3367" spans="43:43" ht="12" customHeight="1" x14ac:dyDescent="0.2">
      <c r="AQ3367" s="32"/>
    </row>
    <row r="3368" spans="43:43" ht="12" customHeight="1" x14ac:dyDescent="0.2">
      <c r="AQ3368" s="32"/>
    </row>
    <row r="3369" spans="43:43" ht="12" customHeight="1" x14ac:dyDescent="0.2">
      <c r="AQ3369" s="32"/>
    </row>
    <row r="3370" spans="43:43" ht="12" customHeight="1" x14ac:dyDescent="0.2">
      <c r="AQ3370" s="32"/>
    </row>
    <row r="3371" spans="43:43" ht="12" customHeight="1" x14ac:dyDescent="0.2">
      <c r="AQ3371" s="32"/>
    </row>
    <row r="3372" spans="43:43" ht="12" customHeight="1" x14ac:dyDescent="0.2">
      <c r="AQ3372" s="32"/>
    </row>
    <row r="3373" spans="43:43" ht="12" customHeight="1" x14ac:dyDescent="0.2">
      <c r="AQ3373" s="32"/>
    </row>
    <row r="3374" spans="43:43" ht="12" customHeight="1" x14ac:dyDescent="0.2">
      <c r="AQ3374" s="32"/>
    </row>
    <row r="3375" spans="43:43" ht="12" customHeight="1" x14ac:dyDescent="0.2">
      <c r="AQ3375" s="32"/>
    </row>
    <row r="3376" spans="43:43" ht="12" customHeight="1" x14ac:dyDescent="0.2">
      <c r="AQ3376" s="32"/>
    </row>
    <row r="3377" spans="43:43" ht="12" customHeight="1" x14ac:dyDescent="0.2">
      <c r="AQ3377" s="32"/>
    </row>
    <row r="3378" spans="43:43" ht="12" customHeight="1" x14ac:dyDescent="0.2">
      <c r="AQ3378" s="32"/>
    </row>
    <row r="3379" spans="43:43" ht="12" customHeight="1" x14ac:dyDescent="0.2">
      <c r="AQ3379" s="32"/>
    </row>
    <row r="3380" spans="43:43" ht="12" customHeight="1" x14ac:dyDescent="0.2">
      <c r="AQ3380" s="32"/>
    </row>
    <row r="3381" spans="43:43" ht="12" customHeight="1" x14ac:dyDescent="0.2">
      <c r="AQ3381" s="32"/>
    </row>
    <row r="3382" spans="43:43" ht="12" customHeight="1" x14ac:dyDescent="0.2">
      <c r="AQ3382" s="32"/>
    </row>
    <row r="3383" spans="43:43" ht="12" customHeight="1" x14ac:dyDescent="0.2">
      <c r="AQ3383" s="32"/>
    </row>
    <row r="3384" spans="43:43" ht="12" customHeight="1" x14ac:dyDescent="0.2">
      <c r="AQ3384" s="32"/>
    </row>
    <row r="3385" spans="43:43" ht="12" customHeight="1" x14ac:dyDescent="0.2">
      <c r="AQ3385" s="32"/>
    </row>
    <row r="3386" spans="43:43" ht="12" customHeight="1" x14ac:dyDescent="0.2">
      <c r="AQ3386" s="32"/>
    </row>
    <row r="3387" spans="43:43" ht="12" customHeight="1" x14ac:dyDescent="0.2">
      <c r="AQ3387" s="32"/>
    </row>
    <row r="3388" spans="43:43" ht="12" customHeight="1" x14ac:dyDescent="0.2">
      <c r="AQ3388" s="32"/>
    </row>
    <row r="3389" spans="43:43" ht="12" customHeight="1" x14ac:dyDescent="0.2">
      <c r="AQ3389" s="32"/>
    </row>
    <row r="3390" spans="43:43" ht="12" customHeight="1" x14ac:dyDescent="0.2">
      <c r="AQ3390" s="32"/>
    </row>
    <row r="3391" spans="43:43" ht="12" customHeight="1" x14ac:dyDescent="0.2">
      <c r="AQ3391" s="32"/>
    </row>
    <row r="3392" spans="43:43" ht="12" customHeight="1" x14ac:dyDescent="0.2">
      <c r="AQ3392" s="32"/>
    </row>
    <row r="3393" spans="43:43" ht="12" customHeight="1" x14ac:dyDescent="0.2">
      <c r="AQ3393" s="32"/>
    </row>
    <row r="3394" spans="43:43" ht="12" customHeight="1" x14ac:dyDescent="0.2">
      <c r="AQ3394" s="32"/>
    </row>
    <row r="3395" spans="43:43" ht="12" customHeight="1" x14ac:dyDescent="0.2">
      <c r="AQ3395" s="32"/>
    </row>
    <row r="3396" spans="43:43" ht="12" customHeight="1" x14ac:dyDescent="0.2">
      <c r="AQ3396" s="32"/>
    </row>
    <row r="3397" spans="43:43" ht="12" customHeight="1" x14ac:dyDescent="0.2">
      <c r="AQ3397" s="32"/>
    </row>
    <row r="3398" spans="43:43" ht="12" customHeight="1" x14ac:dyDescent="0.2">
      <c r="AQ3398" s="32"/>
    </row>
    <row r="3399" spans="43:43" ht="12" customHeight="1" x14ac:dyDescent="0.2">
      <c r="AQ3399" s="32"/>
    </row>
    <row r="3400" spans="43:43" ht="12" customHeight="1" x14ac:dyDescent="0.2">
      <c r="AQ3400" s="32"/>
    </row>
    <row r="3401" spans="43:43" ht="12" customHeight="1" x14ac:dyDescent="0.2">
      <c r="AQ3401" s="32"/>
    </row>
    <row r="3402" spans="43:43" ht="12" customHeight="1" x14ac:dyDescent="0.2">
      <c r="AQ3402" s="32"/>
    </row>
    <row r="3403" spans="43:43" ht="12" customHeight="1" x14ac:dyDescent="0.2">
      <c r="AQ3403" s="32"/>
    </row>
    <row r="3404" spans="43:43" ht="12" customHeight="1" x14ac:dyDescent="0.2">
      <c r="AQ3404" s="32"/>
    </row>
    <row r="3405" spans="43:43" ht="12" customHeight="1" x14ac:dyDescent="0.2">
      <c r="AQ3405" s="32"/>
    </row>
    <row r="3406" spans="43:43" ht="12" customHeight="1" x14ac:dyDescent="0.2">
      <c r="AQ3406" s="32"/>
    </row>
    <row r="3407" spans="43:43" ht="12" customHeight="1" x14ac:dyDescent="0.2">
      <c r="AQ3407" s="32"/>
    </row>
    <row r="3408" spans="43:43" ht="12" customHeight="1" x14ac:dyDescent="0.2">
      <c r="AQ3408" s="32"/>
    </row>
    <row r="3409" spans="43:43" ht="12" customHeight="1" x14ac:dyDescent="0.2">
      <c r="AQ3409" s="32"/>
    </row>
    <row r="3410" spans="43:43" ht="12" customHeight="1" x14ac:dyDescent="0.2">
      <c r="AQ3410" s="32"/>
    </row>
    <row r="3411" spans="43:43" ht="12" customHeight="1" x14ac:dyDescent="0.2">
      <c r="AQ3411" s="32"/>
    </row>
    <row r="3412" spans="43:43" ht="12" customHeight="1" x14ac:dyDescent="0.2">
      <c r="AQ3412" s="32"/>
    </row>
    <row r="3413" spans="43:43" ht="12" customHeight="1" x14ac:dyDescent="0.2">
      <c r="AQ3413" s="32"/>
    </row>
    <row r="3414" spans="43:43" ht="12" customHeight="1" x14ac:dyDescent="0.2">
      <c r="AQ3414" s="32"/>
    </row>
    <row r="3415" spans="43:43" ht="12" customHeight="1" x14ac:dyDescent="0.2">
      <c r="AQ3415" s="32"/>
    </row>
    <row r="3416" spans="43:43" ht="12" customHeight="1" x14ac:dyDescent="0.2">
      <c r="AQ3416" s="32"/>
    </row>
    <row r="3417" spans="43:43" ht="12" customHeight="1" x14ac:dyDescent="0.2">
      <c r="AQ3417" s="32"/>
    </row>
    <row r="3418" spans="43:43" ht="12" customHeight="1" x14ac:dyDescent="0.2">
      <c r="AQ3418" s="32"/>
    </row>
    <row r="3419" spans="43:43" ht="12" customHeight="1" x14ac:dyDescent="0.2">
      <c r="AQ3419" s="32"/>
    </row>
    <row r="3420" spans="43:43" ht="12" customHeight="1" x14ac:dyDescent="0.2">
      <c r="AQ3420" s="32"/>
    </row>
    <row r="3421" spans="43:43" ht="12" customHeight="1" x14ac:dyDescent="0.2">
      <c r="AQ3421" s="32"/>
    </row>
    <row r="3422" spans="43:43" ht="12" customHeight="1" x14ac:dyDescent="0.2">
      <c r="AQ3422" s="32"/>
    </row>
    <row r="3423" spans="43:43" ht="12" customHeight="1" x14ac:dyDescent="0.2">
      <c r="AQ3423" s="32"/>
    </row>
    <row r="3424" spans="43:43" ht="12" customHeight="1" x14ac:dyDescent="0.2">
      <c r="AQ3424" s="32"/>
    </row>
    <row r="3425" spans="43:43" ht="12" customHeight="1" x14ac:dyDescent="0.2">
      <c r="AQ3425" s="32"/>
    </row>
    <row r="3426" spans="43:43" ht="12" customHeight="1" x14ac:dyDescent="0.2">
      <c r="AQ3426" s="32"/>
    </row>
    <row r="3427" spans="43:43" ht="12" customHeight="1" x14ac:dyDescent="0.2">
      <c r="AQ3427" s="32"/>
    </row>
    <row r="3428" spans="43:43" ht="12" customHeight="1" x14ac:dyDescent="0.2">
      <c r="AQ3428" s="32"/>
    </row>
    <row r="3429" spans="43:43" ht="12" customHeight="1" x14ac:dyDescent="0.2">
      <c r="AQ3429" s="32"/>
    </row>
    <row r="3430" spans="43:43" ht="12" customHeight="1" x14ac:dyDescent="0.2">
      <c r="AQ3430" s="32"/>
    </row>
    <row r="3431" spans="43:43" ht="12" customHeight="1" x14ac:dyDescent="0.2">
      <c r="AQ3431" s="32"/>
    </row>
    <row r="3432" spans="43:43" ht="12" customHeight="1" x14ac:dyDescent="0.2">
      <c r="AQ3432" s="32"/>
    </row>
    <row r="3433" spans="43:43" ht="12" customHeight="1" x14ac:dyDescent="0.2">
      <c r="AQ3433" s="32"/>
    </row>
    <row r="3434" spans="43:43" ht="12" customHeight="1" x14ac:dyDescent="0.2">
      <c r="AQ3434" s="32"/>
    </row>
    <row r="3435" spans="43:43" ht="12" customHeight="1" x14ac:dyDescent="0.2">
      <c r="AQ3435" s="32"/>
    </row>
    <row r="3436" spans="43:43" ht="12" customHeight="1" x14ac:dyDescent="0.2">
      <c r="AQ3436" s="32"/>
    </row>
    <row r="3437" spans="43:43" ht="12" customHeight="1" x14ac:dyDescent="0.2">
      <c r="AQ3437" s="32"/>
    </row>
    <row r="3438" spans="43:43" ht="12" customHeight="1" x14ac:dyDescent="0.2">
      <c r="AQ3438" s="32"/>
    </row>
    <row r="3439" spans="43:43" ht="12" customHeight="1" x14ac:dyDescent="0.2">
      <c r="AQ3439" s="32"/>
    </row>
    <row r="3440" spans="43:43" ht="12" customHeight="1" x14ac:dyDescent="0.2">
      <c r="AQ3440" s="32"/>
    </row>
    <row r="3441" spans="43:43" ht="12" customHeight="1" x14ac:dyDescent="0.2">
      <c r="AQ3441" s="32"/>
    </row>
    <row r="3442" spans="43:43" ht="12" customHeight="1" x14ac:dyDescent="0.2">
      <c r="AQ3442" s="32"/>
    </row>
    <row r="3443" spans="43:43" ht="12" customHeight="1" x14ac:dyDescent="0.2">
      <c r="AQ3443" s="32"/>
    </row>
    <row r="3444" spans="43:43" ht="12" customHeight="1" x14ac:dyDescent="0.2">
      <c r="AQ3444" s="32"/>
    </row>
    <row r="3445" spans="43:43" ht="12" customHeight="1" x14ac:dyDescent="0.2">
      <c r="AQ3445" s="32"/>
    </row>
    <row r="3446" spans="43:43" ht="12" customHeight="1" x14ac:dyDescent="0.2">
      <c r="AQ3446" s="32"/>
    </row>
    <row r="3447" spans="43:43" ht="12" customHeight="1" x14ac:dyDescent="0.2">
      <c r="AQ3447" s="32"/>
    </row>
    <row r="3448" spans="43:43" ht="12" customHeight="1" x14ac:dyDescent="0.2">
      <c r="AQ3448" s="32"/>
    </row>
    <row r="3449" spans="43:43" ht="12" customHeight="1" x14ac:dyDescent="0.2">
      <c r="AQ3449" s="32"/>
    </row>
    <row r="3450" spans="43:43" ht="12" customHeight="1" x14ac:dyDescent="0.2">
      <c r="AQ3450" s="32"/>
    </row>
    <row r="3451" spans="43:43" ht="12" customHeight="1" x14ac:dyDescent="0.2">
      <c r="AQ3451" s="32"/>
    </row>
    <row r="3452" spans="43:43" ht="12" customHeight="1" x14ac:dyDescent="0.2">
      <c r="AQ3452" s="32"/>
    </row>
    <row r="3453" spans="43:43" ht="12" customHeight="1" x14ac:dyDescent="0.2">
      <c r="AQ3453" s="32"/>
    </row>
    <row r="3454" spans="43:43" ht="12" customHeight="1" x14ac:dyDescent="0.2">
      <c r="AQ3454" s="32"/>
    </row>
    <row r="3455" spans="43:43" ht="12" customHeight="1" x14ac:dyDescent="0.2">
      <c r="AQ3455" s="32"/>
    </row>
    <row r="3456" spans="43:43" ht="12" customHeight="1" x14ac:dyDescent="0.2">
      <c r="AQ3456" s="32"/>
    </row>
    <row r="3457" spans="43:43" ht="12" customHeight="1" x14ac:dyDescent="0.2">
      <c r="AQ3457" s="32"/>
    </row>
    <row r="3458" spans="43:43" ht="12" customHeight="1" x14ac:dyDescent="0.2">
      <c r="AQ3458" s="32"/>
    </row>
    <row r="3459" spans="43:43" ht="12" customHeight="1" x14ac:dyDescent="0.2">
      <c r="AQ3459" s="32"/>
    </row>
    <row r="3460" spans="43:43" ht="12" customHeight="1" x14ac:dyDescent="0.2">
      <c r="AQ3460" s="32"/>
    </row>
    <row r="3461" spans="43:43" ht="12" customHeight="1" x14ac:dyDescent="0.2">
      <c r="AQ3461" s="32"/>
    </row>
    <row r="3462" spans="43:43" ht="12" customHeight="1" x14ac:dyDescent="0.2">
      <c r="AQ3462" s="32"/>
    </row>
    <row r="3463" spans="43:43" ht="12" customHeight="1" x14ac:dyDescent="0.2">
      <c r="AQ3463" s="32"/>
    </row>
    <row r="3464" spans="43:43" ht="12" customHeight="1" x14ac:dyDescent="0.2">
      <c r="AQ3464" s="32"/>
    </row>
    <row r="3465" spans="43:43" ht="12" customHeight="1" x14ac:dyDescent="0.2">
      <c r="AQ3465" s="32"/>
    </row>
    <row r="3466" spans="43:43" ht="12" customHeight="1" x14ac:dyDescent="0.2">
      <c r="AQ3466" s="32"/>
    </row>
    <row r="3467" spans="43:43" ht="12" customHeight="1" x14ac:dyDescent="0.2">
      <c r="AQ3467" s="32"/>
    </row>
    <row r="3468" spans="43:43" ht="12" customHeight="1" x14ac:dyDescent="0.2">
      <c r="AQ3468" s="32"/>
    </row>
    <row r="3469" spans="43:43" ht="12" customHeight="1" x14ac:dyDescent="0.2">
      <c r="AQ3469" s="32"/>
    </row>
    <row r="3470" spans="43:43" ht="12" customHeight="1" x14ac:dyDescent="0.2">
      <c r="AQ3470" s="32"/>
    </row>
    <row r="3471" spans="43:43" ht="12" customHeight="1" x14ac:dyDescent="0.2">
      <c r="AQ3471" s="32"/>
    </row>
    <row r="3472" spans="43:43" ht="12" customHeight="1" x14ac:dyDescent="0.2">
      <c r="AQ3472" s="32"/>
    </row>
    <row r="3473" spans="43:43" ht="12" customHeight="1" x14ac:dyDescent="0.2">
      <c r="AQ3473" s="32"/>
    </row>
    <row r="3474" spans="43:43" ht="12" customHeight="1" x14ac:dyDescent="0.2">
      <c r="AQ3474" s="32"/>
    </row>
    <row r="3475" spans="43:43" ht="12" customHeight="1" x14ac:dyDescent="0.2">
      <c r="AQ3475" s="32"/>
    </row>
    <row r="3476" spans="43:43" ht="12" customHeight="1" x14ac:dyDescent="0.2">
      <c r="AQ3476" s="32"/>
    </row>
    <row r="3477" spans="43:43" ht="12" customHeight="1" x14ac:dyDescent="0.2">
      <c r="AQ3477" s="32"/>
    </row>
    <row r="3478" spans="43:43" ht="12" customHeight="1" x14ac:dyDescent="0.2">
      <c r="AQ3478" s="32"/>
    </row>
    <row r="3479" spans="43:43" ht="12" customHeight="1" x14ac:dyDescent="0.2">
      <c r="AQ3479" s="32"/>
    </row>
    <row r="3480" spans="43:43" ht="12" customHeight="1" x14ac:dyDescent="0.2">
      <c r="AQ3480" s="32"/>
    </row>
    <row r="3481" spans="43:43" ht="12" customHeight="1" x14ac:dyDescent="0.2">
      <c r="AQ3481" s="32"/>
    </row>
    <row r="3482" spans="43:43" ht="12" customHeight="1" x14ac:dyDescent="0.2">
      <c r="AQ3482" s="32"/>
    </row>
    <row r="3483" spans="43:43" ht="12" customHeight="1" x14ac:dyDescent="0.2">
      <c r="AQ3483" s="32"/>
    </row>
    <row r="3484" spans="43:43" ht="12" customHeight="1" x14ac:dyDescent="0.2">
      <c r="AQ3484" s="32"/>
    </row>
    <row r="3485" spans="43:43" ht="12" customHeight="1" x14ac:dyDescent="0.2">
      <c r="AQ3485" s="32"/>
    </row>
    <row r="3486" spans="43:43" ht="12" customHeight="1" x14ac:dyDescent="0.2">
      <c r="AQ3486" s="32"/>
    </row>
    <row r="3487" spans="43:43" ht="12" customHeight="1" x14ac:dyDescent="0.2">
      <c r="AQ3487" s="32"/>
    </row>
    <row r="3488" spans="43:43" ht="12" customHeight="1" x14ac:dyDescent="0.2">
      <c r="AQ3488" s="32"/>
    </row>
    <row r="3489" spans="43:43" ht="12" customHeight="1" x14ac:dyDescent="0.2">
      <c r="AQ3489" s="32"/>
    </row>
    <row r="3490" spans="43:43" ht="12" customHeight="1" x14ac:dyDescent="0.2">
      <c r="AQ3490" s="32"/>
    </row>
    <row r="3491" spans="43:43" ht="12" customHeight="1" x14ac:dyDescent="0.2">
      <c r="AQ3491" s="32"/>
    </row>
    <row r="3492" spans="43:43" ht="12" customHeight="1" x14ac:dyDescent="0.2">
      <c r="AQ3492" s="32"/>
    </row>
    <row r="3493" spans="43:43" ht="12" customHeight="1" x14ac:dyDescent="0.2">
      <c r="AQ3493" s="32"/>
    </row>
    <row r="3494" spans="43:43" ht="12" customHeight="1" x14ac:dyDescent="0.2">
      <c r="AQ3494" s="32"/>
    </row>
    <row r="3495" spans="43:43" ht="12" customHeight="1" x14ac:dyDescent="0.2">
      <c r="AQ3495" s="32"/>
    </row>
    <row r="3496" spans="43:43" ht="12" customHeight="1" x14ac:dyDescent="0.2">
      <c r="AQ3496" s="32"/>
    </row>
    <row r="3497" spans="43:43" ht="12" customHeight="1" x14ac:dyDescent="0.2">
      <c r="AQ3497" s="32"/>
    </row>
    <row r="3498" spans="43:43" ht="12" customHeight="1" x14ac:dyDescent="0.2">
      <c r="AQ3498" s="32"/>
    </row>
    <row r="3499" spans="43:43" ht="12" customHeight="1" x14ac:dyDescent="0.2">
      <c r="AQ3499" s="32"/>
    </row>
    <row r="3500" spans="43:43" ht="12" customHeight="1" x14ac:dyDescent="0.2">
      <c r="AQ3500" s="32"/>
    </row>
    <row r="3501" spans="43:43" ht="12" customHeight="1" x14ac:dyDescent="0.2">
      <c r="AQ3501" s="32"/>
    </row>
    <row r="3502" spans="43:43" ht="12" customHeight="1" x14ac:dyDescent="0.2">
      <c r="AQ3502" s="32"/>
    </row>
    <row r="3503" spans="43:43" ht="12" customHeight="1" x14ac:dyDescent="0.2">
      <c r="AQ3503" s="32"/>
    </row>
    <row r="3504" spans="43:43" ht="12" customHeight="1" x14ac:dyDescent="0.2">
      <c r="AQ3504" s="32"/>
    </row>
    <row r="3505" spans="43:43" ht="12" customHeight="1" x14ac:dyDescent="0.2">
      <c r="AQ3505" s="32"/>
    </row>
    <row r="3506" spans="43:43" ht="12" customHeight="1" x14ac:dyDescent="0.2">
      <c r="AQ3506" s="32"/>
    </row>
    <row r="3507" spans="43:43" ht="12" customHeight="1" x14ac:dyDescent="0.2">
      <c r="AQ3507" s="32"/>
    </row>
    <row r="3508" spans="43:43" ht="12" customHeight="1" x14ac:dyDescent="0.2">
      <c r="AQ3508" s="32"/>
    </row>
    <row r="3509" spans="43:43" ht="12" customHeight="1" x14ac:dyDescent="0.2">
      <c r="AQ3509" s="32"/>
    </row>
    <row r="3510" spans="43:43" ht="12" customHeight="1" x14ac:dyDescent="0.2">
      <c r="AQ3510" s="32"/>
    </row>
    <row r="3511" spans="43:43" ht="12" customHeight="1" x14ac:dyDescent="0.2">
      <c r="AQ3511" s="32"/>
    </row>
    <row r="3512" spans="43:43" ht="12" customHeight="1" x14ac:dyDescent="0.2">
      <c r="AQ3512" s="32"/>
    </row>
    <row r="3513" spans="43:43" ht="12" customHeight="1" x14ac:dyDescent="0.2">
      <c r="AQ3513" s="32"/>
    </row>
    <row r="3514" spans="43:43" ht="12" customHeight="1" x14ac:dyDescent="0.2">
      <c r="AQ3514" s="32"/>
    </row>
    <row r="3515" spans="43:43" ht="12" customHeight="1" x14ac:dyDescent="0.2">
      <c r="AQ3515" s="32"/>
    </row>
    <row r="3516" spans="43:43" ht="12" customHeight="1" x14ac:dyDescent="0.2">
      <c r="AQ3516" s="32"/>
    </row>
    <row r="3517" spans="43:43" ht="12" customHeight="1" x14ac:dyDescent="0.2">
      <c r="AQ3517" s="32"/>
    </row>
    <row r="3518" spans="43:43" ht="12" customHeight="1" x14ac:dyDescent="0.2">
      <c r="AQ3518" s="32"/>
    </row>
    <row r="3519" spans="43:43" ht="12" customHeight="1" x14ac:dyDescent="0.2">
      <c r="AQ3519" s="32"/>
    </row>
    <row r="3520" spans="43:43" ht="12" customHeight="1" x14ac:dyDescent="0.2">
      <c r="AQ3520" s="32"/>
    </row>
    <row r="3521" spans="43:43" ht="12" customHeight="1" x14ac:dyDescent="0.2">
      <c r="AQ3521" s="32"/>
    </row>
    <row r="3522" spans="43:43" ht="12" customHeight="1" x14ac:dyDescent="0.2">
      <c r="AQ3522" s="32"/>
    </row>
    <row r="3523" spans="43:43" ht="12" customHeight="1" x14ac:dyDescent="0.2">
      <c r="AQ3523" s="32"/>
    </row>
    <row r="3524" spans="43:43" ht="12" customHeight="1" x14ac:dyDescent="0.2">
      <c r="AQ3524" s="32"/>
    </row>
    <row r="3525" spans="43:43" ht="12" customHeight="1" x14ac:dyDescent="0.2">
      <c r="AQ3525" s="32"/>
    </row>
    <row r="3526" spans="43:43" ht="12" customHeight="1" x14ac:dyDescent="0.2">
      <c r="AQ3526" s="32"/>
    </row>
    <row r="3527" spans="43:43" ht="12" customHeight="1" x14ac:dyDescent="0.2">
      <c r="AQ3527" s="32"/>
    </row>
    <row r="3528" spans="43:43" ht="12" customHeight="1" x14ac:dyDescent="0.2">
      <c r="AQ3528" s="32"/>
    </row>
    <row r="3529" spans="43:43" ht="12" customHeight="1" x14ac:dyDescent="0.2">
      <c r="AQ3529" s="32"/>
    </row>
    <row r="3530" spans="43:43" ht="12" customHeight="1" x14ac:dyDescent="0.2">
      <c r="AQ3530" s="32"/>
    </row>
    <row r="3531" spans="43:43" ht="12" customHeight="1" x14ac:dyDescent="0.2">
      <c r="AQ3531" s="32"/>
    </row>
    <row r="3532" spans="43:43" ht="12" customHeight="1" x14ac:dyDescent="0.2">
      <c r="AQ3532" s="32"/>
    </row>
    <row r="3533" spans="43:43" ht="12" customHeight="1" x14ac:dyDescent="0.2">
      <c r="AQ3533" s="32"/>
    </row>
    <row r="3534" spans="43:43" ht="12" customHeight="1" x14ac:dyDescent="0.2">
      <c r="AQ3534" s="32"/>
    </row>
    <row r="3535" spans="43:43" ht="12" customHeight="1" x14ac:dyDescent="0.2">
      <c r="AQ3535" s="32"/>
    </row>
    <row r="3536" spans="43:43" ht="12" customHeight="1" x14ac:dyDescent="0.2">
      <c r="AQ3536" s="32"/>
    </row>
    <row r="3537" spans="43:43" ht="12" customHeight="1" x14ac:dyDescent="0.2">
      <c r="AQ3537" s="32"/>
    </row>
    <row r="3538" spans="43:43" ht="12" customHeight="1" x14ac:dyDescent="0.2">
      <c r="AQ3538" s="32"/>
    </row>
    <row r="3539" spans="43:43" ht="12" customHeight="1" x14ac:dyDescent="0.2">
      <c r="AQ3539" s="32"/>
    </row>
    <row r="3540" spans="43:43" ht="12" customHeight="1" x14ac:dyDescent="0.2">
      <c r="AQ3540" s="32"/>
    </row>
    <row r="3541" spans="43:43" ht="12" customHeight="1" x14ac:dyDescent="0.2">
      <c r="AQ3541" s="32"/>
    </row>
    <row r="3542" spans="43:43" ht="12" customHeight="1" x14ac:dyDescent="0.2">
      <c r="AQ3542" s="32"/>
    </row>
    <row r="3543" spans="43:43" ht="12" customHeight="1" x14ac:dyDescent="0.2">
      <c r="AQ3543" s="32"/>
    </row>
    <row r="3544" spans="43:43" ht="12" customHeight="1" x14ac:dyDescent="0.2">
      <c r="AQ3544" s="32"/>
    </row>
    <row r="3545" spans="43:43" ht="12" customHeight="1" x14ac:dyDescent="0.2">
      <c r="AQ3545" s="32"/>
    </row>
    <row r="3546" spans="43:43" ht="12" customHeight="1" x14ac:dyDescent="0.2">
      <c r="AQ3546" s="32"/>
    </row>
    <row r="3547" spans="43:43" ht="12" customHeight="1" x14ac:dyDescent="0.2">
      <c r="AQ3547" s="32"/>
    </row>
    <row r="3548" spans="43:43" ht="12" customHeight="1" x14ac:dyDescent="0.2">
      <c r="AQ3548" s="32"/>
    </row>
    <row r="3549" spans="43:43" ht="12" customHeight="1" x14ac:dyDescent="0.2">
      <c r="AQ3549" s="32"/>
    </row>
    <row r="3550" spans="43:43" ht="12" customHeight="1" x14ac:dyDescent="0.2">
      <c r="AQ3550" s="32"/>
    </row>
    <row r="3551" spans="43:43" ht="12" customHeight="1" x14ac:dyDescent="0.2">
      <c r="AQ3551" s="32"/>
    </row>
    <row r="3552" spans="43:43" ht="12" customHeight="1" x14ac:dyDescent="0.2">
      <c r="AQ3552" s="32"/>
    </row>
    <row r="3553" spans="43:43" ht="12" customHeight="1" x14ac:dyDescent="0.2">
      <c r="AQ3553" s="32"/>
    </row>
    <row r="3554" spans="43:43" ht="12" customHeight="1" x14ac:dyDescent="0.2">
      <c r="AQ3554" s="32"/>
    </row>
    <row r="3555" spans="43:43" ht="12" customHeight="1" x14ac:dyDescent="0.2">
      <c r="AQ3555" s="32"/>
    </row>
    <row r="3556" spans="43:43" ht="12" customHeight="1" x14ac:dyDescent="0.2">
      <c r="AQ3556" s="32"/>
    </row>
    <row r="3557" spans="43:43" ht="12" customHeight="1" x14ac:dyDescent="0.2">
      <c r="AQ3557" s="32"/>
    </row>
    <row r="3558" spans="43:43" ht="12" customHeight="1" x14ac:dyDescent="0.2">
      <c r="AQ3558" s="32"/>
    </row>
    <row r="3559" spans="43:43" ht="12" customHeight="1" x14ac:dyDescent="0.2">
      <c r="AQ3559" s="32"/>
    </row>
    <row r="3560" spans="43:43" ht="12" customHeight="1" x14ac:dyDescent="0.2">
      <c r="AQ3560" s="32"/>
    </row>
    <row r="3561" spans="43:43" ht="12" customHeight="1" x14ac:dyDescent="0.2">
      <c r="AQ3561" s="32"/>
    </row>
    <row r="3562" spans="43:43" ht="12" customHeight="1" x14ac:dyDescent="0.2">
      <c r="AQ3562" s="32"/>
    </row>
    <row r="3563" spans="43:43" ht="12" customHeight="1" x14ac:dyDescent="0.2">
      <c r="AQ3563" s="32"/>
    </row>
    <row r="3564" spans="43:43" ht="12" customHeight="1" x14ac:dyDescent="0.2">
      <c r="AQ3564" s="32"/>
    </row>
    <row r="3565" spans="43:43" ht="12" customHeight="1" x14ac:dyDescent="0.2">
      <c r="AQ3565" s="32"/>
    </row>
    <row r="3566" spans="43:43" ht="12" customHeight="1" x14ac:dyDescent="0.2">
      <c r="AQ3566" s="32"/>
    </row>
    <row r="3567" spans="43:43" ht="12" customHeight="1" x14ac:dyDescent="0.2">
      <c r="AQ3567" s="32"/>
    </row>
    <row r="3568" spans="43:43" ht="12" customHeight="1" x14ac:dyDescent="0.2">
      <c r="AQ3568" s="32"/>
    </row>
    <row r="3569" spans="43:43" ht="12" customHeight="1" x14ac:dyDescent="0.2">
      <c r="AQ3569" s="32"/>
    </row>
    <row r="3570" spans="43:43" ht="12" customHeight="1" x14ac:dyDescent="0.2">
      <c r="AQ3570" s="32"/>
    </row>
    <row r="3571" spans="43:43" ht="12" customHeight="1" x14ac:dyDescent="0.2">
      <c r="AQ3571" s="32"/>
    </row>
    <row r="3572" spans="43:43" ht="12" customHeight="1" x14ac:dyDescent="0.2">
      <c r="AQ3572" s="32"/>
    </row>
    <row r="3573" spans="43:43" ht="12" customHeight="1" x14ac:dyDescent="0.2">
      <c r="AQ3573" s="32"/>
    </row>
    <row r="3574" spans="43:43" ht="12" customHeight="1" x14ac:dyDescent="0.2">
      <c r="AQ3574" s="32"/>
    </row>
    <row r="3575" spans="43:43" ht="12" customHeight="1" x14ac:dyDescent="0.2">
      <c r="AQ3575" s="32"/>
    </row>
    <row r="3576" spans="43:43" ht="12" customHeight="1" x14ac:dyDescent="0.2">
      <c r="AQ3576" s="32"/>
    </row>
    <row r="3577" spans="43:43" ht="12" customHeight="1" x14ac:dyDescent="0.2">
      <c r="AQ3577" s="32"/>
    </row>
    <row r="3578" spans="43:43" ht="12" customHeight="1" x14ac:dyDescent="0.2">
      <c r="AQ3578" s="32"/>
    </row>
    <row r="3579" spans="43:43" ht="12" customHeight="1" x14ac:dyDescent="0.2">
      <c r="AQ3579" s="32"/>
    </row>
    <row r="3580" spans="43:43" ht="12" customHeight="1" x14ac:dyDescent="0.2">
      <c r="AQ3580" s="32"/>
    </row>
    <row r="3581" spans="43:43" ht="12" customHeight="1" x14ac:dyDescent="0.2">
      <c r="AQ3581" s="32"/>
    </row>
    <row r="3582" spans="43:43" ht="12" customHeight="1" x14ac:dyDescent="0.2">
      <c r="AQ3582" s="32"/>
    </row>
    <row r="3583" spans="43:43" ht="12" customHeight="1" x14ac:dyDescent="0.2">
      <c r="AQ3583" s="32"/>
    </row>
    <row r="3584" spans="43:43" ht="12" customHeight="1" x14ac:dyDescent="0.2">
      <c r="AQ3584" s="32"/>
    </row>
    <row r="3585" spans="43:43" ht="12" customHeight="1" x14ac:dyDescent="0.2">
      <c r="AQ3585" s="32"/>
    </row>
    <row r="3586" spans="43:43" ht="12" customHeight="1" x14ac:dyDescent="0.2">
      <c r="AQ3586" s="32"/>
    </row>
    <row r="3587" spans="43:43" ht="12" customHeight="1" x14ac:dyDescent="0.2">
      <c r="AQ3587" s="32"/>
    </row>
    <row r="3588" spans="43:43" ht="12" customHeight="1" x14ac:dyDescent="0.2">
      <c r="AQ3588" s="32"/>
    </row>
    <row r="3589" spans="43:43" ht="12" customHeight="1" x14ac:dyDescent="0.2">
      <c r="AQ3589" s="32"/>
    </row>
    <row r="3590" spans="43:43" ht="12" customHeight="1" x14ac:dyDescent="0.2">
      <c r="AQ3590" s="32"/>
    </row>
    <row r="3591" spans="43:43" ht="12" customHeight="1" x14ac:dyDescent="0.2">
      <c r="AQ3591" s="32"/>
    </row>
    <row r="3592" spans="43:43" ht="12" customHeight="1" x14ac:dyDescent="0.2">
      <c r="AQ3592" s="32"/>
    </row>
    <row r="3593" spans="43:43" ht="12" customHeight="1" x14ac:dyDescent="0.2">
      <c r="AQ3593" s="32"/>
    </row>
    <row r="3594" spans="43:43" ht="12" customHeight="1" x14ac:dyDescent="0.2">
      <c r="AQ3594" s="32"/>
    </row>
    <row r="3595" spans="43:43" ht="12" customHeight="1" x14ac:dyDescent="0.2">
      <c r="AQ3595" s="32"/>
    </row>
    <row r="3596" spans="43:43" ht="12" customHeight="1" x14ac:dyDescent="0.2">
      <c r="AQ3596" s="32"/>
    </row>
    <row r="3597" spans="43:43" ht="12" customHeight="1" x14ac:dyDescent="0.2">
      <c r="AQ3597" s="32"/>
    </row>
    <row r="3598" spans="43:43" ht="12" customHeight="1" x14ac:dyDescent="0.2">
      <c r="AQ3598" s="32"/>
    </row>
    <row r="3599" spans="43:43" ht="12" customHeight="1" x14ac:dyDescent="0.2">
      <c r="AQ3599" s="32"/>
    </row>
    <row r="3600" spans="43:43" ht="12" customHeight="1" x14ac:dyDescent="0.2">
      <c r="AQ3600" s="32"/>
    </row>
    <row r="3601" spans="43:43" ht="12" customHeight="1" x14ac:dyDescent="0.2">
      <c r="AQ3601" s="32"/>
    </row>
    <row r="3602" spans="43:43" ht="12" customHeight="1" x14ac:dyDescent="0.2">
      <c r="AQ3602" s="32"/>
    </row>
    <row r="3603" spans="43:43" ht="12" customHeight="1" x14ac:dyDescent="0.2">
      <c r="AQ3603" s="32"/>
    </row>
    <row r="3604" spans="43:43" ht="12" customHeight="1" x14ac:dyDescent="0.2">
      <c r="AQ3604" s="32"/>
    </row>
    <row r="3605" spans="43:43" ht="12" customHeight="1" x14ac:dyDescent="0.2">
      <c r="AQ3605" s="32"/>
    </row>
    <row r="3606" spans="43:43" ht="12" customHeight="1" x14ac:dyDescent="0.2">
      <c r="AQ3606" s="32"/>
    </row>
    <row r="3607" spans="43:43" ht="12" customHeight="1" x14ac:dyDescent="0.2">
      <c r="AQ3607" s="32"/>
    </row>
    <row r="3608" spans="43:43" ht="12" customHeight="1" x14ac:dyDescent="0.2">
      <c r="AQ3608" s="32"/>
    </row>
    <row r="3609" spans="43:43" ht="12" customHeight="1" x14ac:dyDescent="0.2">
      <c r="AQ3609" s="32"/>
    </row>
    <row r="3610" spans="43:43" ht="12" customHeight="1" x14ac:dyDescent="0.2">
      <c r="AQ3610" s="32"/>
    </row>
    <row r="3611" spans="43:43" ht="12" customHeight="1" x14ac:dyDescent="0.2">
      <c r="AQ3611" s="32"/>
    </row>
    <row r="3612" spans="43:43" ht="12" customHeight="1" x14ac:dyDescent="0.2">
      <c r="AQ3612" s="32"/>
    </row>
    <row r="3613" spans="43:43" ht="12" customHeight="1" x14ac:dyDescent="0.2">
      <c r="AQ3613" s="32"/>
    </row>
    <row r="3614" spans="43:43" ht="12" customHeight="1" x14ac:dyDescent="0.2">
      <c r="AQ3614" s="32"/>
    </row>
    <row r="3615" spans="43:43" ht="12" customHeight="1" x14ac:dyDescent="0.2">
      <c r="AQ3615" s="32"/>
    </row>
    <row r="3616" spans="43:43" ht="12" customHeight="1" x14ac:dyDescent="0.2">
      <c r="AQ3616" s="32"/>
    </row>
    <row r="3617" spans="43:43" ht="12" customHeight="1" x14ac:dyDescent="0.2">
      <c r="AQ3617" s="32"/>
    </row>
    <row r="3618" spans="43:43" ht="12" customHeight="1" x14ac:dyDescent="0.2">
      <c r="AQ3618" s="32"/>
    </row>
    <row r="3619" spans="43:43" ht="12" customHeight="1" x14ac:dyDescent="0.2">
      <c r="AQ3619" s="32"/>
    </row>
    <row r="3620" spans="43:43" ht="12" customHeight="1" x14ac:dyDescent="0.2">
      <c r="AQ3620" s="32"/>
    </row>
    <row r="3621" spans="43:43" ht="12" customHeight="1" x14ac:dyDescent="0.2">
      <c r="AQ3621" s="32"/>
    </row>
    <row r="3622" spans="43:43" ht="12" customHeight="1" x14ac:dyDescent="0.2">
      <c r="AQ3622" s="32"/>
    </row>
    <row r="3623" spans="43:43" ht="12" customHeight="1" x14ac:dyDescent="0.2">
      <c r="AQ3623" s="32"/>
    </row>
    <row r="3624" spans="43:43" ht="12" customHeight="1" x14ac:dyDescent="0.2">
      <c r="AQ3624" s="32"/>
    </row>
    <row r="3625" spans="43:43" ht="12" customHeight="1" x14ac:dyDescent="0.2">
      <c r="AQ3625" s="32"/>
    </row>
    <row r="3626" spans="43:43" ht="12" customHeight="1" x14ac:dyDescent="0.2">
      <c r="AQ3626" s="32"/>
    </row>
    <row r="3627" spans="43:43" ht="12" customHeight="1" x14ac:dyDescent="0.2">
      <c r="AQ3627" s="32"/>
    </row>
    <row r="3628" spans="43:43" ht="12" customHeight="1" x14ac:dyDescent="0.2">
      <c r="AQ3628" s="32"/>
    </row>
    <row r="3629" spans="43:43" ht="12" customHeight="1" x14ac:dyDescent="0.2">
      <c r="AQ3629" s="32"/>
    </row>
    <row r="3630" spans="43:43" ht="12" customHeight="1" x14ac:dyDescent="0.2">
      <c r="AQ3630" s="32"/>
    </row>
    <row r="3631" spans="43:43" ht="12" customHeight="1" x14ac:dyDescent="0.2">
      <c r="AQ3631" s="32"/>
    </row>
    <row r="3632" spans="43:43" ht="12" customHeight="1" x14ac:dyDescent="0.2">
      <c r="AQ3632" s="32"/>
    </row>
    <row r="3633" spans="43:43" ht="12" customHeight="1" x14ac:dyDescent="0.2">
      <c r="AQ3633" s="32"/>
    </row>
    <row r="3634" spans="43:43" ht="12" customHeight="1" x14ac:dyDescent="0.2">
      <c r="AQ3634" s="32"/>
    </row>
    <row r="3635" spans="43:43" ht="12" customHeight="1" x14ac:dyDescent="0.2">
      <c r="AQ3635" s="32"/>
    </row>
    <row r="3636" spans="43:43" ht="12" customHeight="1" x14ac:dyDescent="0.2">
      <c r="AQ3636" s="32"/>
    </row>
    <row r="3637" spans="43:43" ht="12" customHeight="1" x14ac:dyDescent="0.2">
      <c r="AQ3637" s="32"/>
    </row>
    <row r="3638" spans="43:43" ht="12" customHeight="1" x14ac:dyDescent="0.2">
      <c r="AQ3638" s="32"/>
    </row>
    <row r="3639" spans="43:43" ht="12" customHeight="1" x14ac:dyDescent="0.2">
      <c r="AQ3639" s="32"/>
    </row>
    <row r="3640" spans="43:43" ht="12" customHeight="1" x14ac:dyDescent="0.2">
      <c r="AQ3640" s="32"/>
    </row>
    <row r="3641" spans="43:43" ht="12" customHeight="1" x14ac:dyDescent="0.2">
      <c r="AQ3641" s="32"/>
    </row>
    <row r="3642" spans="43:43" ht="12" customHeight="1" x14ac:dyDescent="0.2">
      <c r="AQ3642" s="32"/>
    </row>
    <row r="3643" spans="43:43" ht="12" customHeight="1" x14ac:dyDescent="0.2">
      <c r="AQ3643" s="32"/>
    </row>
    <row r="3644" spans="43:43" ht="12" customHeight="1" x14ac:dyDescent="0.2">
      <c r="AQ3644" s="32"/>
    </row>
    <row r="3645" spans="43:43" ht="12" customHeight="1" x14ac:dyDescent="0.2">
      <c r="AQ3645" s="32"/>
    </row>
    <row r="3646" spans="43:43" ht="12" customHeight="1" x14ac:dyDescent="0.2">
      <c r="AQ3646" s="32"/>
    </row>
    <row r="3647" spans="43:43" ht="12" customHeight="1" x14ac:dyDescent="0.2">
      <c r="AQ3647" s="32"/>
    </row>
    <row r="3648" spans="43:43" ht="12" customHeight="1" x14ac:dyDescent="0.2">
      <c r="AQ3648" s="32"/>
    </row>
    <row r="3649" spans="43:43" ht="12" customHeight="1" x14ac:dyDescent="0.2">
      <c r="AQ3649" s="32"/>
    </row>
    <row r="3650" spans="43:43" ht="12" customHeight="1" x14ac:dyDescent="0.2">
      <c r="AQ3650" s="32"/>
    </row>
    <row r="3651" spans="43:43" ht="12" customHeight="1" x14ac:dyDescent="0.2">
      <c r="AQ3651" s="32"/>
    </row>
    <row r="3652" spans="43:43" ht="12" customHeight="1" x14ac:dyDescent="0.2">
      <c r="AQ3652" s="32"/>
    </row>
    <row r="3653" spans="43:43" ht="12" customHeight="1" x14ac:dyDescent="0.2">
      <c r="AQ3653" s="32"/>
    </row>
    <row r="3654" spans="43:43" ht="12" customHeight="1" x14ac:dyDescent="0.2">
      <c r="AQ3654" s="32"/>
    </row>
    <row r="3655" spans="43:43" ht="12" customHeight="1" x14ac:dyDescent="0.2">
      <c r="AQ3655" s="32"/>
    </row>
    <row r="3656" spans="43:43" ht="12" customHeight="1" x14ac:dyDescent="0.2">
      <c r="AQ3656" s="32"/>
    </row>
    <row r="3657" spans="43:43" ht="12" customHeight="1" x14ac:dyDescent="0.2">
      <c r="AQ3657" s="32"/>
    </row>
    <row r="3658" spans="43:43" ht="12" customHeight="1" x14ac:dyDescent="0.2">
      <c r="AQ3658" s="32"/>
    </row>
    <row r="3659" spans="43:43" ht="12" customHeight="1" x14ac:dyDescent="0.2">
      <c r="AQ3659" s="32"/>
    </row>
    <row r="3660" spans="43:43" ht="12" customHeight="1" x14ac:dyDescent="0.2">
      <c r="AQ3660" s="32"/>
    </row>
    <row r="3661" spans="43:43" ht="12" customHeight="1" x14ac:dyDescent="0.2">
      <c r="AQ3661" s="32"/>
    </row>
    <row r="3662" spans="43:43" ht="12" customHeight="1" x14ac:dyDescent="0.2">
      <c r="AQ3662" s="32"/>
    </row>
    <row r="3663" spans="43:43" ht="12" customHeight="1" x14ac:dyDescent="0.2">
      <c r="AQ3663" s="32"/>
    </row>
    <row r="3664" spans="43:43" ht="12" customHeight="1" x14ac:dyDescent="0.2">
      <c r="AQ3664" s="32"/>
    </row>
    <row r="3665" spans="43:43" ht="12" customHeight="1" x14ac:dyDescent="0.2">
      <c r="AQ3665" s="32"/>
    </row>
    <row r="3666" spans="43:43" ht="12" customHeight="1" x14ac:dyDescent="0.2">
      <c r="AQ3666" s="32"/>
    </row>
    <row r="3667" spans="43:43" ht="12" customHeight="1" x14ac:dyDescent="0.2">
      <c r="AQ3667" s="32"/>
    </row>
    <row r="3668" spans="43:43" ht="12" customHeight="1" x14ac:dyDescent="0.2">
      <c r="AQ3668" s="32"/>
    </row>
    <row r="3669" spans="43:43" ht="12" customHeight="1" x14ac:dyDescent="0.2">
      <c r="AQ3669" s="32"/>
    </row>
    <row r="3670" spans="43:43" ht="12" customHeight="1" x14ac:dyDescent="0.2">
      <c r="AQ3670" s="32"/>
    </row>
    <row r="3671" spans="43:43" ht="12" customHeight="1" x14ac:dyDescent="0.2">
      <c r="AQ3671" s="32"/>
    </row>
    <row r="3672" spans="43:43" ht="12" customHeight="1" x14ac:dyDescent="0.2">
      <c r="AQ3672" s="32"/>
    </row>
    <row r="3673" spans="43:43" ht="12" customHeight="1" x14ac:dyDescent="0.2">
      <c r="AQ3673" s="32"/>
    </row>
    <row r="3674" spans="43:43" ht="12" customHeight="1" x14ac:dyDescent="0.2">
      <c r="AQ3674" s="32"/>
    </row>
    <row r="3675" spans="43:43" ht="12" customHeight="1" x14ac:dyDescent="0.2">
      <c r="AQ3675" s="32"/>
    </row>
    <row r="3676" spans="43:43" ht="12" customHeight="1" x14ac:dyDescent="0.2">
      <c r="AQ3676" s="32"/>
    </row>
    <row r="3677" spans="43:43" ht="12" customHeight="1" x14ac:dyDescent="0.2">
      <c r="AQ3677" s="32"/>
    </row>
    <row r="3678" spans="43:43" ht="12" customHeight="1" x14ac:dyDescent="0.2">
      <c r="AQ3678" s="32"/>
    </row>
    <row r="3679" spans="43:43" ht="12" customHeight="1" x14ac:dyDescent="0.2">
      <c r="AQ3679" s="32"/>
    </row>
    <row r="3680" spans="43:43" ht="12" customHeight="1" x14ac:dyDescent="0.2">
      <c r="AQ3680" s="32"/>
    </row>
    <row r="3681" spans="43:43" ht="12" customHeight="1" x14ac:dyDescent="0.2">
      <c r="AQ3681" s="32"/>
    </row>
    <row r="3682" spans="43:43" ht="12" customHeight="1" x14ac:dyDescent="0.2">
      <c r="AQ3682" s="32"/>
    </row>
    <row r="3683" spans="43:43" ht="12" customHeight="1" x14ac:dyDescent="0.2">
      <c r="AQ3683" s="32"/>
    </row>
    <row r="3684" spans="43:43" ht="12" customHeight="1" x14ac:dyDescent="0.2">
      <c r="AQ3684" s="32"/>
    </row>
    <row r="3685" spans="43:43" ht="12" customHeight="1" x14ac:dyDescent="0.2">
      <c r="AQ3685" s="32"/>
    </row>
    <row r="3686" spans="43:43" ht="12" customHeight="1" x14ac:dyDescent="0.2">
      <c r="AQ3686" s="32"/>
    </row>
    <row r="3687" spans="43:43" ht="12" customHeight="1" x14ac:dyDescent="0.2">
      <c r="AQ3687" s="32"/>
    </row>
    <row r="3688" spans="43:43" ht="12" customHeight="1" x14ac:dyDescent="0.2">
      <c r="AQ3688" s="32"/>
    </row>
    <row r="3689" spans="43:43" ht="12" customHeight="1" x14ac:dyDescent="0.2">
      <c r="AQ3689" s="32"/>
    </row>
    <row r="3690" spans="43:43" ht="12" customHeight="1" x14ac:dyDescent="0.2">
      <c r="AQ3690" s="32"/>
    </row>
    <row r="3691" spans="43:43" ht="12" customHeight="1" x14ac:dyDescent="0.2">
      <c r="AQ3691" s="32"/>
    </row>
    <row r="3692" spans="43:43" ht="12" customHeight="1" x14ac:dyDescent="0.2">
      <c r="AQ3692" s="32"/>
    </row>
    <row r="3693" spans="43:43" ht="12" customHeight="1" x14ac:dyDescent="0.2">
      <c r="AQ3693" s="32"/>
    </row>
    <row r="3694" spans="43:43" ht="12" customHeight="1" x14ac:dyDescent="0.2">
      <c r="AQ3694" s="32"/>
    </row>
    <row r="3695" spans="43:43" ht="12" customHeight="1" x14ac:dyDescent="0.2">
      <c r="AQ3695" s="32"/>
    </row>
    <row r="3696" spans="43:43" ht="12" customHeight="1" x14ac:dyDescent="0.2">
      <c r="AQ3696" s="32"/>
    </row>
    <row r="3697" spans="43:43" ht="12" customHeight="1" x14ac:dyDescent="0.2">
      <c r="AQ3697" s="32"/>
    </row>
    <row r="3698" spans="43:43" ht="12" customHeight="1" x14ac:dyDescent="0.2">
      <c r="AQ3698" s="32"/>
    </row>
    <row r="3699" spans="43:43" ht="12" customHeight="1" x14ac:dyDescent="0.2">
      <c r="AQ3699" s="32"/>
    </row>
    <row r="3700" spans="43:43" ht="12" customHeight="1" x14ac:dyDescent="0.2">
      <c r="AQ3700" s="32"/>
    </row>
    <row r="3701" spans="43:43" ht="12" customHeight="1" x14ac:dyDescent="0.2">
      <c r="AQ3701" s="32"/>
    </row>
    <row r="3702" spans="43:43" ht="12" customHeight="1" x14ac:dyDescent="0.2">
      <c r="AQ3702" s="32"/>
    </row>
    <row r="3703" spans="43:43" ht="12" customHeight="1" x14ac:dyDescent="0.2">
      <c r="AQ3703" s="32"/>
    </row>
    <row r="3704" spans="43:43" ht="12" customHeight="1" x14ac:dyDescent="0.2">
      <c r="AQ3704" s="32"/>
    </row>
    <row r="3705" spans="43:43" ht="12" customHeight="1" x14ac:dyDescent="0.2">
      <c r="AQ3705" s="32"/>
    </row>
    <row r="3706" spans="43:43" ht="12" customHeight="1" x14ac:dyDescent="0.2">
      <c r="AQ3706" s="32"/>
    </row>
    <row r="3707" spans="43:43" ht="12" customHeight="1" x14ac:dyDescent="0.2">
      <c r="AQ3707" s="32"/>
    </row>
    <row r="3708" spans="43:43" ht="12" customHeight="1" x14ac:dyDescent="0.2">
      <c r="AQ3708" s="32"/>
    </row>
    <row r="3709" spans="43:43" ht="12" customHeight="1" x14ac:dyDescent="0.2">
      <c r="AQ3709" s="32"/>
    </row>
    <row r="3710" spans="43:43" ht="12" customHeight="1" x14ac:dyDescent="0.2">
      <c r="AQ3710" s="32"/>
    </row>
    <row r="3711" spans="43:43" ht="12" customHeight="1" x14ac:dyDescent="0.2">
      <c r="AQ3711" s="32"/>
    </row>
    <row r="3712" spans="43:43" ht="12" customHeight="1" x14ac:dyDescent="0.2">
      <c r="AQ3712" s="32"/>
    </row>
    <row r="3713" spans="43:43" ht="12" customHeight="1" x14ac:dyDescent="0.2">
      <c r="AQ3713" s="32"/>
    </row>
    <row r="3714" spans="43:43" ht="12" customHeight="1" x14ac:dyDescent="0.2">
      <c r="AQ3714" s="32"/>
    </row>
    <row r="3715" spans="43:43" ht="12" customHeight="1" x14ac:dyDescent="0.2">
      <c r="AQ3715" s="32"/>
    </row>
    <row r="3716" spans="43:43" ht="12" customHeight="1" x14ac:dyDescent="0.2">
      <c r="AQ3716" s="32"/>
    </row>
    <row r="3717" spans="43:43" ht="12" customHeight="1" x14ac:dyDescent="0.2">
      <c r="AQ3717" s="32"/>
    </row>
    <row r="3718" spans="43:43" ht="12" customHeight="1" x14ac:dyDescent="0.2">
      <c r="AQ3718" s="32"/>
    </row>
    <row r="3719" spans="43:43" ht="12" customHeight="1" x14ac:dyDescent="0.2">
      <c r="AQ3719" s="32"/>
    </row>
    <row r="3720" spans="43:43" ht="12" customHeight="1" x14ac:dyDescent="0.2">
      <c r="AQ3720" s="32"/>
    </row>
    <row r="3721" spans="43:43" ht="12" customHeight="1" x14ac:dyDescent="0.2">
      <c r="AQ3721" s="32"/>
    </row>
    <row r="3722" spans="43:43" ht="12" customHeight="1" x14ac:dyDescent="0.2">
      <c r="AQ3722" s="32"/>
    </row>
    <row r="3723" spans="43:43" ht="12" customHeight="1" x14ac:dyDescent="0.2">
      <c r="AQ3723" s="32"/>
    </row>
    <row r="3724" spans="43:43" ht="12" customHeight="1" x14ac:dyDescent="0.2">
      <c r="AQ3724" s="32"/>
    </row>
    <row r="3725" spans="43:43" ht="12" customHeight="1" x14ac:dyDescent="0.2">
      <c r="AQ3725" s="32"/>
    </row>
    <row r="3726" spans="43:43" ht="12" customHeight="1" x14ac:dyDescent="0.2">
      <c r="AQ3726" s="32"/>
    </row>
    <row r="3727" spans="43:43" ht="12" customHeight="1" x14ac:dyDescent="0.2">
      <c r="AQ3727" s="32"/>
    </row>
    <row r="3728" spans="43:43" ht="12" customHeight="1" x14ac:dyDescent="0.2">
      <c r="AQ3728" s="32"/>
    </row>
    <row r="3729" spans="43:43" ht="12" customHeight="1" x14ac:dyDescent="0.2">
      <c r="AQ3729" s="32"/>
    </row>
    <row r="3730" spans="43:43" ht="12" customHeight="1" x14ac:dyDescent="0.2">
      <c r="AQ3730" s="32"/>
    </row>
    <row r="3731" spans="43:43" ht="12" customHeight="1" x14ac:dyDescent="0.2">
      <c r="AQ3731" s="32"/>
    </row>
    <row r="3732" spans="43:43" ht="12" customHeight="1" x14ac:dyDescent="0.2">
      <c r="AQ3732" s="32"/>
    </row>
    <row r="3733" spans="43:43" ht="12" customHeight="1" x14ac:dyDescent="0.2">
      <c r="AQ3733" s="32"/>
    </row>
    <row r="3734" spans="43:43" ht="12" customHeight="1" x14ac:dyDescent="0.2">
      <c r="AQ3734" s="32"/>
    </row>
    <row r="3735" spans="43:43" ht="12" customHeight="1" x14ac:dyDescent="0.2">
      <c r="AQ3735" s="32"/>
    </row>
    <row r="3736" spans="43:43" ht="12" customHeight="1" x14ac:dyDescent="0.2">
      <c r="AQ3736" s="32"/>
    </row>
    <row r="3737" spans="43:43" ht="12" customHeight="1" x14ac:dyDescent="0.2">
      <c r="AQ3737" s="32"/>
    </row>
    <row r="3738" spans="43:43" ht="12" customHeight="1" x14ac:dyDescent="0.2">
      <c r="AQ3738" s="32"/>
    </row>
    <row r="3739" spans="43:43" ht="12" customHeight="1" x14ac:dyDescent="0.2">
      <c r="AQ3739" s="32"/>
    </row>
    <row r="3740" spans="43:43" ht="12" customHeight="1" x14ac:dyDescent="0.2">
      <c r="AQ3740" s="32"/>
    </row>
    <row r="3741" spans="43:43" ht="12" customHeight="1" x14ac:dyDescent="0.2">
      <c r="AQ3741" s="32"/>
    </row>
    <row r="3742" spans="43:43" ht="12" customHeight="1" x14ac:dyDescent="0.2">
      <c r="AQ3742" s="32"/>
    </row>
    <row r="3743" spans="43:43" ht="12" customHeight="1" x14ac:dyDescent="0.2">
      <c r="AQ3743" s="32"/>
    </row>
    <row r="3744" spans="43:43" ht="12" customHeight="1" x14ac:dyDescent="0.2">
      <c r="AQ3744" s="32"/>
    </row>
    <row r="3745" spans="43:43" ht="12" customHeight="1" x14ac:dyDescent="0.2">
      <c r="AQ3745" s="32"/>
    </row>
    <row r="3746" spans="43:43" ht="12" customHeight="1" x14ac:dyDescent="0.2">
      <c r="AQ3746" s="32"/>
    </row>
    <row r="3747" spans="43:43" ht="12" customHeight="1" x14ac:dyDescent="0.2">
      <c r="AQ3747" s="32"/>
    </row>
    <row r="3748" spans="43:43" ht="12" customHeight="1" x14ac:dyDescent="0.2">
      <c r="AQ3748" s="32"/>
    </row>
    <row r="3749" spans="43:43" ht="12" customHeight="1" x14ac:dyDescent="0.2">
      <c r="AQ3749" s="32"/>
    </row>
    <row r="3750" spans="43:43" ht="12" customHeight="1" x14ac:dyDescent="0.2">
      <c r="AQ3750" s="32"/>
    </row>
    <row r="3751" spans="43:43" ht="12" customHeight="1" x14ac:dyDescent="0.2">
      <c r="AQ3751" s="32"/>
    </row>
    <row r="3752" spans="43:43" ht="12" customHeight="1" x14ac:dyDescent="0.2">
      <c r="AQ3752" s="32"/>
    </row>
    <row r="3753" spans="43:43" ht="12" customHeight="1" x14ac:dyDescent="0.2">
      <c r="AQ3753" s="32"/>
    </row>
    <row r="3754" spans="43:43" ht="12" customHeight="1" x14ac:dyDescent="0.2">
      <c r="AQ3754" s="32"/>
    </row>
    <row r="3755" spans="43:43" ht="12" customHeight="1" x14ac:dyDescent="0.2">
      <c r="AQ3755" s="32"/>
    </row>
    <row r="3756" spans="43:43" ht="12" customHeight="1" x14ac:dyDescent="0.2">
      <c r="AQ3756" s="32"/>
    </row>
    <row r="3757" spans="43:43" ht="12" customHeight="1" x14ac:dyDescent="0.2">
      <c r="AQ3757" s="32"/>
    </row>
    <row r="3758" spans="43:43" ht="12" customHeight="1" x14ac:dyDescent="0.2">
      <c r="AQ3758" s="32"/>
    </row>
    <row r="3759" spans="43:43" ht="12" customHeight="1" x14ac:dyDescent="0.2">
      <c r="AQ3759" s="32"/>
    </row>
    <row r="3760" spans="43:43" ht="12" customHeight="1" x14ac:dyDescent="0.2">
      <c r="AQ3760" s="32"/>
    </row>
    <row r="3761" spans="43:43" ht="12" customHeight="1" x14ac:dyDescent="0.2">
      <c r="AQ3761" s="32"/>
    </row>
    <row r="3762" spans="43:43" ht="12" customHeight="1" x14ac:dyDescent="0.2">
      <c r="AQ3762" s="32"/>
    </row>
    <row r="3763" spans="43:43" ht="12" customHeight="1" x14ac:dyDescent="0.2">
      <c r="AQ3763" s="32"/>
    </row>
    <row r="3764" spans="43:43" ht="12" customHeight="1" x14ac:dyDescent="0.2">
      <c r="AQ3764" s="32"/>
    </row>
    <row r="3765" spans="43:43" ht="12" customHeight="1" x14ac:dyDescent="0.2">
      <c r="AQ3765" s="32"/>
    </row>
    <row r="3766" spans="43:43" ht="12" customHeight="1" x14ac:dyDescent="0.2">
      <c r="AQ3766" s="32"/>
    </row>
    <row r="3767" spans="43:43" ht="12" customHeight="1" x14ac:dyDescent="0.2">
      <c r="AQ3767" s="32"/>
    </row>
    <row r="3768" spans="43:43" ht="12" customHeight="1" x14ac:dyDescent="0.2">
      <c r="AQ3768" s="32"/>
    </row>
    <row r="3769" spans="43:43" ht="12" customHeight="1" x14ac:dyDescent="0.2">
      <c r="AQ3769" s="32"/>
    </row>
    <row r="3770" spans="43:43" ht="12" customHeight="1" x14ac:dyDescent="0.2">
      <c r="AQ3770" s="32"/>
    </row>
    <row r="3771" spans="43:43" ht="12" customHeight="1" x14ac:dyDescent="0.2">
      <c r="AQ3771" s="32"/>
    </row>
    <row r="3772" spans="43:43" ht="12" customHeight="1" x14ac:dyDescent="0.2">
      <c r="AQ3772" s="32"/>
    </row>
    <row r="3773" spans="43:43" ht="12" customHeight="1" x14ac:dyDescent="0.2">
      <c r="AQ3773" s="32"/>
    </row>
    <row r="3774" spans="43:43" ht="12" customHeight="1" x14ac:dyDescent="0.2">
      <c r="AQ3774" s="32"/>
    </row>
    <row r="3775" spans="43:43" ht="12" customHeight="1" x14ac:dyDescent="0.2">
      <c r="AQ3775" s="32"/>
    </row>
    <row r="3776" spans="43:43" ht="12" customHeight="1" x14ac:dyDescent="0.2">
      <c r="AQ3776" s="32"/>
    </row>
    <row r="3777" spans="43:43" ht="12" customHeight="1" x14ac:dyDescent="0.2">
      <c r="AQ3777" s="32"/>
    </row>
    <row r="3778" spans="43:43" ht="12" customHeight="1" x14ac:dyDescent="0.2">
      <c r="AQ3778" s="32"/>
    </row>
    <row r="3779" spans="43:43" ht="12" customHeight="1" x14ac:dyDescent="0.2">
      <c r="AQ3779" s="32"/>
    </row>
    <row r="3780" spans="43:43" ht="12" customHeight="1" x14ac:dyDescent="0.2">
      <c r="AQ3780" s="32"/>
    </row>
    <row r="3781" spans="43:43" ht="12" customHeight="1" x14ac:dyDescent="0.2">
      <c r="AQ3781" s="32"/>
    </row>
    <row r="3782" spans="43:43" ht="12" customHeight="1" x14ac:dyDescent="0.2">
      <c r="AQ3782" s="32"/>
    </row>
    <row r="3783" spans="43:43" ht="12" customHeight="1" x14ac:dyDescent="0.2">
      <c r="AQ3783" s="32"/>
    </row>
    <row r="3784" spans="43:43" ht="12" customHeight="1" x14ac:dyDescent="0.2">
      <c r="AQ3784" s="32"/>
    </row>
    <row r="3785" spans="43:43" ht="12" customHeight="1" x14ac:dyDescent="0.2">
      <c r="AQ3785" s="32"/>
    </row>
    <row r="3786" spans="43:43" ht="12" customHeight="1" x14ac:dyDescent="0.2">
      <c r="AQ3786" s="32"/>
    </row>
    <row r="3787" spans="43:43" ht="12" customHeight="1" x14ac:dyDescent="0.2">
      <c r="AQ3787" s="32"/>
    </row>
    <row r="3788" spans="43:43" ht="12" customHeight="1" x14ac:dyDescent="0.2">
      <c r="AQ3788" s="32"/>
    </row>
    <row r="3789" spans="43:43" ht="12" customHeight="1" x14ac:dyDescent="0.2">
      <c r="AQ3789" s="32"/>
    </row>
    <row r="3790" spans="43:43" ht="12" customHeight="1" x14ac:dyDescent="0.2">
      <c r="AQ3790" s="32"/>
    </row>
    <row r="3791" spans="43:43" ht="12" customHeight="1" x14ac:dyDescent="0.2">
      <c r="AQ3791" s="32"/>
    </row>
    <row r="3792" spans="43:43" ht="12" customHeight="1" x14ac:dyDescent="0.2">
      <c r="AQ3792" s="32"/>
    </row>
    <row r="3793" spans="43:43" ht="12" customHeight="1" x14ac:dyDescent="0.2">
      <c r="AQ3793" s="32"/>
    </row>
    <row r="3794" spans="43:43" ht="12" customHeight="1" x14ac:dyDescent="0.2">
      <c r="AQ3794" s="32"/>
    </row>
    <row r="3795" spans="43:43" ht="12" customHeight="1" x14ac:dyDescent="0.2">
      <c r="AQ3795" s="32"/>
    </row>
    <row r="3796" spans="43:43" ht="12" customHeight="1" x14ac:dyDescent="0.2">
      <c r="AQ3796" s="32"/>
    </row>
    <row r="3797" spans="43:43" ht="12" customHeight="1" x14ac:dyDescent="0.2">
      <c r="AQ3797" s="32"/>
    </row>
    <row r="3798" spans="43:43" ht="12" customHeight="1" x14ac:dyDescent="0.2">
      <c r="AQ3798" s="32"/>
    </row>
    <row r="3799" spans="43:43" ht="12" customHeight="1" x14ac:dyDescent="0.2">
      <c r="AQ3799" s="32"/>
    </row>
    <row r="3800" spans="43:43" ht="12" customHeight="1" x14ac:dyDescent="0.2">
      <c r="AQ3800" s="32"/>
    </row>
    <row r="3801" spans="43:43" ht="12" customHeight="1" x14ac:dyDescent="0.2">
      <c r="AQ3801" s="32"/>
    </row>
    <row r="3802" spans="43:43" ht="12" customHeight="1" x14ac:dyDescent="0.2">
      <c r="AQ3802" s="32"/>
    </row>
    <row r="3803" spans="43:43" ht="12" customHeight="1" x14ac:dyDescent="0.2">
      <c r="AQ3803" s="32"/>
    </row>
    <row r="3804" spans="43:43" ht="12" customHeight="1" x14ac:dyDescent="0.2">
      <c r="AQ3804" s="32"/>
    </row>
    <row r="3805" spans="43:43" ht="12" customHeight="1" x14ac:dyDescent="0.2">
      <c r="AQ3805" s="32"/>
    </row>
    <row r="3806" spans="43:43" ht="12" customHeight="1" x14ac:dyDescent="0.2">
      <c r="AQ3806" s="32"/>
    </row>
    <row r="3807" spans="43:43" ht="12" customHeight="1" x14ac:dyDescent="0.2">
      <c r="AQ3807" s="32"/>
    </row>
    <row r="3808" spans="43:43" ht="12" customHeight="1" x14ac:dyDescent="0.2">
      <c r="AQ3808" s="32"/>
    </row>
    <row r="3809" spans="43:43" ht="12" customHeight="1" x14ac:dyDescent="0.2">
      <c r="AQ3809" s="32"/>
    </row>
    <row r="3810" spans="43:43" ht="12" customHeight="1" x14ac:dyDescent="0.2">
      <c r="AQ3810" s="32"/>
    </row>
    <row r="3811" spans="43:43" ht="12" customHeight="1" x14ac:dyDescent="0.2">
      <c r="AQ3811" s="32"/>
    </row>
    <row r="3812" spans="43:43" ht="12" customHeight="1" x14ac:dyDescent="0.2">
      <c r="AQ3812" s="32"/>
    </row>
    <row r="3813" spans="43:43" ht="12" customHeight="1" x14ac:dyDescent="0.2">
      <c r="AQ3813" s="32"/>
    </row>
    <row r="3814" spans="43:43" ht="12" customHeight="1" x14ac:dyDescent="0.2">
      <c r="AQ3814" s="32"/>
    </row>
    <row r="3815" spans="43:43" ht="12" customHeight="1" x14ac:dyDescent="0.2">
      <c r="AQ3815" s="32"/>
    </row>
    <row r="3816" spans="43:43" ht="12" customHeight="1" x14ac:dyDescent="0.2">
      <c r="AQ3816" s="32"/>
    </row>
    <row r="3817" spans="43:43" ht="12" customHeight="1" x14ac:dyDescent="0.2">
      <c r="AQ3817" s="32"/>
    </row>
    <row r="3818" spans="43:43" ht="12" customHeight="1" x14ac:dyDescent="0.2">
      <c r="AQ3818" s="32"/>
    </row>
    <row r="3819" spans="43:43" ht="12" customHeight="1" x14ac:dyDescent="0.2">
      <c r="AQ3819" s="32"/>
    </row>
    <row r="3820" spans="43:43" ht="12" customHeight="1" x14ac:dyDescent="0.2">
      <c r="AQ3820" s="32"/>
    </row>
    <row r="3821" spans="43:43" ht="12" customHeight="1" x14ac:dyDescent="0.2">
      <c r="AQ3821" s="32"/>
    </row>
    <row r="3822" spans="43:43" ht="12" customHeight="1" x14ac:dyDescent="0.2">
      <c r="AQ3822" s="32"/>
    </row>
    <row r="3823" spans="43:43" ht="12" customHeight="1" x14ac:dyDescent="0.2">
      <c r="AQ3823" s="32"/>
    </row>
    <row r="3824" spans="43:43" ht="12" customHeight="1" x14ac:dyDescent="0.2">
      <c r="AQ3824" s="32"/>
    </row>
    <row r="3825" spans="43:43" ht="12" customHeight="1" x14ac:dyDescent="0.2">
      <c r="AQ3825" s="32"/>
    </row>
    <row r="3826" spans="43:43" ht="12" customHeight="1" x14ac:dyDescent="0.2">
      <c r="AQ3826" s="32"/>
    </row>
    <row r="3827" spans="43:43" ht="12" customHeight="1" x14ac:dyDescent="0.2">
      <c r="AQ3827" s="32"/>
    </row>
    <row r="3828" spans="43:43" ht="12" customHeight="1" x14ac:dyDescent="0.2">
      <c r="AQ3828" s="32"/>
    </row>
    <row r="3829" spans="43:43" ht="12" customHeight="1" x14ac:dyDescent="0.2">
      <c r="AQ3829" s="32"/>
    </row>
    <row r="3830" spans="43:43" ht="12" customHeight="1" x14ac:dyDescent="0.2">
      <c r="AQ3830" s="32"/>
    </row>
    <row r="3831" spans="43:43" ht="12" customHeight="1" x14ac:dyDescent="0.2">
      <c r="AQ3831" s="32"/>
    </row>
    <row r="3832" spans="43:43" ht="12" customHeight="1" x14ac:dyDescent="0.2">
      <c r="AQ3832" s="32"/>
    </row>
    <row r="3833" spans="43:43" ht="12" customHeight="1" x14ac:dyDescent="0.2">
      <c r="AQ3833" s="32"/>
    </row>
    <row r="3834" spans="43:43" ht="12" customHeight="1" x14ac:dyDescent="0.2">
      <c r="AQ3834" s="32"/>
    </row>
    <row r="3835" spans="43:43" ht="12" customHeight="1" x14ac:dyDescent="0.2">
      <c r="AQ3835" s="32"/>
    </row>
    <row r="3836" spans="43:43" ht="12" customHeight="1" x14ac:dyDescent="0.2">
      <c r="AQ3836" s="32"/>
    </row>
    <row r="3837" spans="43:43" ht="12" customHeight="1" x14ac:dyDescent="0.2">
      <c r="AQ3837" s="32"/>
    </row>
    <row r="3838" spans="43:43" ht="12" customHeight="1" x14ac:dyDescent="0.2">
      <c r="AQ3838" s="32"/>
    </row>
    <row r="3839" spans="43:43" ht="12" customHeight="1" x14ac:dyDescent="0.2">
      <c r="AQ3839" s="32"/>
    </row>
    <row r="3840" spans="43:43" ht="12" customHeight="1" x14ac:dyDescent="0.2">
      <c r="AQ3840" s="32"/>
    </row>
    <row r="3841" spans="43:43" ht="12" customHeight="1" x14ac:dyDescent="0.2">
      <c r="AQ3841" s="32"/>
    </row>
    <row r="3842" spans="43:43" ht="12" customHeight="1" x14ac:dyDescent="0.2">
      <c r="AQ3842" s="32"/>
    </row>
    <row r="3843" spans="43:43" ht="12" customHeight="1" x14ac:dyDescent="0.2">
      <c r="AQ3843" s="32"/>
    </row>
    <row r="3844" spans="43:43" ht="12" customHeight="1" x14ac:dyDescent="0.2">
      <c r="AQ3844" s="32"/>
    </row>
    <row r="3845" spans="43:43" ht="12" customHeight="1" x14ac:dyDescent="0.2">
      <c r="AQ3845" s="32"/>
    </row>
    <row r="3846" spans="43:43" ht="12" customHeight="1" x14ac:dyDescent="0.2">
      <c r="AQ3846" s="32"/>
    </row>
    <row r="3847" spans="43:43" ht="12" customHeight="1" x14ac:dyDescent="0.2">
      <c r="AQ3847" s="32"/>
    </row>
    <row r="3848" spans="43:43" ht="12" customHeight="1" x14ac:dyDescent="0.2">
      <c r="AQ3848" s="32"/>
    </row>
    <row r="3849" spans="43:43" ht="12" customHeight="1" x14ac:dyDescent="0.2">
      <c r="AQ3849" s="32"/>
    </row>
    <row r="3850" spans="43:43" ht="12" customHeight="1" x14ac:dyDescent="0.2">
      <c r="AQ3850" s="32"/>
    </row>
    <row r="3851" spans="43:43" ht="12" customHeight="1" x14ac:dyDescent="0.2">
      <c r="AQ3851" s="32"/>
    </row>
    <row r="3852" spans="43:43" ht="12" customHeight="1" x14ac:dyDescent="0.2">
      <c r="AQ3852" s="32"/>
    </row>
    <row r="3853" spans="43:43" ht="12" customHeight="1" x14ac:dyDescent="0.2">
      <c r="AQ3853" s="32"/>
    </row>
    <row r="3854" spans="43:43" ht="12" customHeight="1" x14ac:dyDescent="0.2">
      <c r="AQ3854" s="32"/>
    </row>
    <row r="3855" spans="43:43" ht="12" customHeight="1" x14ac:dyDescent="0.2">
      <c r="AQ3855" s="32"/>
    </row>
    <row r="3856" spans="43:43" ht="12" customHeight="1" x14ac:dyDescent="0.2">
      <c r="AQ3856" s="32"/>
    </row>
    <row r="3857" spans="43:43" ht="12" customHeight="1" x14ac:dyDescent="0.2">
      <c r="AQ3857" s="32"/>
    </row>
    <row r="3858" spans="43:43" ht="12" customHeight="1" x14ac:dyDescent="0.2">
      <c r="AQ3858" s="32"/>
    </row>
    <row r="3859" spans="43:43" ht="12" customHeight="1" x14ac:dyDescent="0.2">
      <c r="AQ3859" s="32"/>
    </row>
    <row r="3860" spans="43:43" ht="12" customHeight="1" x14ac:dyDescent="0.2">
      <c r="AQ3860" s="32"/>
    </row>
    <row r="3861" spans="43:43" ht="12" customHeight="1" x14ac:dyDescent="0.2">
      <c r="AQ3861" s="32"/>
    </row>
    <row r="3862" spans="43:43" ht="12" customHeight="1" x14ac:dyDescent="0.2">
      <c r="AQ3862" s="32"/>
    </row>
    <row r="3863" spans="43:43" ht="12" customHeight="1" x14ac:dyDescent="0.2">
      <c r="AQ3863" s="32"/>
    </row>
    <row r="3864" spans="43:43" ht="12" customHeight="1" x14ac:dyDescent="0.2">
      <c r="AQ3864" s="32"/>
    </row>
    <row r="3865" spans="43:43" ht="12" customHeight="1" x14ac:dyDescent="0.2">
      <c r="AQ3865" s="32"/>
    </row>
    <row r="3866" spans="43:43" ht="12" customHeight="1" x14ac:dyDescent="0.2">
      <c r="AQ3866" s="32"/>
    </row>
    <row r="3867" spans="43:43" ht="12" customHeight="1" x14ac:dyDescent="0.2">
      <c r="AQ3867" s="32"/>
    </row>
    <row r="3868" spans="43:43" ht="12" customHeight="1" x14ac:dyDescent="0.2">
      <c r="AQ3868" s="32"/>
    </row>
    <row r="3869" spans="43:43" ht="12" customHeight="1" x14ac:dyDescent="0.2">
      <c r="AQ3869" s="32"/>
    </row>
    <row r="3870" spans="43:43" ht="12" customHeight="1" x14ac:dyDescent="0.2">
      <c r="AQ3870" s="32"/>
    </row>
    <row r="3871" spans="43:43" ht="12" customHeight="1" x14ac:dyDescent="0.2">
      <c r="AQ3871" s="32"/>
    </row>
    <row r="3872" spans="43:43" ht="12" customHeight="1" x14ac:dyDescent="0.2">
      <c r="AQ3872" s="32"/>
    </row>
    <row r="3873" spans="43:43" ht="12" customHeight="1" x14ac:dyDescent="0.2">
      <c r="AQ3873" s="32"/>
    </row>
    <row r="3874" spans="43:43" ht="12" customHeight="1" x14ac:dyDescent="0.2">
      <c r="AQ3874" s="32"/>
    </row>
    <row r="3875" spans="43:43" ht="12" customHeight="1" x14ac:dyDescent="0.2">
      <c r="AQ3875" s="32"/>
    </row>
    <row r="3876" spans="43:43" ht="12" customHeight="1" x14ac:dyDescent="0.2">
      <c r="AQ3876" s="32"/>
    </row>
    <row r="3877" spans="43:43" ht="12" customHeight="1" x14ac:dyDescent="0.2">
      <c r="AQ3877" s="32"/>
    </row>
    <row r="3878" spans="43:43" ht="12" customHeight="1" x14ac:dyDescent="0.2">
      <c r="AQ3878" s="32"/>
    </row>
    <row r="3879" spans="43:43" ht="12" customHeight="1" x14ac:dyDescent="0.2">
      <c r="AQ3879" s="32"/>
    </row>
    <row r="3880" spans="43:43" ht="12" customHeight="1" x14ac:dyDescent="0.2">
      <c r="AQ3880" s="32"/>
    </row>
    <row r="3881" spans="43:43" ht="12" customHeight="1" x14ac:dyDescent="0.2">
      <c r="AQ3881" s="32"/>
    </row>
    <row r="3882" spans="43:43" ht="12" customHeight="1" x14ac:dyDescent="0.2">
      <c r="AQ3882" s="32"/>
    </row>
    <row r="3883" spans="43:43" ht="12" customHeight="1" x14ac:dyDescent="0.2">
      <c r="AQ3883" s="32"/>
    </row>
    <row r="3884" spans="43:43" ht="12" customHeight="1" x14ac:dyDescent="0.2">
      <c r="AQ3884" s="32"/>
    </row>
    <row r="3885" spans="43:43" ht="12" customHeight="1" x14ac:dyDescent="0.2">
      <c r="AQ3885" s="32"/>
    </row>
    <row r="3886" spans="43:43" ht="12" customHeight="1" x14ac:dyDescent="0.2">
      <c r="AQ3886" s="32"/>
    </row>
    <row r="3887" spans="43:43" ht="12" customHeight="1" x14ac:dyDescent="0.2">
      <c r="AQ3887" s="32"/>
    </row>
    <row r="3888" spans="43:43" ht="12" customHeight="1" x14ac:dyDescent="0.2">
      <c r="AQ3888" s="32"/>
    </row>
    <row r="3889" spans="43:43" ht="12" customHeight="1" x14ac:dyDescent="0.2">
      <c r="AQ3889" s="32"/>
    </row>
    <row r="3890" spans="43:43" ht="12" customHeight="1" x14ac:dyDescent="0.2">
      <c r="AQ3890" s="32"/>
    </row>
    <row r="3891" spans="43:43" ht="12" customHeight="1" x14ac:dyDescent="0.2">
      <c r="AQ3891" s="32"/>
    </row>
    <row r="3892" spans="43:43" ht="12" customHeight="1" x14ac:dyDescent="0.2">
      <c r="AQ3892" s="32"/>
    </row>
    <row r="3893" spans="43:43" ht="12" customHeight="1" x14ac:dyDescent="0.2">
      <c r="AQ3893" s="32"/>
    </row>
    <row r="3894" spans="43:43" ht="12" customHeight="1" x14ac:dyDescent="0.2">
      <c r="AQ3894" s="32"/>
    </row>
    <row r="3895" spans="43:43" ht="12" customHeight="1" x14ac:dyDescent="0.2">
      <c r="AQ3895" s="32"/>
    </row>
    <row r="3896" spans="43:43" ht="12" customHeight="1" x14ac:dyDescent="0.2">
      <c r="AQ3896" s="32"/>
    </row>
    <row r="3897" spans="43:43" ht="12" customHeight="1" x14ac:dyDescent="0.2">
      <c r="AQ3897" s="32"/>
    </row>
    <row r="3898" spans="43:43" ht="12" customHeight="1" x14ac:dyDescent="0.2">
      <c r="AQ3898" s="32"/>
    </row>
    <row r="3899" spans="43:43" ht="12" customHeight="1" x14ac:dyDescent="0.2">
      <c r="AQ3899" s="32"/>
    </row>
    <row r="3900" spans="43:43" ht="12" customHeight="1" x14ac:dyDescent="0.2">
      <c r="AQ3900" s="32"/>
    </row>
    <row r="3901" spans="43:43" ht="12" customHeight="1" x14ac:dyDescent="0.2">
      <c r="AQ3901" s="32"/>
    </row>
    <row r="3902" spans="43:43" ht="12" customHeight="1" x14ac:dyDescent="0.2">
      <c r="AQ3902" s="32"/>
    </row>
    <row r="3903" spans="43:43" ht="12" customHeight="1" x14ac:dyDescent="0.2">
      <c r="AQ3903" s="32"/>
    </row>
    <row r="3904" spans="43:43" ht="12" customHeight="1" x14ac:dyDescent="0.2">
      <c r="AQ3904" s="32"/>
    </row>
    <row r="3905" spans="43:43" ht="12" customHeight="1" x14ac:dyDescent="0.2">
      <c r="AQ3905" s="32"/>
    </row>
    <row r="3906" spans="43:43" ht="12" customHeight="1" x14ac:dyDescent="0.2">
      <c r="AQ3906" s="32"/>
    </row>
    <row r="3907" spans="43:43" ht="12" customHeight="1" x14ac:dyDescent="0.2">
      <c r="AQ3907" s="32"/>
    </row>
    <row r="3908" spans="43:43" ht="12" customHeight="1" x14ac:dyDescent="0.2">
      <c r="AQ3908" s="32"/>
    </row>
    <row r="3909" spans="43:43" ht="12" customHeight="1" x14ac:dyDescent="0.2">
      <c r="AQ3909" s="32"/>
    </row>
    <row r="3910" spans="43:43" ht="12" customHeight="1" x14ac:dyDescent="0.2">
      <c r="AQ3910" s="32"/>
    </row>
    <row r="3911" spans="43:43" ht="12" customHeight="1" x14ac:dyDescent="0.2">
      <c r="AQ3911" s="32"/>
    </row>
    <row r="3912" spans="43:43" ht="12" customHeight="1" x14ac:dyDescent="0.2">
      <c r="AQ3912" s="32"/>
    </row>
    <row r="3913" spans="43:43" ht="12" customHeight="1" x14ac:dyDescent="0.2">
      <c r="AQ3913" s="32"/>
    </row>
    <row r="3914" spans="43:43" ht="12" customHeight="1" x14ac:dyDescent="0.2">
      <c r="AQ3914" s="32"/>
    </row>
    <row r="3915" spans="43:43" ht="12" customHeight="1" x14ac:dyDescent="0.2">
      <c r="AQ3915" s="32"/>
    </row>
    <row r="3916" spans="43:43" ht="12" customHeight="1" x14ac:dyDescent="0.2">
      <c r="AQ3916" s="32"/>
    </row>
    <row r="3917" spans="43:43" ht="12" customHeight="1" x14ac:dyDescent="0.2">
      <c r="AQ3917" s="32"/>
    </row>
    <row r="3918" spans="43:43" ht="12" customHeight="1" x14ac:dyDescent="0.2">
      <c r="AQ3918" s="32"/>
    </row>
    <row r="3919" spans="43:43" ht="12" customHeight="1" x14ac:dyDescent="0.2">
      <c r="AQ3919" s="32"/>
    </row>
    <row r="3920" spans="43:43" ht="12" customHeight="1" x14ac:dyDescent="0.2">
      <c r="AQ3920" s="32"/>
    </row>
    <row r="3921" spans="43:43" ht="12" customHeight="1" x14ac:dyDescent="0.2">
      <c r="AQ3921" s="32"/>
    </row>
    <row r="3922" spans="43:43" ht="12" customHeight="1" x14ac:dyDescent="0.2">
      <c r="AQ3922" s="32"/>
    </row>
    <row r="3923" spans="43:43" ht="12" customHeight="1" x14ac:dyDescent="0.2">
      <c r="AQ3923" s="32"/>
    </row>
    <row r="3924" spans="43:43" ht="12" customHeight="1" x14ac:dyDescent="0.2">
      <c r="AQ3924" s="32"/>
    </row>
    <row r="3925" spans="43:43" ht="12" customHeight="1" x14ac:dyDescent="0.2">
      <c r="AQ3925" s="32"/>
    </row>
    <row r="3926" spans="43:43" ht="12" customHeight="1" x14ac:dyDescent="0.2">
      <c r="AQ3926" s="32"/>
    </row>
    <row r="3927" spans="43:43" ht="12" customHeight="1" x14ac:dyDescent="0.2">
      <c r="AQ3927" s="32"/>
    </row>
    <row r="3928" spans="43:43" ht="12" customHeight="1" x14ac:dyDescent="0.2">
      <c r="AQ3928" s="32"/>
    </row>
    <row r="3929" spans="43:43" ht="12" customHeight="1" x14ac:dyDescent="0.2">
      <c r="AQ3929" s="32"/>
    </row>
    <row r="3930" spans="43:43" ht="12" customHeight="1" x14ac:dyDescent="0.2">
      <c r="AQ3930" s="32"/>
    </row>
    <row r="3931" spans="43:43" ht="12" customHeight="1" x14ac:dyDescent="0.2">
      <c r="AQ3931" s="32"/>
    </row>
    <row r="3932" spans="43:43" ht="12" customHeight="1" x14ac:dyDescent="0.2">
      <c r="AQ3932" s="32"/>
    </row>
    <row r="3933" spans="43:43" ht="12" customHeight="1" x14ac:dyDescent="0.2">
      <c r="AQ3933" s="32"/>
    </row>
    <row r="3934" spans="43:43" ht="12" customHeight="1" x14ac:dyDescent="0.2">
      <c r="AQ3934" s="32"/>
    </row>
    <row r="3935" spans="43:43" ht="12" customHeight="1" x14ac:dyDescent="0.2">
      <c r="AQ3935" s="32"/>
    </row>
    <row r="3936" spans="43:43" ht="12" customHeight="1" x14ac:dyDescent="0.2">
      <c r="AQ3936" s="32"/>
    </row>
    <row r="3937" spans="43:43" ht="12" customHeight="1" x14ac:dyDescent="0.2">
      <c r="AQ3937" s="32"/>
    </row>
    <row r="3938" spans="43:43" ht="12" customHeight="1" x14ac:dyDescent="0.2">
      <c r="AQ3938" s="32"/>
    </row>
    <row r="3939" spans="43:43" ht="12" customHeight="1" x14ac:dyDescent="0.2">
      <c r="AQ3939" s="32"/>
    </row>
    <row r="3940" spans="43:43" ht="12" customHeight="1" x14ac:dyDescent="0.2">
      <c r="AQ3940" s="32"/>
    </row>
    <row r="3941" spans="43:43" ht="12" customHeight="1" x14ac:dyDescent="0.2">
      <c r="AQ3941" s="32"/>
    </row>
    <row r="3942" spans="43:43" ht="12" customHeight="1" x14ac:dyDescent="0.2">
      <c r="AQ3942" s="32"/>
    </row>
    <row r="3943" spans="43:43" ht="12" customHeight="1" x14ac:dyDescent="0.2">
      <c r="AQ3943" s="32"/>
    </row>
    <row r="3944" spans="43:43" ht="12" customHeight="1" x14ac:dyDescent="0.2">
      <c r="AQ3944" s="32"/>
    </row>
    <row r="3945" spans="43:43" ht="12" customHeight="1" x14ac:dyDescent="0.2">
      <c r="AQ3945" s="32"/>
    </row>
    <row r="3946" spans="43:43" ht="12" customHeight="1" x14ac:dyDescent="0.2">
      <c r="AQ3946" s="32"/>
    </row>
    <row r="3947" spans="43:43" ht="12" customHeight="1" x14ac:dyDescent="0.2">
      <c r="AQ3947" s="32"/>
    </row>
    <row r="3948" spans="43:43" ht="12" customHeight="1" x14ac:dyDescent="0.2">
      <c r="AQ3948" s="32"/>
    </row>
    <row r="3949" spans="43:43" ht="12" customHeight="1" x14ac:dyDescent="0.2">
      <c r="AQ3949" s="32"/>
    </row>
    <row r="3950" spans="43:43" ht="12" customHeight="1" x14ac:dyDescent="0.2">
      <c r="AQ3950" s="32"/>
    </row>
    <row r="3951" spans="43:43" ht="12" customHeight="1" x14ac:dyDescent="0.2">
      <c r="AQ3951" s="32"/>
    </row>
    <row r="3952" spans="43:43" ht="12" customHeight="1" x14ac:dyDescent="0.2">
      <c r="AQ3952" s="32"/>
    </row>
    <row r="3953" spans="43:43" ht="12" customHeight="1" x14ac:dyDescent="0.2">
      <c r="AQ3953" s="32"/>
    </row>
    <row r="3954" spans="43:43" ht="12" customHeight="1" x14ac:dyDescent="0.2">
      <c r="AQ3954" s="32"/>
    </row>
    <row r="3955" spans="43:43" ht="12" customHeight="1" x14ac:dyDescent="0.2">
      <c r="AQ3955" s="32"/>
    </row>
    <row r="3956" spans="43:43" ht="12" customHeight="1" x14ac:dyDescent="0.2">
      <c r="AQ3956" s="32"/>
    </row>
    <row r="3957" spans="43:43" ht="12" customHeight="1" x14ac:dyDescent="0.2">
      <c r="AQ3957" s="32"/>
    </row>
    <row r="3958" spans="43:43" ht="12" customHeight="1" x14ac:dyDescent="0.2">
      <c r="AQ3958" s="32"/>
    </row>
    <row r="3959" spans="43:43" ht="12" customHeight="1" x14ac:dyDescent="0.2">
      <c r="AQ3959" s="32"/>
    </row>
    <row r="3960" spans="43:43" ht="12" customHeight="1" x14ac:dyDescent="0.2">
      <c r="AQ3960" s="32"/>
    </row>
    <row r="3961" spans="43:43" ht="12" customHeight="1" x14ac:dyDescent="0.2">
      <c r="AQ3961" s="32"/>
    </row>
    <row r="3962" spans="43:43" ht="12" customHeight="1" x14ac:dyDescent="0.2">
      <c r="AQ3962" s="32"/>
    </row>
    <row r="3963" spans="43:43" ht="12" customHeight="1" x14ac:dyDescent="0.2">
      <c r="AQ3963" s="32"/>
    </row>
    <row r="3964" spans="43:43" ht="12" customHeight="1" x14ac:dyDescent="0.2">
      <c r="AQ3964" s="32"/>
    </row>
    <row r="3965" spans="43:43" ht="12" customHeight="1" x14ac:dyDescent="0.2">
      <c r="AQ3965" s="32"/>
    </row>
    <row r="3966" spans="43:43" ht="12" customHeight="1" x14ac:dyDescent="0.2">
      <c r="AQ3966" s="32"/>
    </row>
    <row r="3967" spans="43:43" ht="12" customHeight="1" x14ac:dyDescent="0.2">
      <c r="AQ3967" s="32"/>
    </row>
    <row r="3968" spans="43:43" ht="12" customHeight="1" x14ac:dyDescent="0.2">
      <c r="AQ3968" s="32"/>
    </row>
    <row r="3969" spans="43:43" ht="12" customHeight="1" x14ac:dyDescent="0.2">
      <c r="AQ3969" s="32"/>
    </row>
    <row r="3970" spans="43:43" ht="12" customHeight="1" x14ac:dyDescent="0.2">
      <c r="AQ3970" s="32"/>
    </row>
    <row r="3971" spans="43:43" ht="12" customHeight="1" x14ac:dyDescent="0.2">
      <c r="AQ3971" s="32"/>
    </row>
    <row r="3972" spans="43:43" ht="12" customHeight="1" x14ac:dyDescent="0.2">
      <c r="AQ3972" s="32"/>
    </row>
    <row r="3973" spans="43:43" ht="12" customHeight="1" x14ac:dyDescent="0.2">
      <c r="AQ3973" s="32"/>
    </row>
    <row r="3974" spans="43:43" ht="12" customHeight="1" x14ac:dyDescent="0.2">
      <c r="AQ3974" s="32"/>
    </row>
    <row r="3975" spans="43:43" ht="12" customHeight="1" x14ac:dyDescent="0.2">
      <c r="AQ3975" s="32"/>
    </row>
    <row r="3976" spans="43:43" ht="12" customHeight="1" x14ac:dyDescent="0.2">
      <c r="AQ3976" s="32"/>
    </row>
    <row r="3977" spans="43:43" ht="12" customHeight="1" x14ac:dyDescent="0.2">
      <c r="AQ3977" s="32"/>
    </row>
    <row r="3978" spans="43:43" ht="12" customHeight="1" x14ac:dyDescent="0.2">
      <c r="AQ3978" s="32"/>
    </row>
    <row r="3979" spans="43:43" ht="12" customHeight="1" x14ac:dyDescent="0.2">
      <c r="AQ3979" s="32"/>
    </row>
    <row r="3980" spans="43:43" ht="12" customHeight="1" x14ac:dyDescent="0.2">
      <c r="AQ3980" s="32"/>
    </row>
    <row r="3981" spans="43:43" ht="12" customHeight="1" x14ac:dyDescent="0.2">
      <c r="AQ3981" s="32"/>
    </row>
    <row r="3982" spans="43:43" ht="12" customHeight="1" x14ac:dyDescent="0.2">
      <c r="AQ3982" s="32"/>
    </row>
    <row r="3983" spans="43:43" ht="12" customHeight="1" x14ac:dyDescent="0.2">
      <c r="AQ3983" s="32"/>
    </row>
    <row r="3984" spans="43:43" ht="12" customHeight="1" x14ac:dyDescent="0.2">
      <c r="AQ3984" s="32"/>
    </row>
    <row r="3985" spans="43:43" ht="12" customHeight="1" x14ac:dyDescent="0.2">
      <c r="AQ3985" s="32"/>
    </row>
    <row r="3986" spans="43:43" ht="12" customHeight="1" x14ac:dyDescent="0.2">
      <c r="AQ3986" s="32"/>
    </row>
    <row r="3987" spans="43:43" ht="12" customHeight="1" x14ac:dyDescent="0.2">
      <c r="AQ3987" s="32"/>
    </row>
    <row r="3988" spans="43:43" ht="12" customHeight="1" x14ac:dyDescent="0.2">
      <c r="AQ3988" s="32"/>
    </row>
    <row r="3989" spans="43:43" ht="12" customHeight="1" x14ac:dyDescent="0.2">
      <c r="AQ3989" s="32"/>
    </row>
    <row r="3990" spans="43:43" ht="12" customHeight="1" x14ac:dyDescent="0.2">
      <c r="AQ3990" s="32"/>
    </row>
    <row r="3991" spans="43:43" ht="12" customHeight="1" x14ac:dyDescent="0.2">
      <c r="AQ3991" s="32"/>
    </row>
    <row r="3992" spans="43:43" ht="12" customHeight="1" x14ac:dyDescent="0.2">
      <c r="AQ3992" s="32"/>
    </row>
    <row r="3993" spans="43:43" ht="12" customHeight="1" x14ac:dyDescent="0.2">
      <c r="AQ3993" s="32"/>
    </row>
    <row r="3994" spans="43:43" ht="12" customHeight="1" x14ac:dyDescent="0.2">
      <c r="AQ3994" s="32"/>
    </row>
    <row r="3995" spans="43:43" ht="12" customHeight="1" x14ac:dyDescent="0.2">
      <c r="AQ3995" s="32"/>
    </row>
    <row r="3996" spans="43:43" ht="12" customHeight="1" x14ac:dyDescent="0.2">
      <c r="AQ3996" s="32"/>
    </row>
    <row r="3997" spans="43:43" ht="12" customHeight="1" x14ac:dyDescent="0.2">
      <c r="AQ3997" s="32"/>
    </row>
    <row r="3998" spans="43:43" ht="12" customHeight="1" x14ac:dyDescent="0.2">
      <c r="AQ3998" s="32"/>
    </row>
    <row r="3999" spans="43:43" ht="12" customHeight="1" x14ac:dyDescent="0.2">
      <c r="AQ3999" s="32"/>
    </row>
    <row r="4000" spans="43:43" ht="12" customHeight="1" x14ac:dyDescent="0.2">
      <c r="AQ4000" s="32"/>
    </row>
    <row r="4001" spans="43:43" ht="12" customHeight="1" x14ac:dyDescent="0.2">
      <c r="AQ4001" s="32"/>
    </row>
    <row r="4002" spans="43:43" ht="12" customHeight="1" x14ac:dyDescent="0.2">
      <c r="AQ4002" s="32"/>
    </row>
    <row r="4003" spans="43:43" ht="12" customHeight="1" x14ac:dyDescent="0.2">
      <c r="AQ4003" s="32"/>
    </row>
    <row r="4004" spans="43:43" ht="12" customHeight="1" x14ac:dyDescent="0.2">
      <c r="AQ4004" s="32"/>
    </row>
    <row r="4005" spans="43:43" ht="12" customHeight="1" x14ac:dyDescent="0.2">
      <c r="AQ4005" s="32"/>
    </row>
    <row r="4006" spans="43:43" ht="12" customHeight="1" x14ac:dyDescent="0.2">
      <c r="AQ4006" s="32"/>
    </row>
    <row r="4007" spans="43:43" ht="12" customHeight="1" x14ac:dyDescent="0.2">
      <c r="AQ4007" s="32"/>
    </row>
    <row r="4008" spans="43:43" ht="12" customHeight="1" x14ac:dyDescent="0.2">
      <c r="AQ4008" s="32"/>
    </row>
    <row r="4009" spans="43:43" ht="12" customHeight="1" x14ac:dyDescent="0.2">
      <c r="AQ4009" s="32"/>
    </row>
    <row r="4010" spans="43:43" ht="12" customHeight="1" x14ac:dyDescent="0.2">
      <c r="AQ4010" s="32"/>
    </row>
    <row r="4011" spans="43:43" ht="12" customHeight="1" x14ac:dyDescent="0.2">
      <c r="AQ4011" s="32"/>
    </row>
    <row r="4012" spans="43:43" ht="12" customHeight="1" x14ac:dyDescent="0.2">
      <c r="AQ4012" s="32"/>
    </row>
    <row r="4013" spans="43:43" ht="12" customHeight="1" x14ac:dyDescent="0.2">
      <c r="AQ4013" s="32"/>
    </row>
    <row r="4014" spans="43:43" ht="12" customHeight="1" x14ac:dyDescent="0.2">
      <c r="AQ4014" s="32"/>
    </row>
    <row r="4015" spans="43:43" ht="12" customHeight="1" x14ac:dyDescent="0.2">
      <c r="AQ4015" s="32"/>
    </row>
    <row r="4016" spans="43:43" ht="12" customHeight="1" x14ac:dyDescent="0.2">
      <c r="AQ4016" s="32"/>
    </row>
    <row r="4017" spans="43:43" ht="12" customHeight="1" x14ac:dyDescent="0.2">
      <c r="AQ4017" s="32"/>
    </row>
    <row r="4018" spans="43:43" ht="12" customHeight="1" x14ac:dyDescent="0.2">
      <c r="AQ4018" s="32"/>
    </row>
    <row r="4019" spans="43:43" ht="12" customHeight="1" x14ac:dyDescent="0.2">
      <c r="AQ4019" s="32"/>
    </row>
    <row r="4020" spans="43:43" ht="12" customHeight="1" x14ac:dyDescent="0.2">
      <c r="AQ4020" s="32"/>
    </row>
    <row r="4021" spans="43:43" ht="12" customHeight="1" x14ac:dyDescent="0.2">
      <c r="AQ4021" s="32"/>
    </row>
    <row r="4022" spans="43:43" ht="12" customHeight="1" x14ac:dyDescent="0.2">
      <c r="AQ4022" s="32"/>
    </row>
    <row r="4023" spans="43:43" ht="12" customHeight="1" x14ac:dyDescent="0.2">
      <c r="AQ4023" s="32"/>
    </row>
    <row r="4024" spans="43:43" ht="12" customHeight="1" x14ac:dyDescent="0.2">
      <c r="AQ4024" s="32"/>
    </row>
    <row r="4025" spans="43:43" ht="12" customHeight="1" x14ac:dyDescent="0.2">
      <c r="AQ4025" s="32"/>
    </row>
    <row r="4026" spans="43:43" ht="12" customHeight="1" x14ac:dyDescent="0.2">
      <c r="AQ4026" s="32"/>
    </row>
    <row r="4027" spans="43:43" ht="12" customHeight="1" x14ac:dyDescent="0.2">
      <c r="AQ4027" s="32"/>
    </row>
    <row r="4028" spans="43:43" ht="12" customHeight="1" x14ac:dyDescent="0.2">
      <c r="AQ4028" s="32"/>
    </row>
    <row r="4029" spans="43:43" ht="12" customHeight="1" x14ac:dyDescent="0.2">
      <c r="AQ4029" s="32"/>
    </row>
    <row r="4030" spans="43:43" ht="12" customHeight="1" x14ac:dyDescent="0.2">
      <c r="AQ4030" s="32"/>
    </row>
    <row r="4031" spans="43:43" ht="12" customHeight="1" x14ac:dyDescent="0.2">
      <c r="AQ4031" s="32"/>
    </row>
    <row r="4032" spans="43:43" ht="12" customHeight="1" x14ac:dyDescent="0.2">
      <c r="AQ4032" s="32"/>
    </row>
    <row r="4033" spans="43:43" ht="12" customHeight="1" x14ac:dyDescent="0.2">
      <c r="AQ4033" s="32"/>
    </row>
    <row r="4034" spans="43:43" ht="12" customHeight="1" x14ac:dyDescent="0.2">
      <c r="AQ4034" s="32"/>
    </row>
    <row r="4035" spans="43:43" ht="12" customHeight="1" x14ac:dyDescent="0.2">
      <c r="AQ4035" s="32"/>
    </row>
    <row r="4036" spans="43:43" ht="12" customHeight="1" x14ac:dyDescent="0.2">
      <c r="AQ4036" s="32"/>
    </row>
    <row r="4037" spans="43:43" ht="12" customHeight="1" x14ac:dyDescent="0.2">
      <c r="AQ4037" s="32"/>
    </row>
    <row r="4038" spans="43:43" ht="12" customHeight="1" x14ac:dyDescent="0.2">
      <c r="AQ4038" s="32"/>
    </row>
    <row r="4039" spans="43:43" ht="12" customHeight="1" x14ac:dyDescent="0.2">
      <c r="AQ4039" s="32"/>
    </row>
    <row r="4040" spans="43:43" ht="12" customHeight="1" x14ac:dyDescent="0.2">
      <c r="AQ4040" s="32"/>
    </row>
    <row r="4041" spans="43:43" ht="12" customHeight="1" x14ac:dyDescent="0.2">
      <c r="AQ4041" s="32"/>
    </row>
    <row r="4042" spans="43:43" ht="12" customHeight="1" x14ac:dyDescent="0.2">
      <c r="AQ4042" s="32"/>
    </row>
    <row r="4043" spans="43:43" ht="12" customHeight="1" x14ac:dyDescent="0.2">
      <c r="AQ4043" s="32"/>
    </row>
    <row r="4044" spans="43:43" ht="12" customHeight="1" x14ac:dyDescent="0.2">
      <c r="AQ4044" s="32"/>
    </row>
    <row r="4045" spans="43:43" ht="12" customHeight="1" x14ac:dyDescent="0.2">
      <c r="AQ4045" s="32"/>
    </row>
    <row r="4046" spans="43:43" ht="12" customHeight="1" x14ac:dyDescent="0.2">
      <c r="AQ4046" s="32"/>
    </row>
    <row r="4047" spans="43:43" ht="12" customHeight="1" x14ac:dyDescent="0.2">
      <c r="AQ4047" s="32"/>
    </row>
    <row r="4048" spans="43:43" ht="12" customHeight="1" x14ac:dyDescent="0.2">
      <c r="AQ4048" s="32"/>
    </row>
    <row r="4049" spans="43:43" ht="12" customHeight="1" x14ac:dyDescent="0.2">
      <c r="AQ4049" s="32"/>
    </row>
    <row r="4050" spans="43:43" ht="12" customHeight="1" x14ac:dyDescent="0.2">
      <c r="AQ4050" s="32"/>
    </row>
    <row r="4051" spans="43:43" ht="12" customHeight="1" x14ac:dyDescent="0.2">
      <c r="AQ4051" s="32"/>
    </row>
    <row r="4052" spans="43:43" ht="12" customHeight="1" x14ac:dyDescent="0.2">
      <c r="AQ4052" s="32"/>
    </row>
    <row r="4053" spans="43:43" ht="12" customHeight="1" x14ac:dyDescent="0.2">
      <c r="AQ4053" s="32"/>
    </row>
    <row r="4054" spans="43:43" ht="12" customHeight="1" x14ac:dyDescent="0.2">
      <c r="AQ4054" s="32"/>
    </row>
    <row r="4055" spans="43:43" ht="12" customHeight="1" x14ac:dyDescent="0.2">
      <c r="AQ4055" s="32"/>
    </row>
    <row r="4056" spans="43:43" ht="12" customHeight="1" x14ac:dyDescent="0.2">
      <c r="AQ4056" s="32"/>
    </row>
    <row r="4057" spans="43:43" ht="12" customHeight="1" x14ac:dyDescent="0.2">
      <c r="AQ4057" s="32"/>
    </row>
    <row r="4058" spans="43:43" ht="12" customHeight="1" x14ac:dyDescent="0.2">
      <c r="AQ4058" s="32"/>
    </row>
    <row r="4059" spans="43:43" ht="12" customHeight="1" x14ac:dyDescent="0.2">
      <c r="AQ4059" s="32"/>
    </row>
    <row r="4060" spans="43:43" ht="12" customHeight="1" x14ac:dyDescent="0.2">
      <c r="AQ4060" s="32"/>
    </row>
    <row r="4061" spans="43:43" ht="12" customHeight="1" x14ac:dyDescent="0.2">
      <c r="AQ4061" s="32"/>
    </row>
    <row r="4062" spans="43:43" ht="12" customHeight="1" x14ac:dyDescent="0.2">
      <c r="AQ4062" s="32"/>
    </row>
    <row r="4063" spans="43:43" ht="12" customHeight="1" x14ac:dyDescent="0.2">
      <c r="AQ4063" s="32"/>
    </row>
    <row r="4064" spans="43:43" ht="12" customHeight="1" x14ac:dyDescent="0.2">
      <c r="AQ4064" s="32"/>
    </row>
    <row r="4065" spans="43:43" ht="12" customHeight="1" x14ac:dyDescent="0.2">
      <c r="AQ4065" s="32"/>
    </row>
    <row r="4066" spans="43:43" ht="12" customHeight="1" x14ac:dyDescent="0.2">
      <c r="AQ4066" s="32"/>
    </row>
    <row r="4067" spans="43:43" ht="12" customHeight="1" x14ac:dyDescent="0.2">
      <c r="AQ4067" s="32"/>
    </row>
    <row r="4068" spans="43:43" ht="12" customHeight="1" x14ac:dyDescent="0.2">
      <c r="AQ4068" s="32"/>
    </row>
    <row r="4069" spans="43:43" ht="12" customHeight="1" x14ac:dyDescent="0.2">
      <c r="AQ4069" s="32"/>
    </row>
    <row r="4070" spans="43:43" ht="12" customHeight="1" x14ac:dyDescent="0.2">
      <c r="AQ4070" s="32"/>
    </row>
    <row r="4071" spans="43:43" ht="12" customHeight="1" x14ac:dyDescent="0.2">
      <c r="AQ4071" s="32"/>
    </row>
    <row r="4072" spans="43:43" ht="12" customHeight="1" x14ac:dyDescent="0.2">
      <c r="AQ4072" s="32"/>
    </row>
    <row r="4073" spans="43:43" ht="12" customHeight="1" x14ac:dyDescent="0.2">
      <c r="AQ4073" s="32"/>
    </row>
    <row r="4074" spans="43:43" ht="12" customHeight="1" x14ac:dyDescent="0.2">
      <c r="AQ4074" s="32"/>
    </row>
    <row r="4075" spans="43:43" ht="12" customHeight="1" x14ac:dyDescent="0.2">
      <c r="AQ4075" s="32"/>
    </row>
    <row r="4076" spans="43:43" ht="12" customHeight="1" x14ac:dyDescent="0.2">
      <c r="AQ4076" s="32"/>
    </row>
    <row r="4077" spans="43:43" ht="12" customHeight="1" x14ac:dyDescent="0.2">
      <c r="AQ4077" s="32"/>
    </row>
    <row r="4078" spans="43:43" ht="12" customHeight="1" x14ac:dyDescent="0.2">
      <c r="AQ4078" s="32"/>
    </row>
    <row r="4079" spans="43:43" ht="12" customHeight="1" x14ac:dyDescent="0.2">
      <c r="AQ4079" s="32"/>
    </row>
    <row r="4080" spans="43:43" ht="12" customHeight="1" x14ac:dyDescent="0.2">
      <c r="AQ4080" s="32"/>
    </row>
    <row r="4081" spans="43:43" ht="12" customHeight="1" x14ac:dyDescent="0.2">
      <c r="AQ4081" s="32"/>
    </row>
    <row r="4082" spans="43:43" ht="12" customHeight="1" x14ac:dyDescent="0.2">
      <c r="AQ4082" s="32"/>
    </row>
    <row r="4083" spans="43:43" ht="12" customHeight="1" x14ac:dyDescent="0.2">
      <c r="AQ4083" s="32"/>
    </row>
    <row r="4084" spans="43:43" ht="12" customHeight="1" x14ac:dyDescent="0.2">
      <c r="AQ4084" s="32"/>
    </row>
    <row r="4085" spans="43:43" ht="12" customHeight="1" x14ac:dyDescent="0.2">
      <c r="AQ4085" s="32"/>
    </row>
    <row r="4086" spans="43:43" ht="12" customHeight="1" x14ac:dyDescent="0.2">
      <c r="AQ4086" s="32"/>
    </row>
    <row r="4087" spans="43:43" ht="12" customHeight="1" x14ac:dyDescent="0.2">
      <c r="AQ4087" s="32"/>
    </row>
    <row r="4088" spans="43:43" ht="12" customHeight="1" x14ac:dyDescent="0.2">
      <c r="AQ4088" s="32"/>
    </row>
    <row r="4089" spans="43:43" ht="12" customHeight="1" x14ac:dyDescent="0.2">
      <c r="AQ4089" s="32"/>
    </row>
    <row r="4090" spans="43:43" ht="12" customHeight="1" x14ac:dyDescent="0.2">
      <c r="AQ4090" s="32"/>
    </row>
    <row r="4091" spans="43:43" ht="12" customHeight="1" x14ac:dyDescent="0.2">
      <c r="AQ4091" s="32"/>
    </row>
    <row r="4092" spans="43:43" ht="12" customHeight="1" x14ac:dyDescent="0.2">
      <c r="AQ4092" s="32"/>
    </row>
    <row r="4093" spans="43:43" ht="12" customHeight="1" x14ac:dyDescent="0.2">
      <c r="AQ4093" s="32"/>
    </row>
    <row r="4094" spans="43:43" ht="12" customHeight="1" x14ac:dyDescent="0.2">
      <c r="AQ4094" s="32"/>
    </row>
    <row r="4095" spans="43:43" ht="12" customHeight="1" x14ac:dyDescent="0.2">
      <c r="AQ4095" s="32"/>
    </row>
    <row r="4096" spans="43:43" ht="12" customHeight="1" x14ac:dyDescent="0.2">
      <c r="AQ4096" s="32"/>
    </row>
    <row r="4097" spans="43:43" ht="12" customHeight="1" x14ac:dyDescent="0.2">
      <c r="AQ4097" s="32"/>
    </row>
    <row r="4098" spans="43:43" ht="12" customHeight="1" x14ac:dyDescent="0.2">
      <c r="AQ4098" s="32"/>
    </row>
    <row r="4099" spans="43:43" ht="12" customHeight="1" x14ac:dyDescent="0.2">
      <c r="AQ4099" s="32"/>
    </row>
    <row r="4100" spans="43:43" ht="12" customHeight="1" x14ac:dyDescent="0.2">
      <c r="AQ4100" s="32"/>
    </row>
    <row r="4101" spans="43:43" ht="12" customHeight="1" x14ac:dyDescent="0.2">
      <c r="AQ4101" s="32"/>
    </row>
    <row r="4102" spans="43:43" ht="12" customHeight="1" x14ac:dyDescent="0.2">
      <c r="AQ4102" s="32"/>
    </row>
    <row r="4103" spans="43:43" ht="12" customHeight="1" x14ac:dyDescent="0.2">
      <c r="AQ4103" s="32"/>
    </row>
    <row r="4104" spans="43:43" ht="12" customHeight="1" x14ac:dyDescent="0.2">
      <c r="AQ4104" s="32"/>
    </row>
    <row r="4105" spans="43:43" ht="12" customHeight="1" x14ac:dyDescent="0.2">
      <c r="AQ4105" s="32"/>
    </row>
    <row r="4106" spans="43:43" ht="12" customHeight="1" x14ac:dyDescent="0.2">
      <c r="AQ4106" s="32"/>
    </row>
    <row r="4107" spans="43:43" ht="12" customHeight="1" x14ac:dyDescent="0.2">
      <c r="AQ4107" s="32"/>
    </row>
    <row r="4108" spans="43:43" ht="12" customHeight="1" x14ac:dyDescent="0.2">
      <c r="AQ4108" s="32"/>
    </row>
    <row r="4109" spans="43:43" ht="12" customHeight="1" x14ac:dyDescent="0.2">
      <c r="AQ4109" s="32"/>
    </row>
    <row r="4110" spans="43:43" ht="12" customHeight="1" x14ac:dyDescent="0.2">
      <c r="AQ4110" s="32"/>
    </row>
    <row r="4111" spans="43:43" ht="12" customHeight="1" x14ac:dyDescent="0.2">
      <c r="AQ4111" s="32"/>
    </row>
    <row r="4112" spans="43:43" ht="12" customHeight="1" x14ac:dyDescent="0.2">
      <c r="AQ4112" s="32"/>
    </row>
    <row r="4113" spans="43:43" ht="12" customHeight="1" x14ac:dyDescent="0.2">
      <c r="AQ4113" s="32"/>
    </row>
    <row r="4114" spans="43:43" ht="12" customHeight="1" x14ac:dyDescent="0.2">
      <c r="AQ4114" s="32"/>
    </row>
    <row r="4115" spans="43:43" ht="12" customHeight="1" x14ac:dyDescent="0.2">
      <c r="AQ4115" s="32"/>
    </row>
    <row r="4116" spans="43:43" ht="12" customHeight="1" x14ac:dyDescent="0.2">
      <c r="AQ4116" s="32"/>
    </row>
    <row r="4117" spans="43:43" ht="12" customHeight="1" x14ac:dyDescent="0.2">
      <c r="AQ4117" s="32"/>
    </row>
    <row r="4118" spans="43:43" ht="12" customHeight="1" x14ac:dyDescent="0.2">
      <c r="AQ4118" s="32"/>
    </row>
    <row r="4119" spans="43:43" ht="12" customHeight="1" x14ac:dyDescent="0.2">
      <c r="AQ4119" s="32"/>
    </row>
    <row r="4120" spans="43:43" ht="12" customHeight="1" x14ac:dyDescent="0.2">
      <c r="AQ4120" s="32"/>
    </row>
    <row r="4121" spans="43:43" ht="12" customHeight="1" x14ac:dyDescent="0.2">
      <c r="AQ4121" s="32"/>
    </row>
    <row r="4122" spans="43:43" ht="12" customHeight="1" x14ac:dyDescent="0.2">
      <c r="AQ4122" s="32"/>
    </row>
    <row r="4123" spans="43:43" ht="12" customHeight="1" x14ac:dyDescent="0.2">
      <c r="AQ4123" s="32"/>
    </row>
    <row r="4124" spans="43:43" ht="12" customHeight="1" x14ac:dyDescent="0.2">
      <c r="AQ4124" s="32"/>
    </row>
    <row r="4125" spans="43:43" ht="12" customHeight="1" x14ac:dyDescent="0.2">
      <c r="AQ4125" s="32"/>
    </row>
    <row r="4126" spans="43:43" ht="12" customHeight="1" x14ac:dyDescent="0.2">
      <c r="AQ4126" s="32"/>
    </row>
    <row r="4127" spans="43:43" ht="12" customHeight="1" x14ac:dyDescent="0.2">
      <c r="AQ4127" s="32"/>
    </row>
    <row r="4128" spans="43:43" ht="12" customHeight="1" x14ac:dyDescent="0.2">
      <c r="AQ4128" s="32"/>
    </row>
    <row r="4129" spans="43:43" ht="12" customHeight="1" x14ac:dyDescent="0.2">
      <c r="AQ4129" s="32"/>
    </row>
    <row r="4130" spans="43:43" ht="12" customHeight="1" x14ac:dyDescent="0.2">
      <c r="AQ4130" s="32"/>
    </row>
    <row r="4131" spans="43:43" ht="12" customHeight="1" x14ac:dyDescent="0.2">
      <c r="AQ4131" s="32"/>
    </row>
    <row r="4132" spans="43:43" ht="12" customHeight="1" x14ac:dyDescent="0.2">
      <c r="AQ4132" s="32"/>
    </row>
    <row r="4133" spans="43:43" ht="12" customHeight="1" x14ac:dyDescent="0.2">
      <c r="AQ4133" s="32"/>
    </row>
    <row r="4134" spans="43:43" ht="12" customHeight="1" x14ac:dyDescent="0.2">
      <c r="AQ4134" s="32"/>
    </row>
    <row r="4135" spans="43:43" ht="12" customHeight="1" x14ac:dyDescent="0.2">
      <c r="AQ4135" s="32"/>
    </row>
    <row r="4136" spans="43:43" ht="12" customHeight="1" x14ac:dyDescent="0.2">
      <c r="AQ4136" s="32"/>
    </row>
    <row r="4137" spans="43:43" ht="12" customHeight="1" x14ac:dyDescent="0.2">
      <c r="AQ4137" s="32"/>
    </row>
    <row r="4138" spans="43:43" ht="12" customHeight="1" x14ac:dyDescent="0.2">
      <c r="AQ4138" s="32"/>
    </row>
    <row r="4139" spans="43:43" ht="12" customHeight="1" x14ac:dyDescent="0.2">
      <c r="AQ4139" s="32"/>
    </row>
    <row r="4140" spans="43:43" ht="12" customHeight="1" x14ac:dyDescent="0.2">
      <c r="AQ4140" s="32"/>
    </row>
    <row r="4141" spans="43:43" ht="12" customHeight="1" x14ac:dyDescent="0.2">
      <c r="AQ4141" s="32"/>
    </row>
    <row r="4142" spans="43:43" ht="12" customHeight="1" x14ac:dyDescent="0.2">
      <c r="AQ4142" s="32"/>
    </row>
    <row r="4143" spans="43:43" ht="12" customHeight="1" x14ac:dyDescent="0.2">
      <c r="AQ4143" s="32"/>
    </row>
    <row r="4144" spans="43:43" ht="12" customHeight="1" x14ac:dyDescent="0.2">
      <c r="AQ4144" s="32"/>
    </row>
    <row r="4145" spans="43:43" ht="12" customHeight="1" x14ac:dyDescent="0.2">
      <c r="AQ4145" s="32"/>
    </row>
    <row r="4146" spans="43:43" ht="12" customHeight="1" x14ac:dyDescent="0.2">
      <c r="AQ4146" s="32"/>
    </row>
    <row r="4147" spans="43:43" ht="12" customHeight="1" x14ac:dyDescent="0.2">
      <c r="AQ4147" s="32"/>
    </row>
    <row r="4148" spans="43:43" ht="12" customHeight="1" x14ac:dyDescent="0.2">
      <c r="AQ4148" s="32"/>
    </row>
    <row r="4149" spans="43:43" ht="12" customHeight="1" x14ac:dyDescent="0.2">
      <c r="AQ4149" s="32"/>
    </row>
    <row r="4150" spans="43:43" ht="12" customHeight="1" x14ac:dyDescent="0.2">
      <c r="AQ4150" s="32"/>
    </row>
    <row r="4151" spans="43:43" ht="12" customHeight="1" x14ac:dyDescent="0.2">
      <c r="AQ4151" s="32"/>
    </row>
    <row r="4152" spans="43:43" ht="12" customHeight="1" x14ac:dyDescent="0.2">
      <c r="AQ4152" s="32"/>
    </row>
    <row r="4153" spans="43:43" ht="12" customHeight="1" x14ac:dyDescent="0.2">
      <c r="AQ4153" s="32"/>
    </row>
    <row r="4154" spans="43:43" ht="12" customHeight="1" x14ac:dyDescent="0.2">
      <c r="AQ4154" s="32"/>
    </row>
    <row r="4155" spans="43:43" ht="12" customHeight="1" x14ac:dyDescent="0.2">
      <c r="AQ4155" s="32"/>
    </row>
    <row r="4156" spans="43:43" ht="12" customHeight="1" x14ac:dyDescent="0.2">
      <c r="AQ4156" s="32"/>
    </row>
    <row r="4157" spans="43:43" ht="12" customHeight="1" x14ac:dyDescent="0.2">
      <c r="AQ4157" s="32"/>
    </row>
    <row r="4158" spans="43:43" ht="12" customHeight="1" x14ac:dyDescent="0.2">
      <c r="AQ4158" s="32"/>
    </row>
    <row r="4159" spans="43:43" ht="12" customHeight="1" x14ac:dyDescent="0.2">
      <c r="AQ4159" s="32"/>
    </row>
    <row r="4160" spans="43:43" ht="12" customHeight="1" x14ac:dyDescent="0.2">
      <c r="AQ4160" s="32"/>
    </row>
    <row r="4161" spans="43:43" ht="12" customHeight="1" x14ac:dyDescent="0.2">
      <c r="AQ4161" s="32"/>
    </row>
    <row r="4162" spans="43:43" ht="12" customHeight="1" x14ac:dyDescent="0.2">
      <c r="AQ4162" s="32"/>
    </row>
    <row r="4163" spans="43:43" ht="12" customHeight="1" x14ac:dyDescent="0.2">
      <c r="AQ4163" s="32"/>
    </row>
    <row r="4164" spans="43:43" ht="12" customHeight="1" x14ac:dyDescent="0.2">
      <c r="AQ4164" s="32"/>
    </row>
    <row r="4165" spans="43:43" ht="12" customHeight="1" x14ac:dyDescent="0.2">
      <c r="AQ4165" s="32"/>
    </row>
    <row r="4166" spans="43:43" ht="12" customHeight="1" x14ac:dyDescent="0.2">
      <c r="AQ4166" s="32"/>
    </row>
    <row r="4167" spans="43:43" ht="12" customHeight="1" x14ac:dyDescent="0.2">
      <c r="AQ4167" s="32"/>
    </row>
    <row r="4168" spans="43:43" ht="12" customHeight="1" x14ac:dyDescent="0.2">
      <c r="AQ4168" s="32"/>
    </row>
    <row r="4169" spans="43:43" ht="12" customHeight="1" x14ac:dyDescent="0.2">
      <c r="AQ4169" s="32"/>
    </row>
    <row r="4170" spans="43:43" ht="12" customHeight="1" x14ac:dyDescent="0.2">
      <c r="AQ4170" s="32"/>
    </row>
    <row r="4171" spans="43:43" ht="12" customHeight="1" x14ac:dyDescent="0.2">
      <c r="AQ4171" s="32"/>
    </row>
    <row r="4172" spans="43:43" ht="12" customHeight="1" x14ac:dyDescent="0.2">
      <c r="AQ4172" s="32"/>
    </row>
    <row r="4173" spans="43:43" ht="12" customHeight="1" x14ac:dyDescent="0.2">
      <c r="AQ4173" s="32"/>
    </row>
    <row r="4174" spans="43:43" ht="12" customHeight="1" x14ac:dyDescent="0.2">
      <c r="AQ4174" s="32"/>
    </row>
    <row r="4175" spans="43:43" ht="12" customHeight="1" x14ac:dyDescent="0.2">
      <c r="AQ4175" s="32"/>
    </row>
    <row r="4176" spans="43:43" ht="12" customHeight="1" x14ac:dyDescent="0.2">
      <c r="AQ4176" s="32"/>
    </row>
    <row r="4177" spans="43:43" ht="12" customHeight="1" x14ac:dyDescent="0.2">
      <c r="AQ4177" s="32"/>
    </row>
    <row r="4178" spans="43:43" ht="12" customHeight="1" x14ac:dyDescent="0.2">
      <c r="AQ4178" s="32"/>
    </row>
    <row r="4179" spans="43:43" ht="12" customHeight="1" x14ac:dyDescent="0.2">
      <c r="AQ4179" s="32"/>
    </row>
    <row r="4180" spans="43:43" ht="12" customHeight="1" x14ac:dyDescent="0.2">
      <c r="AQ4180" s="32"/>
    </row>
    <row r="4181" spans="43:43" ht="12" customHeight="1" x14ac:dyDescent="0.2">
      <c r="AQ4181" s="32"/>
    </row>
    <row r="4182" spans="43:43" ht="12" customHeight="1" x14ac:dyDescent="0.2">
      <c r="AQ4182" s="32"/>
    </row>
    <row r="4183" spans="43:43" ht="12" customHeight="1" x14ac:dyDescent="0.2">
      <c r="AQ4183" s="32"/>
    </row>
    <row r="4184" spans="43:43" ht="12" customHeight="1" x14ac:dyDescent="0.2">
      <c r="AQ4184" s="32"/>
    </row>
    <row r="4185" spans="43:43" ht="12" customHeight="1" x14ac:dyDescent="0.2">
      <c r="AQ4185" s="32"/>
    </row>
    <row r="4186" spans="43:43" ht="12" customHeight="1" x14ac:dyDescent="0.2">
      <c r="AQ4186" s="32"/>
    </row>
    <row r="4187" spans="43:43" ht="12" customHeight="1" x14ac:dyDescent="0.2">
      <c r="AQ4187" s="32"/>
    </row>
    <row r="4188" spans="43:43" ht="12" customHeight="1" x14ac:dyDescent="0.2">
      <c r="AQ4188" s="32"/>
    </row>
    <row r="4189" spans="43:43" ht="12" customHeight="1" x14ac:dyDescent="0.2">
      <c r="AQ4189" s="32"/>
    </row>
    <row r="4190" spans="43:43" ht="12" customHeight="1" x14ac:dyDescent="0.2">
      <c r="AQ4190" s="32"/>
    </row>
    <row r="4191" spans="43:43" ht="12" customHeight="1" x14ac:dyDescent="0.2">
      <c r="AQ4191" s="32"/>
    </row>
    <row r="4192" spans="43:43" ht="12" customHeight="1" x14ac:dyDescent="0.2">
      <c r="AQ4192" s="32"/>
    </row>
    <row r="4193" spans="43:43" ht="12" customHeight="1" x14ac:dyDescent="0.2">
      <c r="AQ4193" s="32"/>
    </row>
    <row r="4194" spans="43:43" ht="12" customHeight="1" x14ac:dyDescent="0.2">
      <c r="AQ4194" s="32"/>
    </row>
    <row r="4195" spans="43:43" ht="12" customHeight="1" x14ac:dyDescent="0.2">
      <c r="AQ4195" s="32"/>
    </row>
    <row r="4196" spans="43:43" ht="12" customHeight="1" x14ac:dyDescent="0.2">
      <c r="AQ4196" s="32"/>
    </row>
    <row r="4197" spans="43:43" ht="12" customHeight="1" x14ac:dyDescent="0.2">
      <c r="AQ4197" s="32"/>
    </row>
    <row r="4198" spans="43:43" ht="12" customHeight="1" x14ac:dyDescent="0.2">
      <c r="AQ4198" s="32"/>
    </row>
    <row r="4199" spans="43:43" ht="12" customHeight="1" x14ac:dyDescent="0.2">
      <c r="AQ4199" s="32"/>
    </row>
    <row r="4200" spans="43:43" ht="12" customHeight="1" x14ac:dyDescent="0.2">
      <c r="AQ4200" s="32"/>
    </row>
    <row r="4201" spans="43:43" ht="12" customHeight="1" x14ac:dyDescent="0.2">
      <c r="AQ4201" s="32"/>
    </row>
    <row r="4202" spans="43:43" ht="12" customHeight="1" x14ac:dyDescent="0.2">
      <c r="AQ4202" s="32"/>
    </row>
    <row r="4203" spans="43:43" ht="12" customHeight="1" x14ac:dyDescent="0.2">
      <c r="AQ4203" s="32"/>
    </row>
    <row r="4204" spans="43:43" ht="12" customHeight="1" x14ac:dyDescent="0.2">
      <c r="AQ4204" s="32"/>
    </row>
    <row r="4205" spans="43:43" ht="12" customHeight="1" x14ac:dyDescent="0.2">
      <c r="AQ4205" s="32"/>
    </row>
    <row r="4206" spans="43:43" ht="12" customHeight="1" x14ac:dyDescent="0.2">
      <c r="AQ4206" s="32"/>
    </row>
    <row r="4207" spans="43:43" ht="12" customHeight="1" x14ac:dyDescent="0.2">
      <c r="AQ4207" s="32"/>
    </row>
    <row r="4208" spans="43:43" ht="12" customHeight="1" x14ac:dyDescent="0.2">
      <c r="AQ4208" s="32"/>
    </row>
    <row r="4209" spans="43:43" ht="12" customHeight="1" x14ac:dyDescent="0.2">
      <c r="AQ4209" s="32"/>
    </row>
    <row r="4210" spans="43:43" ht="12" customHeight="1" x14ac:dyDescent="0.2">
      <c r="AQ4210" s="32"/>
    </row>
    <row r="4211" spans="43:43" ht="12" customHeight="1" x14ac:dyDescent="0.2">
      <c r="AQ4211" s="32"/>
    </row>
    <row r="4212" spans="43:43" ht="12" customHeight="1" x14ac:dyDescent="0.2">
      <c r="AQ4212" s="32"/>
    </row>
    <row r="4213" spans="43:43" ht="12" customHeight="1" x14ac:dyDescent="0.2">
      <c r="AQ4213" s="32"/>
    </row>
    <row r="4214" spans="43:43" ht="12" customHeight="1" x14ac:dyDescent="0.2">
      <c r="AQ4214" s="32"/>
    </row>
    <row r="4215" spans="43:43" ht="12" customHeight="1" x14ac:dyDescent="0.2">
      <c r="AQ4215" s="32"/>
    </row>
    <row r="4216" spans="43:43" ht="12" customHeight="1" x14ac:dyDescent="0.2">
      <c r="AQ4216" s="32"/>
    </row>
    <row r="4217" spans="43:43" ht="12" customHeight="1" x14ac:dyDescent="0.2">
      <c r="AQ4217" s="32"/>
    </row>
    <row r="4218" spans="43:43" ht="12" customHeight="1" x14ac:dyDescent="0.2">
      <c r="AQ4218" s="32"/>
    </row>
    <row r="4219" spans="43:43" ht="12" customHeight="1" x14ac:dyDescent="0.2">
      <c r="AQ4219" s="32"/>
    </row>
    <row r="4220" spans="43:43" ht="12" customHeight="1" x14ac:dyDescent="0.2">
      <c r="AQ4220" s="32"/>
    </row>
    <row r="4221" spans="43:43" ht="12" customHeight="1" x14ac:dyDescent="0.2">
      <c r="AQ4221" s="32"/>
    </row>
    <row r="4222" spans="43:43" ht="12" customHeight="1" x14ac:dyDescent="0.2">
      <c r="AQ4222" s="32"/>
    </row>
    <row r="4223" spans="43:43" ht="12" customHeight="1" x14ac:dyDescent="0.2">
      <c r="AQ4223" s="32"/>
    </row>
    <row r="4224" spans="43:43" ht="12" customHeight="1" x14ac:dyDescent="0.2">
      <c r="AQ4224" s="32"/>
    </row>
    <row r="4225" spans="43:43" ht="12" customHeight="1" x14ac:dyDescent="0.2">
      <c r="AQ4225" s="32"/>
    </row>
    <row r="4226" spans="43:43" ht="12" customHeight="1" x14ac:dyDescent="0.2">
      <c r="AQ4226" s="32"/>
    </row>
    <row r="4227" spans="43:43" ht="12" customHeight="1" x14ac:dyDescent="0.2">
      <c r="AQ4227" s="32"/>
    </row>
    <row r="4228" spans="43:43" ht="12" customHeight="1" x14ac:dyDescent="0.2">
      <c r="AQ4228" s="32"/>
    </row>
    <row r="4229" spans="43:43" ht="12" customHeight="1" x14ac:dyDescent="0.2">
      <c r="AQ4229" s="32"/>
    </row>
    <row r="4230" spans="43:43" ht="12" customHeight="1" x14ac:dyDescent="0.2">
      <c r="AQ4230" s="32"/>
    </row>
    <row r="4231" spans="43:43" ht="12" customHeight="1" x14ac:dyDescent="0.2">
      <c r="AQ4231" s="32"/>
    </row>
    <row r="4232" spans="43:43" ht="12" customHeight="1" x14ac:dyDescent="0.2">
      <c r="AQ4232" s="32"/>
    </row>
    <row r="4233" spans="43:43" ht="12" customHeight="1" x14ac:dyDescent="0.2">
      <c r="AQ4233" s="32"/>
    </row>
    <row r="4234" spans="43:43" ht="12" customHeight="1" x14ac:dyDescent="0.2">
      <c r="AQ4234" s="32"/>
    </row>
    <row r="4235" spans="43:43" ht="12" customHeight="1" x14ac:dyDescent="0.2">
      <c r="AQ4235" s="32"/>
    </row>
    <row r="4236" spans="43:43" ht="12" customHeight="1" x14ac:dyDescent="0.2">
      <c r="AQ4236" s="32"/>
    </row>
    <row r="4237" spans="43:43" ht="12" customHeight="1" x14ac:dyDescent="0.2">
      <c r="AQ4237" s="32"/>
    </row>
    <row r="4238" spans="43:43" ht="12" customHeight="1" x14ac:dyDescent="0.2">
      <c r="AQ4238" s="32"/>
    </row>
    <row r="4239" spans="43:43" ht="12" customHeight="1" x14ac:dyDescent="0.2">
      <c r="AQ4239" s="32"/>
    </row>
    <row r="4240" spans="43:43" ht="12" customHeight="1" x14ac:dyDescent="0.2">
      <c r="AQ4240" s="32"/>
    </row>
    <row r="4241" spans="43:43" ht="12" customHeight="1" x14ac:dyDescent="0.2">
      <c r="AQ4241" s="32"/>
    </row>
    <row r="4242" spans="43:43" ht="12" customHeight="1" x14ac:dyDescent="0.2">
      <c r="AQ4242" s="32"/>
    </row>
    <row r="4243" spans="43:43" ht="12" customHeight="1" x14ac:dyDescent="0.2">
      <c r="AQ4243" s="32"/>
    </row>
    <row r="4244" spans="43:43" ht="12" customHeight="1" x14ac:dyDescent="0.2">
      <c r="AQ4244" s="32"/>
    </row>
    <row r="4245" spans="43:43" ht="12" customHeight="1" x14ac:dyDescent="0.2">
      <c r="AQ4245" s="32"/>
    </row>
    <row r="4246" spans="43:43" ht="12" customHeight="1" x14ac:dyDescent="0.2">
      <c r="AQ4246" s="32"/>
    </row>
    <row r="4247" spans="43:43" ht="12" customHeight="1" x14ac:dyDescent="0.2">
      <c r="AQ4247" s="32"/>
    </row>
    <row r="4248" spans="43:43" ht="12" customHeight="1" x14ac:dyDescent="0.2">
      <c r="AQ4248" s="32"/>
    </row>
    <row r="4249" spans="43:43" ht="12" customHeight="1" x14ac:dyDescent="0.2">
      <c r="AQ4249" s="32"/>
    </row>
    <row r="4250" spans="43:43" ht="12" customHeight="1" x14ac:dyDescent="0.2">
      <c r="AQ4250" s="32"/>
    </row>
    <row r="4251" spans="43:43" ht="12" customHeight="1" x14ac:dyDescent="0.2">
      <c r="AQ4251" s="32"/>
    </row>
    <row r="4252" spans="43:43" ht="12" customHeight="1" x14ac:dyDescent="0.2">
      <c r="AQ4252" s="32"/>
    </row>
    <row r="4253" spans="43:43" ht="12" customHeight="1" x14ac:dyDescent="0.2">
      <c r="AQ4253" s="32"/>
    </row>
    <row r="4254" spans="43:43" ht="12" customHeight="1" x14ac:dyDescent="0.2">
      <c r="AQ4254" s="32"/>
    </row>
    <row r="4255" spans="43:43" ht="12" customHeight="1" x14ac:dyDescent="0.2">
      <c r="AQ4255" s="32"/>
    </row>
    <row r="4256" spans="43:43" ht="12" customHeight="1" x14ac:dyDescent="0.2">
      <c r="AQ4256" s="32"/>
    </row>
    <row r="4257" spans="43:43" ht="12" customHeight="1" x14ac:dyDescent="0.2">
      <c r="AQ4257" s="32"/>
    </row>
    <row r="4258" spans="43:43" ht="12" customHeight="1" x14ac:dyDescent="0.2">
      <c r="AQ4258" s="32"/>
    </row>
    <row r="4259" spans="43:43" ht="12" customHeight="1" x14ac:dyDescent="0.2">
      <c r="AQ4259" s="32"/>
    </row>
    <row r="4260" spans="43:43" ht="12" customHeight="1" x14ac:dyDescent="0.2">
      <c r="AQ4260" s="32"/>
    </row>
    <row r="4261" spans="43:43" ht="12" customHeight="1" x14ac:dyDescent="0.2">
      <c r="AQ4261" s="32"/>
    </row>
    <row r="4262" spans="43:43" ht="12" customHeight="1" x14ac:dyDescent="0.2">
      <c r="AQ4262" s="32"/>
    </row>
    <row r="4263" spans="43:43" ht="12" customHeight="1" x14ac:dyDescent="0.2">
      <c r="AQ4263" s="32"/>
    </row>
    <row r="4264" spans="43:43" ht="12" customHeight="1" x14ac:dyDescent="0.2">
      <c r="AQ4264" s="32"/>
    </row>
    <row r="4265" spans="43:43" ht="12" customHeight="1" x14ac:dyDescent="0.2">
      <c r="AQ4265" s="32"/>
    </row>
    <row r="4266" spans="43:43" ht="12" customHeight="1" x14ac:dyDescent="0.2">
      <c r="AQ4266" s="32"/>
    </row>
    <row r="4267" spans="43:43" ht="12" customHeight="1" x14ac:dyDescent="0.2">
      <c r="AQ4267" s="32"/>
    </row>
    <row r="4268" spans="43:43" ht="12" customHeight="1" x14ac:dyDescent="0.2">
      <c r="AQ4268" s="32"/>
    </row>
    <row r="4269" spans="43:43" ht="12" customHeight="1" x14ac:dyDescent="0.2">
      <c r="AQ4269" s="32"/>
    </row>
    <row r="4270" spans="43:43" ht="12" customHeight="1" x14ac:dyDescent="0.2">
      <c r="AQ4270" s="32"/>
    </row>
    <row r="4271" spans="43:43" ht="12" customHeight="1" x14ac:dyDescent="0.2">
      <c r="AQ4271" s="32"/>
    </row>
    <row r="4272" spans="43:43" ht="12" customHeight="1" x14ac:dyDescent="0.2">
      <c r="AQ4272" s="32"/>
    </row>
    <row r="4273" spans="43:43" ht="12" customHeight="1" x14ac:dyDescent="0.2">
      <c r="AQ4273" s="32"/>
    </row>
    <row r="4274" spans="43:43" ht="12" customHeight="1" x14ac:dyDescent="0.2">
      <c r="AQ4274" s="32"/>
    </row>
    <row r="4275" spans="43:43" ht="12" customHeight="1" x14ac:dyDescent="0.2">
      <c r="AQ4275" s="32"/>
    </row>
    <row r="4276" spans="43:43" ht="12" customHeight="1" x14ac:dyDescent="0.2">
      <c r="AQ4276" s="32"/>
    </row>
    <row r="4277" spans="43:43" ht="12" customHeight="1" x14ac:dyDescent="0.2">
      <c r="AQ4277" s="32"/>
    </row>
    <row r="4278" spans="43:43" ht="12" customHeight="1" x14ac:dyDescent="0.2">
      <c r="AQ4278" s="32"/>
    </row>
    <row r="4279" spans="43:43" ht="12" customHeight="1" x14ac:dyDescent="0.2">
      <c r="AQ4279" s="32"/>
    </row>
    <row r="4280" spans="43:43" ht="12" customHeight="1" x14ac:dyDescent="0.2">
      <c r="AQ4280" s="32"/>
    </row>
    <row r="4281" spans="43:43" ht="12" customHeight="1" x14ac:dyDescent="0.2">
      <c r="AQ4281" s="32"/>
    </row>
    <row r="4282" spans="43:43" ht="12" customHeight="1" x14ac:dyDescent="0.2">
      <c r="AQ4282" s="32"/>
    </row>
    <row r="4283" spans="43:43" ht="12" customHeight="1" x14ac:dyDescent="0.2">
      <c r="AQ4283" s="32"/>
    </row>
    <row r="4284" spans="43:43" ht="12" customHeight="1" x14ac:dyDescent="0.2">
      <c r="AQ4284" s="32"/>
    </row>
    <row r="4285" spans="43:43" ht="12" customHeight="1" x14ac:dyDescent="0.2">
      <c r="AQ4285" s="32"/>
    </row>
    <row r="4286" spans="43:43" ht="12" customHeight="1" x14ac:dyDescent="0.2">
      <c r="AQ4286" s="32"/>
    </row>
    <row r="4287" spans="43:43" ht="12" customHeight="1" x14ac:dyDescent="0.2">
      <c r="AQ4287" s="32"/>
    </row>
    <row r="4288" spans="43:43" ht="12" customHeight="1" x14ac:dyDescent="0.2">
      <c r="AQ4288" s="32"/>
    </row>
    <row r="4289" spans="43:43" ht="12" customHeight="1" x14ac:dyDescent="0.2">
      <c r="AQ4289" s="32"/>
    </row>
    <row r="4290" spans="43:43" ht="12" customHeight="1" x14ac:dyDescent="0.2">
      <c r="AQ4290" s="32"/>
    </row>
    <row r="4291" spans="43:43" ht="12" customHeight="1" x14ac:dyDescent="0.2">
      <c r="AQ4291" s="32"/>
    </row>
    <row r="4292" spans="43:43" ht="12" customHeight="1" x14ac:dyDescent="0.2">
      <c r="AQ4292" s="32"/>
    </row>
    <row r="4293" spans="43:43" ht="12" customHeight="1" x14ac:dyDescent="0.2">
      <c r="AQ4293" s="32"/>
    </row>
    <row r="4294" spans="43:43" ht="12" customHeight="1" x14ac:dyDescent="0.2">
      <c r="AQ4294" s="32"/>
    </row>
    <row r="4295" spans="43:43" ht="12" customHeight="1" x14ac:dyDescent="0.2">
      <c r="AQ4295" s="32"/>
    </row>
    <row r="4296" spans="43:43" ht="12" customHeight="1" x14ac:dyDescent="0.2">
      <c r="AQ4296" s="32"/>
    </row>
    <row r="4297" spans="43:43" ht="12" customHeight="1" x14ac:dyDescent="0.2">
      <c r="AQ4297" s="32"/>
    </row>
    <row r="4298" spans="43:43" ht="12" customHeight="1" x14ac:dyDescent="0.2">
      <c r="AQ4298" s="32"/>
    </row>
    <row r="4299" spans="43:43" ht="12" customHeight="1" x14ac:dyDescent="0.2">
      <c r="AQ4299" s="32"/>
    </row>
    <row r="4300" spans="43:43" ht="12" customHeight="1" x14ac:dyDescent="0.2">
      <c r="AQ4300" s="32"/>
    </row>
    <row r="4301" spans="43:43" ht="12" customHeight="1" x14ac:dyDescent="0.2">
      <c r="AQ4301" s="32"/>
    </row>
    <row r="4302" spans="43:43" ht="12" customHeight="1" x14ac:dyDescent="0.2">
      <c r="AQ4302" s="32"/>
    </row>
    <row r="4303" spans="43:43" ht="12" customHeight="1" x14ac:dyDescent="0.2">
      <c r="AQ4303" s="32"/>
    </row>
    <row r="4304" spans="43:43" ht="12" customHeight="1" x14ac:dyDescent="0.2">
      <c r="AQ4304" s="32"/>
    </row>
    <row r="4305" spans="43:43" ht="12" customHeight="1" x14ac:dyDescent="0.2">
      <c r="AQ4305" s="32"/>
    </row>
    <row r="4306" spans="43:43" ht="12" customHeight="1" x14ac:dyDescent="0.2">
      <c r="AQ4306" s="32"/>
    </row>
    <row r="4307" spans="43:43" ht="12" customHeight="1" x14ac:dyDescent="0.2">
      <c r="AQ4307" s="32"/>
    </row>
    <row r="4308" spans="43:43" ht="12" customHeight="1" x14ac:dyDescent="0.2">
      <c r="AQ4308" s="32"/>
    </row>
    <row r="4309" spans="43:43" ht="12" customHeight="1" x14ac:dyDescent="0.2">
      <c r="AQ4309" s="32"/>
    </row>
    <row r="4310" spans="43:43" ht="12" customHeight="1" x14ac:dyDescent="0.2">
      <c r="AQ4310" s="32"/>
    </row>
    <row r="4311" spans="43:43" ht="12" customHeight="1" x14ac:dyDescent="0.2">
      <c r="AQ4311" s="32"/>
    </row>
    <row r="4312" spans="43:43" ht="12" customHeight="1" x14ac:dyDescent="0.2">
      <c r="AQ4312" s="32"/>
    </row>
    <row r="4313" spans="43:43" ht="12" customHeight="1" x14ac:dyDescent="0.2">
      <c r="AQ4313" s="32"/>
    </row>
    <row r="4314" spans="43:43" ht="12" customHeight="1" x14ac:dyDescent="0.2">
      <c r="AQ4314" s="32"/>
    </row>
    <row r="4315" spans="43:43" ht="12" customHeight="1" x14ac:dyDescent="0.2">
      <c r="AQ4315" s="32"/>
    </row>
    <row r="4316" spans="43:43" ht="12" customHeight="1" x14ac:dyDescent="0.2">
      <c r="AQ4316" s="32"/>
    </row>
    <row r="4317" spans="43:43" ht="12" customHeight="1" x14ac:dyDescent="0.2">
      <c r="AQ4317" s="32"/>
    </row>
    <row r="4318" spans="43:43" ht="12" customHeight="1" x14ac:dyDescent="0.2">
      <c r="AQ4318" s="32"/>
    </row>
    <row r="4319" spans="43:43" ht="12" customHeight="1" x14ac:dyDescent="0.2">
      <c r="AQ4319" s="32"/>
    </row>
    <row r="4320" spans="43:43" ht="12" customHeight="1" x14ac:dyDescent="0.2">
      <c r="AQ4320" s="32"/>
    </row>
    <row r="4321" spans="43:43" ht="12" customHeight="1" x14ac:dyDescent="0.2">
      <c r="AQ4321" s="32"/>
    </row>
    <row r="4322" spans="43:43" ht="12" customHeight="1" x14ac:dyDescent="0.2">
      <c r="AQ4322" s="32"/>
    </row>
    <row r="4323" spans="43:43" ht="12" customHeight="1" x14ac:dyDescent="0.2">
      <c r="AQ4323" s="32"/>
    </row>
    <row r="4324" spans="43:43" ht="12" customHeight="1" x14ac:dyDescent="0.2">
      <c r="AQ4324" s="32"/>
    </row>
    <row r="4325" spans="43:43" ht="12" customHeight="1" x14ac:dyDescent="0.2">
      <c r="AQ4325" s="32"/>
    </row>
    <row r="4326" spans="43:43" ht="12" customHeight="1" x14ac:dyDescent="0.2">
      <c r="AQ4326" s="32"/>
    </row>
    <row r="4327" spans="43:43" ht="12" customHeight="1" x14ac:dyDescent="0.2">
      <c r="AQ4327" s="32"/>
    </row>
    <row r="4328" spans="43:43" ht="12" customHeight="1" x14ac:dyDescent="0.2">
      <c r="AQ4328" s="32"/>
    </row>
    <row r="4329" spans="43:43" ht="12" customHeight="1" x14ac:dyDescent="0.2">
      <c r="AQ4329" s="32"/>
    </row>
    <row r="4330" spans="43:43" ht="12" customHeight="1" x14ac:dyDescent="0.2">
      <c r="AQ4330" s="32"/>
    </row>
    <row r="4331" spans="43:43" ht="12" customHeight="1" x14ac:dyDescent="0.2">
      <c r="AQ4331" s="32"/>
    </row>
    <row r="4332" spans="43:43" ht="12" customHeight="1" x14ac:dyDescent="0.2">
      <c r="AQ4332" s="32"/>
    </row>
    <row r="4333" spans="43:43" ht="12" customHeight="1" x14ac:dyDescent="0.2">
      <c r="AQ4333" s="32"/>
    </row>
    <row r="4334" spans="43:43" ht="12" customHeight="1" x14ac:dyDescent="0.2">
      <c r="AQ4334" s="32"/>
    </row>
    <row r="4335" spans="43:43" ht="12" customHeight="1" x14ac:dyDescent="0.2">
      <c r="AQ4335" s="32"/>
    </row>
    <row r="4336" spans="43:43" ht="12" customHeight="1" x14ac:dyDescent="0.2">
      <c r="AQ4336" s="32"/>
    </row>
    <row r="4337" spans="43:43" ht="12" customHeight="1" x14ac:dyDescent="0.2">
      <c r="AQ4337" s="32"/>
    </row>
    <row r="4338" spans="43:43" ht="12" customHeight="1" x14ac:dyDescent="0.2">
      <c r="AQ4338" s="32"/>
    </row>
    <row r="4339" spans="43:43" ht="12" customHeight="1" x14ac:dyDescent="0.2">
      <c r="AQ4339" s="32"/>
    </row>
    <row r="4340" spans="43:43" ht="12" customHeight="1" x14ac:dyDescent="0.2">
      <c r="AQ4340" s="32"/>
    </row>
    <row r="4341" spans="43:43" ht="12" customHeight="1" x14ac:dyDescent="0.2">
      <c r="AQ4341" s="32"/>
    </row>
    <row r="4342" spans="43:43" ht="12" customHeight="1" x14ac:dyDescent="0.2">
      <c r="AQ4342" s="32"/>
    </row>
    <row r="4343" spans="43:43" ht="12" customHeight="1" x14ac:dyDescent="0.2">
      <c r="AQ4343" s="32"/>
    </row>
    <row r="4344" spans="43:43" ht="12" customHeight="1" x14ac:dyDescent="0.2">
      <c r="AQ4344" s="32"/>
    </row>
    <row r="4345" spans="43:43" ht="12" customHeight="1" x14ac:dyDescent="0.2">
      <c r="AQ4345" s="32"/>
    </row>
    <row r="4346" spans="43:43" ht="12" customHeight="1" x14ac:dyDescent="0.2">
      <c r="AQ4346" s="32"/>
    </row>
    <row r="4347" spans="43:43" ht="12" customHeight="1" x14ac:dyDescent="0.2">
      <c r="AQ4347" s="32"/>
    </row>
    <row r="4348" spans="43:43" ht="12" customHeight="1" x14ac:dyDescent="0.2">
      <c r="AQ4348" s="32"/>
    </row>
    <row r="4349" spans="43:43" ht="12" customHeight="1" x14ac:dyDescent="0.2">
      <c r="AQ4349" s="32"/>
    </row>
    <row r="4350" spans="43:43" ht="12" customHeight="1" x14ac:dyDescent="0.2">
      <c r="AQ4350" s="32"/>
    </row>
    <row r="4351" spans="43:43" ht="12" customHeight="1" x14ac:dyDescent="0.2">
      <c r="AQ4351" s="32"/>
    </row>
    <row r="4352" spans="43:43" ht="12" customHeight="1" x14ac:dyDescent="0.2">
      <c r="AQ4352" s="32"/>
    </row>
    <row r="4353" spans="43:43" ht="12" customHeight="1" x14ac:dyDescent="0.2">
      <c r="AQ4353" s="32"/>
    </row>
    <row r="4354" spans="43:43" ht="12" customHeight="1" x14ac:dyDescent="0.2">
      <c r="AQ4354" s="32"/>
    </row>
    <row r="4355" spans="43:43" ht="12" customHeight="1" x14ac:dyDescent="0.2">
      <c r="AQ4355" s="32"/>
    </row>
    <row r="4356" spans="43:43" ht="12" customHeight="1" x14ac:dyDescent="0.2">
      <c r="AQ4356" s="32"/>
    </row>
    <row r="4357" spans="43:43" ht="12" customHeight="1" x14ac:dyDescent="0.2">
      <c r="AQ4357" s="32"/>
    </row>
    <row r="4358" spans="43:43" ht="12" customHeight="1" x14ac:dyDescent="0.2">
      <c r="AQ4358" s="32"/>
    </row>
    <row r="4359" spans="43:43" ht="12" customHeight="1" x14ac:dyDescent="0.2">
      <c r="AQ4359" s="32"/>
    </row>
    <row r="4360" spans="43:43" ht="12" customHeight="1" x14ac:dyDescent="0.2">
      <c r="AQ4360" s="32"/>
    </row>
    <row r="4361" spans="43:43" ht="12" customHeight="1" x14ac:dyDescent="0.2">
      <c r="AQ4361" s="32"/>
    </row>
    <row r="4362" spans="43:43" ht="12" customHeight="1" x14ac:dyDescent="0.2">
      <c r="AQ4362" s="32"/>
    </row>
    <row r="4363" spans="43:43" ht="12" customHeight="1" x14ac:dyDescent="0.2">
      <c r="AQ4363" s="32"/>
    </row>
    <row r="4364" spans="43:43" ht="12" customHeight="1" x14ac:dyDescent="0.2">
      <c r="AQ4364" s="32"/>
    </row>
    <row r="4365" spans="43:43" ht="12" customHeight="1" x14ac:dyDescent="0.2">
      <c r="AQ4365" s="32"/>
    </row>
    <row r="4366" spans="43:43" ht="12" customHeight="1" x14ac:dyDescent="0.2">
      <c r="AQ4366" s="32"/>
    </row>
    <row r="4367" spans="43:43" ht="12" customHeight="1" x14ac:dyDescent="0.2">
      <c r="AQ4367" s="32"/>
    </row>
    <row r="4368" spans="43:43" ht="12" customHeight="1" x14ac:dyDescent="0.2">
      <c r="AQ4368" s="32"/>
    </row>
    <row r="4369" spans="43:43" ht="12" customHeight="1" x14ac:dyDescent="0.2">
      <c r="AQ4369" s="32"/>
    </row>
    <row r="4370" spans="43:43" ht="12" customHeight="1" x14ac:dyDescent="0.2">
      <c r="AQ4370" s="32"/>
    </row>
    <row r="4371" spans="43:43" ht="12" customHeight="1" x14ac:dyDescent="0.2">
      <c r="AQ4371" s="32"/>
    </row>
    <row r="4372" spans="43:43" ht="12" customHeight="1" x14ac:dyDescent="0.2">
      <c r="AQ4372" s="32"/>
    </row>
    <row r="4373" spans="43:43" ht="12" customHeight="1" x14ac:dyDescent="0.2">
      <c r="AQ4373" s="32"/>
    </row>
    <row r="4374" spans="43:43" ht="12" customHeight="1" x14ac:dyDescent="0.2">
      <c r="AQ4374" s="32"/>
    </row>
    <row r="4375" spans="43:43" ht="12" customHeight="1" x14ac:dyDescent="0.2">
      <c r="AQ4375" s="32"/>
    </row>
    <row r="4376" spans="43:43" ht="12" customHeight="1" x14ac:dyDescent="0.2">
      <c r="AQ4376" s="32"/>
    </row>
    <row r="4377" spans="43:43" ht="12" customHeight="1" x14ac:dyDescent="0.2">
      <c r="AQ4377" s="32"/>
    </row>
    <row r="4378" spans="43:43" ht="12" customHeight="1" x14ac:dyDescent="0.2">
      <c r="AQ4378" s="32"/>
    </row>
    <row r="4379" spans="43:43" ht="12" customHeight="1" x14ac:dyDescent="0.2">
      <c r="AQ4379" s="32"/>
    </row>
    <row r="4380" spans="43:43" ht="12" customHeight="1" x14ac:dyDescent="0.2">
      <c r="AQ4380" s="32"/>
    </row>
    <row r="4381" spans="43:43" ht="12" customHeight="1" x14ac:dyDescent="0.2">
      <c r="AQ4381" s="32"/>
    </row>
    <row r="4382" spans="43:43" ht="12" customHeight="1" x14ac:dyDescent="0.2">
      <c r="AQ4382" s="32"/>
    </row>
    <row r="4383" spans="43:43" ht="12" customHeight="1" x14ac:dyDescent="0.2">
      <c r="AQ4383" s="32"/>
    </row>
    <row r="4384" spans="43:43" ht="12" customHeight="1" x14ac:dyDescent="0.2">
      <c r="AQ4384" s="32"/>
    </row>
    <row r="4385" spans="43:43" ht="12" customHeight="1" x14ac:dyDescent="0.2">
      <c r="AQ4385" s="32"/>
    </row>
    <row r="4386" spans="43:43" ht="12" customHeight="1" x14ac:dyDescent="0.2">
      <c r="AQ4386" s="32"/>
    </row>
    <row r="4387" spans="43:43" ht="12" customHeight="1" x14ac:dyDescent="0.2">
      <c r="AQ4387" s="32"/>
    </row>
    <row r="4388" spans="43:43" ht="12" customHeight="1" x14ac:dyDescent="0.2">
      <c r="AQ4388" s="32"/>
    </row>
    <row r="4389" spans="43:43" ht="12" customHeight="1" x14ac:dyDescent="0.2">
      <c r="AQ4389" s="32"/>
    </row>
    <row r="4390" spans="43:43" ht="12" customHeight="1" x14ac:dyDescent="0.2">
      <c r="AQ4390" s="32"/>
    </row>
    <row r="4391" spans="43:43" ht="12" customHeight="1" x14ac:dyDescent="0.2">
      <c r="AQ4391" s="32"/>
    </row>
    <row r="4392" spans="43:43" ht="12" customHeight="1" x14ac:dyDescent="0.2">
      <c r="AQ4392" s="32"/>
    </row>
    <row r="4393" spans="43:43" ht="12" customHeight="1" x14ac:dyDescent="0.2">
      <c r="AQ4393" s="32"/>
    </row>
    <row r="4394" spans="43:43" ht="12" customHeight="1" x14ac:dyDescent="0.2">
      <c r="AQ4394" s="32"/>
    </row>
    <row r="4395" spans="43:43" ht="12" customHeight="1" x14ac:dyDescent="0.2">
      <c r="AQ4395" s="32"/>
    </row>
    <row r="4396" spans="43:43" ht="12" customHeight="1" x14ac:dyDescent="0.2">
      <c r="AQ4396" s="32"/>
    </row>
    <row r="4397" spans="43:43" ht="12" customHeight="1" x14ac:dyDescent="0.2">
      <c r="AQ4397" s="32"/>
    </row>
    <row r="4398" spans="43:43" ht="12" customHeight="1" x14ac:dyDescent="0.2">
      <c r="AQ4398" s="32"/>
    </row>
    <row r="4399" spans="43:43" ht="12" customHeight="1" x14ac:dyDescent="0.2">
      <c r="AQ4399" s="32"/>
    </row>
    <row r="4400" spans="43:43" ht="12" customHeight="1" x14ac:dyDescent="0.2">
      <c r="AQ4400" s="32"/>
    </row>
    <row r="4401" spans="43:43" ht="12" customHeight="1" x14ac:dyDescent="0.2">
      <c r="AQ4401" s="32"/>
    </row>
    <row r="4402" spans="43:43" ht="12" customHeight="1" x14ac:dyDescent="0.2">
      <c r="AQ4402" s="32"/>
    </row>
    <row r="4403" spans="43:43" ht="12" customHeight="1" x14ac:dyDescent="0.2">
      <c r="AQ4403" s="32"/>
    </row>
    <row r="4404" spans="43:43" ht="12" customHeight="1" x14ac:dyDescent="0.2">
      <c r="AQ4404" s="32"/>
    </row>
    <row r="4405" spans="43:43" ht="12" customHeight="1" x14ac:dyDescent="0.2">
      <c r="AQ4405" s="32"/>
    </row>
    <row r="4406" spans="43:43" ht="12" customHeight="1" x14ac:dyDescent="0.2">
      <c r="AQ4406" s="32"/>
    </row>
    <row r="4407" spans="43:43" ht="12" customHeight="1" x14ac:dyDescent="0.2">
      <c r="AQ4407" s="32"/>
    </row>
    <row r="4408" spans="43:43" ht="12" customHeight="1" x14ac:dyDescent="0.2">
      <c r="AQ4408" s="32"/>
    </row>
    <row r="4409" spans="43:43" ht="12" customHeight="1" x14ac:dyDescent="0.2">
      <c r="AQ4409" s="32"/>
    </row>
    <row r="4410" spans="43:43" ht="12" customHeight="1" x14ac:dyDescent="0.2">
      <c r="AQ4410" s="32"/>
    </row>
    <row r="4411" spans="43:43" ht="12" customHeight="1" x14ac:dyDescent="0.2">
      <c r="AQ4411" s="32"/>
    </row>
    <row r="4412" spans="43:43" ht="12" customHeight="1" x14ac:dyDescent="0.2">
      <c r="AQ4412" s="32"/>
    </row>
    <row r="4413" spans="43:43" ht="12" customHeight="1" x14ac:dyDescent="0.2">
      <c r="AQ4413" s="32"/>
    </row>
    <row r="4414" spans="43:43" ht="12" customHeight="1" x14ac:dyDescent="0.2">
      <c r="AQ4414" s="32"/>
    </row>
    <row r="4415" spans="43:43" ht="12" customHeight="1" x14ac:dyDescent="0.2">
      <c r="AQ4415" s="32"/>
    </row>
    <row r="4416" spans="43:43" ht="12" customHeight="1" x14ac:dyDescent="0.2">
      <c r="AQ4416" s="32"/>
    </row>
    <row r="4417" spans="43:43" ht="12" customHeight="1" x14ac:dyDescent="0.2">
      <c r="AQ4417" s="32"/>
    </row>
    <row r="4418" spans="43:43" ht="12" customHeight="1" x14ac:dyDescent="0.2">
      <c r="AQ4418" s="32"/>
    </row>
    <row r="4419" spans="43:43" ht="12" customHeight="1" x14ac:dyDescent="0.2">
      <c r="AQ4419" s="32"/>
    </row>
    <row r="4420" spans="43:43" ht="12" customHeight="1" x14ac:dyDescent="0.2">
      <c r="AQ4420" s="32"/>
    </row>
    <row r="4421" spans="43:43" ht="12" customHeight="1" x14ac:dyDescent="0.2">
      <c r="AQ4421" s="32"/>
    </row>
    <row r="4422" spans="43:43" ht="12" customHeight="1" x14ac:dyDescent="0.2">
      <c r="AQ4422" s="32"/>
    </row>
    <row r="4423" spans="43:43" ht="12" customHeight="1" x14ac:dyDescent="0.2">
      <c r="AQ4423" s="32"/>
    </row>
    <row r="4424" spans="43:43" ht="12" customHeight="1" x14ac:dyDescent="0.2">
      <c r="AQ4424" s="32"/>
    </row>
    <row r="4425" spans="43:43" ht="12" customHeight="1" x14ac:dyDescent="0.2">
      <c r="AQ4425" s="32"/>
    </row>
    <row r="4426" spans="43:43" ht="12" customHeight="1" x14ac:dyDescent="0.2">
      <c r="AQ4426" s="32"/>
    </row>
    <row r="4427" spans="43:43" ht="12" customHeight="1" x14ac:dyDescent="0.2">
      <c r="AQ4427" s="32"/>
    </row>
    <row r="4428" spans="43:43" ht="12" customHeight="1" x14ac:dyDescent="0.2">
      <c r="AQ4428" s="32"/>
    </row>
    <row r="4429" spans="43:43" ht="12" customHeight="1" x14ac:dyDescent="0.2">
      <c r="AQ4429" s="32"/>
    </row>
    <row r="4430" spans="43:43" ht="12" customHeight="1" x14ac:dyDescent="0.2">
      <c r="AQ4430" s="32"/>
    </row>
    <row r="4431" spans="43:43" ht="12" customHeight="1" x14ac:dyDescent="0.2">
      <c r="AQ4431" s="32"/>
    </row>
    <row r="4432" spans="43:43" ht="12" customHeight="1" x14ac:dyDescent="0.2">
      <c r="AQ4432" s="32"/>
    </row>
    <row r="4433" spans="43:43" ht="12" customHeight="1" x14ac:dyDescent="0.2">
      <c r="AQ4433" s="32"/>
    </row>
    <row r="4434" spans="43:43" ht="12" customHeight="1" x14ac:dyDescent="0.2">
      <c r="AQ4434" s="32"/>
    </row>
    <row r="4435" spans="43:43" ht="12" customHeight="1" x14ac:dyDescent="0.2">
      <c r="AQ4435" s="32"/>
    </row>
    <row r="4436" spans="43:43" ht="12" customHeight="1" x14ac:dyDescent="0.2">
      <c r="AQ4436" s="32"/>
    </row>
    <row r="4437" spans="43:43" ht="12" customHeight="1" x14ac:dyDescent="0.2">
      <c r="AQ4437" s="32"/>
    </row>
    <row r="4438" spans="43:43" ht="12" customHeight="1" x14ac:dyDescent="0.2">
      <c r="AQ4438" s="32"/>
    </row>
    <row r="4439" spans="43:43" ht="12" customHeight="1" x14ac:dyDescent="0.2">
      <c r="AQ4439" s="32"/>
    </row>
    <row r="4440" spans="43:43" ht="12" customHeight="1" x14ac:dyDescent="0.2">
      <c r="AQ4440" s="32"/>
    </row>
    <row r="4441" spans="43:43" ht="12" customHeight="1" x14ac:dyDescent="0.2">
      <c r="AQ4441" s="32"/>
    </row>
    <row r="4442" spans="43:43" ht="12" customHeight="1" x14ac:dyDescent="0.2">
      <c r="AQ4442" s="32"/>
    </row>
    <row r="4443" spans="43:43" ht="12" customHeight="1" x14ac:dyDescent="0.2">
      <c r="AQ4443" s="32"/>
    </row>
    <row r="4444" spans="43:43" ht="12" customHeight="1" x14ac:dyDescent="0.2">
      <c r="AQ4444" s="32"/>
    </row>
    <row r="4445" spans="43:43" ht="12" customHeight="1" x14ac:dyDescent="0.2">
      <c r="AQ4445" s="32"/>
    </row>
    <row r="4446" spans="43:43" ht="12" customHeight="1" x14ac:dyDescent="0.2">
      <c r="AQ4446" s="32"/>
    </row>
    <row r="4447" spans="43:43" ht="12" customHeight="1" x14ac:dyDescent="0.2">
      <c r="AQ4447" s="32"/>
    </row>
    <row r="4448" spans="43:43" ht="12" customHeight="1" x14ac:dyDescent="0.2">
      <c r="AQ4448" s="32"/>
    </row>
    <row r="4449" spans="43:43" ht="12" customHeight="1" x14ac:dyDescent="0.2">
      <c r="AQ4449" s="32"/>
    </row>
    <row r="4450" spans="43:43" ht="12" customHeight="1" x14ac:dyDescent="0.2">
      <c r="AQ4450" s="32"/>
    </row>
    <row r="4451" spans="43:43" ht="12" customHeight="1" x14ac:dyDescent="0.2">
      <c r="AQ4451" s="32"/>
    </row>
    <row r="4452" spans="43:43" ht="12" customHeight="1" x14ac:dyDescent="0.2">
      <c r="AQ4452" s="32"/>
    </row>
    <row r="4453" spans="43:43" ht="12" customHeight="1" x14ac:dyDescent="0.2">
      <c r="AQ4453" s="32"/>
    </row>
    <row r="4454" spans="43:43" ht="12" customHeight="1" x14ac:dyDescent="0.2">
      <c r="AQ4454" s="32"/>
    </row>
    <row r="4455" spans="43:43" ht="12" customHeight="1" x14ac:dyDescent="0.2">
      <c r="AQ4455" s="32"/>
    </row>
    <row r="4456" spans="43:43" ht="12" customHeight="1" x14ac:dyDescent="0.2">
      <c r="AQ4456" s="32"/>
    </row>
    <row r="4457" spans="43:43" ht="12" customHeight="1" x14ac:dyDescent="0.2">
      <c r="AQ4457" s="32"/>
    </row>
    <row r="4458" spans="43:43" ht="12" customHeight="1" x14ac:dyDescent="0.2">
      <c r="AQ4458" s="32"/>
    </row>
    <row r="4459" spans="43:43" ht="12" customHeight="1" x14ac:dyDescent="0.2">
      <c r="AQ4459" s="32"/>
    </row>
    <row r="4460" spans="43:43" ht="12" customHeight="1" x14ac:dyDescent="0.2">
      <c r="AQ4460" s="32"/>
    </row>
    <row r="4461" spans="43:43" ht="12" customHeight="1" x14ac:dyDescent="0.2">
      <c r="AQ4461" s="32"/>
    </row>
    <row r="4462" spans="43:43" ht="12" customHeight="1" x14ac:dyDescent="0.2">
      <c r="AQ4462" s="32"/>
    </row>
    <row r="4463" spans="43:43" ht="12" customHeight="1" x14ac:dyDescent="0.2">
      <c r="AQ4463" s="32"/>
    </row>
    <row r="4464" spans="43:43" ht="12" customHeight="1" x14ac:dyDescent="0.2">
      <c r="AQ4464" s="32"/>
    </row>
    <row r="4465" spans="43:43" ht="12" customHeight="1" x14ac:dyDescent="0.2">
      <c r="AQ4465" s="32"/>
    </row>
    <row r="4466" spans="43:43" ht="12" customHeight="1" x14ac:dyDescent="0.2">
      <c r="AQ4466" s="32"/>
    </row>
    <row r="4467" spans="43:43" ht="12" customHeight="1" x14ac:dyDescent="0.2">
      <c r="AQ4467" s="32"/>
    </row>
    <row r="4468" spans="43:43" ht="12" customHeight="1" x14ac:dyDescent="0.2">
      <c r="AQ4468" s="32"/>
    </row>
    <row r="4469" spans="43:43" ht="12" customHeight="1" x14ac:dyDescent="0.2">
      <c r="AQ4469" s="32"/>
    </row>
    <row r="4470" spans="43:43" ht="12" customHeight="1" x14ac:dyDescent="0.2">
      <c r="AQ4470" s="32"/>
    </row>
    <row r="4471" spans="43:43" ht="12" customHeight="1" x14ac:dyDescent="0.2">
      <c r="AQ4471" s="32"/>
    </row>
    <row r="4472" spans="43:43" ht="12" customHeight="1" x14ac:dyDescent="0.2">
      <c r="AQ4472" s="32"/>
    </row>
    <row r="4473" spans="43:43" ht="12" customHeight="1" x14ac:dyDescent="0.2">
      <c r="AQ4473" s="32"/>
    </row>
    <row r="4474" spans="43:43" ht="12" customHeight="1" x14ac:dyDescent="0.2">
      <c r="AQ4474" s="32"/>
    </row>
    <row r="4475" spans="43:43" ht="12" customHeight="1" x14ac:dyDescent="0.2">
      <c r="AQ4475" s="32"/>
    </row>
    <row r="4476" spans="43:43" ht="12" customHeight="1" x14ac:dyDescent="0.2">
      <c r="AQ4476" s="32"/>
    </row>
    <row r="4477" spans="43:43" ht="12" customHeight="1" x14ac:dyDescent="0.2">
      <c r="AQ4477" s="32"/>
    </row>
    <row r="4478" spans="43:43" ht="12" customHeight="1" x14ac:dyDescent="0.2">
      <c r="AQ4478" s="32"/>
    </row>
    <row r="4479" spans="43:43" ht="12" customHeight="1" x14ac:dyDescent="0.2">
      <c r="AQ4479" s="32"/>
    </row>
    <row r="4480" spans="43:43" ht="12" customHeight="1" x14ac:dyDescent="0.2">
      <c r="AQ4480" s="32"/>
    </row>
    <row r="4481" spans="43:43" ht="12" customHeight="1" x14ac:dyDescent="0.2">
      <c r="AQ4481" s="32"/>
    </row>
    <row r="4482" spans="43:43" ht="12" customHeight="1" x14ac:dyDescent="0.2">
      <c r="AQ4482" s="32"/>
    </row>
    <row r="4483" spans="43:43" ht="12" customHeight="1" x14ac:dyDescent="0.2">
      <c r="AQ4483" s="32"/>
    </row>
    <row r="4484" spans="43:43" ht="12" customHeight="1" x14ac:dyDescent="0.2">
      <c r="AQ4484" s="32"/>
    </row>
    <row r="4485" spans="43:43" ht="12" customHeight="1" x14ac:dyDescent="0.2">
      <c r="AQ4485" s="32"/>
    </row>
    <row r="4486" spans="43:43" ht="12" customHeight="1" x14ac:dyDescent="0.2">
      <c r="AQ4486" s="32"/>
    </row>
    <row r="4487" spans="43:43" ht="12" customHeight="1" x14ac:dyDescent="0.2">
      <c r="AQ4487" s="32"/>
    </row>
    <row r="4488" spans="43:43" ht="12" customHeight="1" x14ac:dyDescent="0.2">
      <c r="AQ4488" s="32"/>
    </row>
    <row r="4489" spans="43:43" ht="12" customHeight="1" x14ac:dyDescent="0.2">
      <c r="AQ4489" s="32"/>
    </row>
    <row r="4490" spans="43:43" ht="12" customHeight="1" x14ac:dyDescent="0.2">
      <c r="AQ4490" s="32"/>
    </row>
    <row r="4491" spans="43:43" ht="12" customHeight="1" x14ac:dyDescent="0.2">
      <c r="AQ4491" s="32"/>
    </row>
    <row r="4492" spans="43:43" ht="12" customHeight="1" x14ac:dyDescent="0.2">
      <c r="AQ4492" s="32"/>
    </row>
    <row r="4493" spans="43:43" ht="12" customHeight="1" x14ac:dyDescent="0.2">
      <c r="AQ4493" s="32"/>
    </row>
    <row r="4494" spans="43:43" ht="12" customHeight="1" x14ac:dyDescent="0.2">
      <c r="AQ4494" s="32"/>
    </row>
    <row r="4495" spans="43:43" ht="12" customHeight="1" x14ac:dyDescent="0.2">
      <c r="AQ4495" s="32"/>
    </row>
    <row r="4496" spans="43:43" ht="12" customHeight="1" x14ac:dyDescent="0.2">
      <c r="AQ4496" s="32"/>
    </row>
    <row r="4497" spans="43:43" ht="12" customHeight="1" x14ac:dyDescent="0.2">
      <c r="AQ4497" s="32"/>
    </row>
    <row r="4498" spans="43:43" ht="12" customHeight="1" x14ac:dyDescent="0.2">
      <c r="AQ4498" s="32"/>
    </row>
    <row r="4499" spans="43:43" ht="12" customHeight="1" x14ac:dyDescent="0.2">
      <c r="AQ4499" s="32"/>
    </row>
    <row r="4500" spans="43:43" ht="12" customHeight="1" x14ac:dyDescent="0.2">
      <c r="AQ4500" s="32"/>
    </row>
    <row r="4501" spans="43:43" ht="12" customHeight="1" x14ac:dyDescent="0.2">
      <c r="AQ4501" s="32"/>
    </row>
    <row r="4502" spans="43:43" ht="12" customHeight="1" x14ac:dyDescent="0.2">
      <c r="AQ4502" s="32"/>
    </row>
    <row r="4503" spans="43:43" ht="12" customHeight="1" x14ac:dyDescent="0.2">
      <c r="AQ4503" s="32"/>
    </row>
    <row r="4504" spans="43:43" ht="12" customHeight="1" x14ac:dyDescent="0.2">
      <c r="AQ4504" s="32"/>
    </row>
    <row r="4505" spans="43:43" ht="12" customHeight="1" x14ac:dyDescent="0.2">
      <c r="AQ4505" s="32"/>
    </row>
    <row r="4506" spans="43:43" ht="12" customHeight="1" x14ac:dyDescent="0.2">
      <c r="AQ4506" s="32"/>
    </row>
    <row r="4507" spans="43:43" ht="12" customHeight="1" x14ac:dyDescent="0.2">
      <c r="AQ4507" s="32"/>
    </row>
    <row r="4508" spans="43:43" ht="12" customHeight="1" x14ac:dyDescent="0.2">
      <c r="AQ4508" s="32"/>
    </row>
    <row r="4509" spans="43:43" ht="12" customHeight="1" x14ac:dyDescent="0.2">
      <c r="AQ4509" s="32"/>
    </row>
    <row r="4510" spans="43:43" ht="12" customHeight="1" x14ac:dyDescent="0.2">
      <c r="AQ4510" s="32"/>
    </row>
    <row r="4511" spans="43:43" ht="12" customHeight="1" x14ac:dyDescent="0.2">
      <c r="AQ4511" s="32"/>
    </row>
    <row r="4512" spans="43:43" ht="12" customHeight="1" x14ac:dyDescent="0.2">
      <c r="AQ4512" s="32"/>
    </row>
    <row r="4513" spans="43:43" ht="12" customHeight="1" x14ac:dyDescent="0.2">
      <c r="AQ4513" s="32"/>
    </row>
    <row r="4514" spans="43:43" ht="12" customHeight="1" x14ac:dyDescent="0.2">
      <c r="AQ4514" s="32"/>
    </row>
    <row r="4515" spans="43:43" ht="12" customHeight="1" x14ac:dyDescent="0.2">
      <c r="AQ4515" s="32"/>
    </row>
    <row r="4516" spans="43:43" ht="12" customHeight="1" x14ac:dyDescent="0.2">
      <c r="AQ4516" s="32"/>
    </row>
    <row r="4517" spans="43:43" ht="12" customHeight="1" x14ac:dyDescent="0.2">
      <c r="AQ4517" s="32"/>
    </row>
    <row r="4518" spans="43:43" ht="12" customHeight="1" x14ac:dyDescent="0.2">
      <c r="AQ4518" s="32"/>
    </row>
    <row r="4519" spans="43:43" ht="12" customHeight="1" x14ac:dyDescent="0.2">
      <c r="AQ4519" s="32"/>
    </row>
    <row r="4520" spans="43:43" ht="12" customHeight="1" x14ac:dyDescent="0.2">
      <c r="AQ4520" s="32"/>
    </row>
    <row r="4521" spans="43:43" ht="12" customHeight="1" x14ac:dyDescent="0.2">
      <c r="AQ4521" s="32"/>
    </row>
    <row r="4522" spans="43:43" ht="12" customHeight="1" x14ac:dyDescent="0.2">
      <c r="AQ4522" s="32"/>
    </row>
    <row r="4523" spans="43:43" ht="12" customHeight="1" x14ac:dyDescent="0.2">
      <c r="AQ4523" s="32"/>
    </row>
    <row r="4524" spans="43:43" ht="12" customHeight="1" x14ac:dyDescent="0.2">
      <c r="AQ4524" s="32"/>
    </row>
    <row r="4525" spans="43:43" ht="12" customHeight="1" x14ac:dyDescent="0.2">
      <c r="AQ4525" s="32"/>
    </row>
    <row r="4526" spans="43:43" ht="12" customHeight="1" x14ac:dyDescent="0.2">
      <c r="AQ4526" s="32"/>
    </row>
    <row r="4527" spans="43:43" ht="12" customHeight="1" x14ac:dyDescent="0.2">
      <c r="AQ4527" s="32"/>
    </row>
    <row r="4528" spans="43:43" ht="12" customHeight="1" x14ac:dyDescent="0.2">
      <c r="AQ4528" s="32"/>
    </row>
    <row r="4529" spans="43:43" ht="12" customHeight="1" x14ac:dyDescent="0.2">
      <c r="AQ4529" s="32"/>
    </row>
    <row r="4530" spans="43:43" ht="12" customHeight="1" x14ac:dyDescent="0.2">
      <c r="AQ4530" s="32"/>
    </row>
    <row r="4531" spans="43:43" ht="12" customHeight="1" x14ac:dyDescent="0.2">
      <c r="AQ4531" s="32"/>
    </row>
    <row r="4532" spans="43:43" ht="12" customHeight="1" x14ac:dyDescent="0.2">
      <c r="AQ4532" s="32"/>
    </row>
    <row r="4533" spans="43:43" ht="12" customHeight="1" x14ac:dyDescent="0.2">
      <c r="AQ4533" s="32"/>
    </row>
    <row r="4534" spans="43:43" ht="12" customHeight="1" x14ac:dyDescent="0.2">
      <c r="AQ4534" s="32"/>
    </row>
    <row r="4535" spans="43:43" ht="12" customHeight="1" x14ac:dyDescent="0.2">
      <c r="AQ4535" s="32"/>
    </row>
    <row r="4536" spans="43:43" ht="12" customHeight="1" x14ac:dyDescent="0.2">
      <c r="AQ4536" s="32"/>
    </row>
    <row r="4537" spans="43:43" ht="12" customHeight="1" x14ac:dyDescent="0.2">
      <c r="AQ4537" s="32"/>
    </row>
    <row r="4538" spans="43:43" ht="12" customHeight="1" x14ac:dyDescent="0.2">
      <c r="AQ4538" s="32"/>
    </row>
    <row r="4539" spans="43:43" ht="12" customHeight="1" x14ac:dyDescent="0.2">
      <c r="AQ4539" s="32"/>
    </row>
    <row r="4540" spans="43:43" ht="12" customHeight="1" x14ac:dyDescent="0.2">
      <c r="AQ4540" s="32"/>
    </row>
    <row r="4541" spans="43:43" ht="12" customHeight="1" x14ac:dyDescent="0.2">
      <c r="AQ4541" s="32"/>
    </row>
    <row r="4542" spans="43:43" ht="12" customHeight="1" x14ac:dyDescent="0.2">
      <c r="AQ4542" s="32"/>
    </row>
    <row r="4543" spans="43:43" ht="12" customHeight="1" x14ac:dyDescent="0.2">
      <c r="AQ4543" s="32"/>
    </row>
    <row r="4544" spans="43:43" ht="12" customHeight="1" x14ac:dyDescent="0.2">
      <c r="AQ4544" s="32"/>
    </row>
    <row r="4545" spans="43:43" ht="12" customHeight="1" x14ac:dyDescent="0.2">
      <c r="AQ4545" s="32"/>
    </row>
    <row r="4546" spans="43:43" ht="12" customHeight="1" x14ac:dyDescent="0.2">
      <c r="AQ4546" s="32"/>
    </row>
    <row r="4547" spans="43:43" ht="12" customHeight="1" x14ac:dyDescent="0.2">
      <c r="AQ4547" s="32"/>
    </row>
    <row r="4548" spans="43:43" ht="12" customHeight="1" x14ac:dyDescent="0.2">
      <c r="AQ4548" s="32"/>
    </row>
    <row r="4549" spans="43:43" ht="12" customHeight="1" x14ac:dyDescent="0.2">
      <c r="AQ4549" s="32"/>
    </row>
    <row r="4550" spans="43:43" ht="12" customHeight="1" x14ac:dyDescent="0.2">
      <c r="AQ4550" s="32"/>
    </row>
    <row r="4551" spans="43:43" ht="12" customHeight="1" x14ac:dyDescent="0.2">
      <c r="AQ4551" s="32"/>
    </row>
    <row r="4552" spans="43:43" ht="12" customHeight="1" x14ac:dyDescent="0.2">
      <c r="AQ4552" s="32"/>
    </row>
    <row r="4553" spans="43:43" ht="12" customHeight="1" x14ac:dyDescent="0.2">
      <c r="AQ4553" s="32"/>
    </row>
    <row r="4554" spans="43:43" ht="12" customHeight="1" x14ac:dyDescent="0.2">
      <c r="AQ4554" s="32"/>
    </row>
    <row r="4555" spans="43:43" ht="12" customHeight="1" x14ac:dyDescent="0.2">
      <c r="AQ4555" s="32"/>
    </row>
    <row r="4556" spans="43:43" ht="12" customHeight="1" x14ac:dyDescent="0.2">
      <c r="AQ4556" s="32"/>
    </row>
    <row r="4557" spans="43:43" ht="12" customHeight="1" x14ac:dyDescent="0.2">
      <c r="AQ4557" s="32"/>
    </row>
    <row r="4558" spans="43:43" ht="12" customHeight="1" x14ac:dyDescent="0.2">
      <c r="AQ4558" s="32"/>
    </row>
    <row r="4559" spans="43:43" ht="12" customHeight="1" x14ac:dyDescent="0.2">
      <c r="AQ4559" s="32"/>
    </row>
    <row r="4560" spans="43:43" ht="12" customHeight="1" x14ac:dyDescent="0.2">
      <c r="AQ4560" s="32"/>
    </row>
    <row r="4561" spans="43:43" ht="12" customHeight="1" x14ac:dyDescent="0.2">
      <c r="AQ4561" s="32"/>
    </row>
    <row r="4562" spans="43:43" ht="12" customHeight="1" x14ac:dyDescent="0.2">
      <c r="AQ4562" s="32"/>
    </row>
    <row r="4563" spans="43:43" ht="12" customHeight="1" x14ac:dyDescent="0.2">
      <c r="AQ4563" s="32"/>
    </row>
    <row r="4564" spans="43:43" ht="12" customHeight="1" x14ac:dyDescent="0.2">
      <c r="AQ4564" s="32"/>
    </row>
    <row r="4565" spans="43:43" ht="12" customHeight="1" x14ac:dyDescent="0.2">
      <c r="AQ4565" s="32"/>
    </row>
    <row r="4566" spans="43:43" ht="12" customHeight="1" x14ac:dyDescent="0.2">
      <c r="AQ4566" s="32"/>
    </row>
    <row r="4567" spans="43:43" ht="12" customHeight="1" x14ac:dyDescent="0.2">
      <c r="AQ4567" s="32"/>
    </row>
    <row r="4568" spans="43:43" ht="12" customHeight="1" x14ac:dyDescent="0.2">
      <c r="AQ4568" s="32"/>
    </row>
    <row r="4569" spans="43:43" ht="12" customHeight="1" x14ac:dyDescent="0.2">
      <c r="AQ4569" s="32"/>
    </row>
    <row r="4570" spans="43:43" ht="12" customHeight="1" x14ac:dyDescent="0.2">
      <c r="AQ4570" s="32"/>
    </row>
    <row r="4571" spans="43:43" ht="12" customHeight="1" x14ac:dyDescent="0.2">
      <c r="AQ4571" s="32"/>
    </row>
    <row r="4572" spans="43:43" ht="12" customHeight="1" x14ac:dyDescent="0.2">
      <c r="AQ4572" s="32"/>
    </row>
    <row r="4573" spans="43:43" ht="12" customHeight="1" x14ac:dyDescent="0.2">
      <c r="AQ4573" s="32"/>
    </row>
    <row r="4574" spans="43:43" ht="12" customHeight="1" x14ac:dyDescent="0.2">
      <c r="AQ4574" s="32"/>
    </row>
    <row r="4575" spans="43:43" ht="12" customHeight="1" x14ac:dyDescent="0.2">
      <c r="AQ4575" s="32"/>
    </row>
    <row r="4576" spans="43:43" ht="12" customHeight="1" x14ac:dyDescent="0.2">
      <c r="AQ4576" s="32"/>
    </row>
    <row r="4577" spans="43:43" ht="12" customHeight="1" x14ac:dyDescent="0.2">
      <c r="AQ4577" s="32"/>
    </row>
    <row r="4578" spans="43:43" ht="12" customHeight="1" x14ac:dyDescent="0.2">
      <c r="AQ4578" s="32"/>
    </row>
    <row r="4579" spans="43:43" ht="12" customHeight="1" x14ac:dyDescent="0.2">
      <c r="AQ4579" s="32"/>
    </row>
    <row r="4580" spans="43:43" ht="12" customHeight="1" x14ac:dyDescent="0.2">
      <c r="AQ4580" s="32"/>
    </row>
    <row r="4581" spans="43:43" ht="12" customHeight="1" x14ac:dyDescent="0.2">
      <c r="AQ4581" s="32"/>
    </row>
    <row r="4582" spans="43:43" ht="12" customHeight="1" x14ac:dyDescent="0.2">
      <c r="AQ4582" s="32"/>
    </row>
    <row r="4583" spans="43:43" ht="12" customHeight="1" x14ac:dyDescent="0.2">
      <c r="AQ4583" s="32"/>
    </row>
    <row r="4584" spans="43:43" ht="12" customHeight="1" x14ac:dyDescent="0.2">
      <c r="AQ4584" s="32"/>
    </row>
    <row r="4585" spans="43:43" ht="12" customHeight="1" x14ac:dyDescent="0.2">
      <c r="AQ4585" s="32"/>
    </row>
    <row r="4586" spans="43:43" ht="12" customHeight="1" x14ac:dyDescent="0.2">
      <c r="AQ4586" s="32"/>
    </row>
    <row r="4587" spans="43:43" ht="12" customHeight="1" x14ac:dyDescent="0.2">
      <c r="AQ4587" s="32"/>
    </row>
    <row r="4588" spans="43:43" ht="12" customHeight="1" x14ac:dyDescent="0.2">
      <c r="AQ4588" s="32"/>
    </row>
    <row r="4589" spans="43:43" ht="12" customHeight="1" x14ac:dyDescent="0.2">
      <c r="AQ4589" s="32"/>
    </row>
    <row r="4590" spans="43:43" ht="12" customHeight="1" x14ac:dyDescent="0.2">
      <c r="AQ4590" s="32"/>
    </row>
    <row r="4591" spans="43:43" ht="12" customHeight="1" x14ac:dyDescent="0.2">
      <c r="AQ4591" s="32"/>
    </row>
    <row r="4592" spans="43:43" ht="12" customHeight="1" x14ac:dyDescent="0.2">
      <c r="AQ4592" s="32"/>
    </row>
    <row r="4593" spans="43:43" ht="12" customHeight="1" x14ac:dyDescent="0.2">
      <c r="AQ4593" s="32"/>
    </row>
    <row r="4594" spans="43:43" ht="12" customHeight="1" x14ac:dyDescent="0.2">
      <c r="AQ4594" s="32"/>
    </row>
    <row r="4595" spans="43:43" ht="12" customHeight="1" x14ac:dyDescent="0.2">
      <c r="AQ4595" s="32"/>
    </row>
    <row r="4596" spans="43:43" ht="12" customHeight="1" x14ac:dyDescent="0.2">
      <c r="AQ4596" s="32"/>
    </row>
    <row r="4597" spans="43:43" ht="12" customHeight="1" x14ac:dyDescent="0.2">
      <c r="AQ4597" s="32"/>
    </row>
    <row r="4598" spans="43:43" ht="12" customHeight="1" x14ac:dyDescent="0.2">
      <c r="AQ4598" s="32"/>
    </row>
    <row r="4599" spans="43:43" ht="12" customHeight="1" x14ac:dyDescent="0.2">
      <c r="AQ4599" s="32"/>
    </row>
    <row r="4600" spans="43:43" ht="12" customHeight="1" x14ac:dyDescent="0.2">
      <c r="AQ4600" s="32"/>
    </row>
    <row r="4601" spans="43:43" ht="12" customHeight="1" x14ac:dyDescent="0.2">
      <c r="AQ4601" s="32"/>
    </row>
    <row r="4602" spans="43:43" ht="12" customHeight="1" x14ac:dyDescent="0.2">
      <c r="AQ4602" s="32"/>
    </row>
    <row r="4603" spans="43:43" ht="12" customHeight="1" x14ac:dyDescent="0.2">
      <c r="AQ4603" s="32"/>
    </row>
    <row r="4604" spans="43:43" ht="12" customHeight="1" x14ac:dyDescent="0.2">
      <c r="AQ4604" s="32"/>
    </row>
    <row r="4605" spans="43:43" ht="12" customHeight="1" x14ac:dyDescent="0.2">
      <c r="AQ4605" s="32"/>
    </row>
    <row r="4606" spans="43:43" ht="12" customHeight="1" x14ac:dyDescent="0.2">
      <c r="AQ4606" s="32"/>
    </row>
    <row r="4607" spans="43:43" ht="12" customHeight="1" x14ac:dyDescent="0.2">
      <c r="AQ4607" s="32"/>
    </row>
    <row r="4608" spans="43:43" ht="12" customHeight="1" x14ac:dyDescent="0.2">
      <c r="AQ4608" s="32"/>
    </row>
    <row r="4609" spans="43:43" ht="12" customHeight="1" x14ac:dyDescent="0.2">
      <c r="AQ4609" s="32"/>
    </row>
    <row r="4610" spans="43:43" ht="12" customHeight="1" x14ac:dyDescent="0.2">
      <c r="AQ4610" s="32"/>
    </row>
    <row r="4611" spans="43:43" ht="12" customHeight="1" x14ac:dyDescent="0.2">
      <c r="AQ4611" s="32"/>
    </row>
    <row r="4612" spans="43:43" ht="12" customHeight="1" x14ac:dyDescent="0.2">
      <c r="AQ4612" s="32"/>
    </row>
    <row r="4613" spans="43:43" ht="12" customHeight="1" x14ac:dyDescent="0.2">
      <c r="AQ4613" s="32"/>
    </row>
    <row r="4614" spans="43:43" ht="12" customHeight="1" x14ac:dyDescent="0.2">
      <c r="AQ4614" s="32"/>
    </row>
    <row r="4615" spans="43:43" ht="12" customHeight="1" x14ac:dyDescent="0.2">
      <c r="AQ4615" s="32"/>
    </row>
    <row r="4616" spans="43:43" ht="12" customHeight="1" x14ac:dyDescent="0.2">
      <c r="AQ4616" s="32"/>
    </row>
    <row r="4617" spans="43:43" ht="12" customHeight="1" x14ac:dyDescent="0.2">
      <c r="AQ4617" s="32"/>
    </row>
    <row r="4618" spans="43:43" ht="12" customHeight="1" x14ac:dyDescent="0.2">
      <c r="AQ4618" s="32"/>
    </row>
    <row r="4619" spans="43:43" ht="12" customHeight="1" x14ac:dyDescent="0.2">
      <c r="AQ4619" s="32"/>
    </row>
    <row r="4620" spans="43:43" ht="12" customHeight="1" x14ac:dyDescent="0.2">
      <c r="AQ4620" s="32"/>
    </row>
    <row r="4621" spans="43:43" ht="12" customHeight="1" x14ac:dyDescent="0.2">
      <c r="AQ4621" s="32"/>
    </row>
    <row r="4622" spans="43:43" ht="12" customHeight="1" x14ac:dyDescent="0.2">
      <c r="AQ4622" s="32"/>
    </row>
    <row r="4623" spans="43:43" ht="12" customHeight="1" x14ac:dyDescent="0.2">
      <c r="AQ4623" s="32"/>
    </row>
    <row r="4624" spans="43:43" ht="12" customHeight="1" x14ac:dyDescent="0.2">
      <c r="AQ4624" s="32"/>
    </row>
    <row r="4625" spans="43:43" ht="12" customHeight="1" x14ac:dyDescent="0.2">
      <c r="AQ4625" s="32"/>
    </row>
    <row r="4626" spans="43:43" ht="12" customHeight="1" x14ac:dyDescent="0.2">
      <c r="AQ4626" s="32"/>
    </row>
    <row r="4627" spans="43:43" ht="12" customHeight="1" x14ac:dyDescent="0.2">
      <c r="AQ4627" s="32"/>
    </row>
    <row r="4628" spans="43:43" ht="12" customHeight="1" x14ac:dyDescent="0.2">
      <c r="AQ4628" s="32"/>
    </row>
    <row r="4629" spans="43:43" ht="12" customHeight="1" x14ac:dyDescent="0.2">
      <c r="AQ4629" s="32"/>
    </row>
    <row r="4630" spans="43:43" ht="12" customHeight="1" x14ac:dyDescent="0.2">
      <c r="AQ4630" s="32"/>
    </row>
    <row r="4631" spans="43:43" ht="12" customHeight="1" x14ac:dyDescent="0.2">
      <c r="AQ4631" s="32"/>
    </row>
    <row r="4632" spans="43:43" ht="12" customHeight="1" x14ac:dyDescent="0.2">
      <c r="AQ4632" s="32"/>
    </row>
    <row r="4633" spans="43:43" ht="12" customHeight="1" x14ac:dyDescent="0.2">
      <c r="AQ4633" s="32"/>
    </row>
    <row r="4634" spans="43:43" ht="12" customHeight="1" x14ac:dyDescent="0.2">
      <c r="AQ4634" s="32"/>
    </row>
    <row r="4635" spans="43:43" ht="12" customHeight="1" x14ac:dyDescent="0.2">
      <c r="AQ4635" s="32"/>
    </row>
    <row r="4636" spans="43:43" ht="12" customHeight="1" x14ac:dyDescent="0.2">
      <c r="AQ4636" s="32"/>
    </row>
    <row r="4637" spans="43:43" ht="12" customHeight="1" x14ac:dyDescent="0.2">
      <c r="AQ4637" s="32"/>
    </row>
    <row r="4638" spans="43:43" ht="12" customHeight="1" x14ac:dyDescent="0.2">
      <c r="AQ4638" s="32"/>
    </row>
    <row r="4639" spans="43:43" ht="12" customHeight="1" x14ac:dyDescent="0.2">
      <c r="AQ4639" s="32"/>
    </row>
    <row r="4640" spans="43:43" ht="12" customHeight="1" x14ac:dyDescent="0.2">
      <c r="AQ4640" s="32"/>
    </row>
    <row r="4641" spans="43:43" ht="12" customHeight="1" x14ac:dyDescent="0.2">
      <c r="AQ4641" s="32"/>
    </row>
    <row r="4642" spans="43:43" ht="12" customHeight="1" x14ac:dyDescent="0.2">
      <c r="AQ4642" s="32"/>
    </row>
    <row r="4643" spans="43:43" ht="12" customHeight="1" x14ac:dyDescent="0.2">
      <c r="AQ4643" s="32"/>
    </row>
    <row r="4644" spans="43:43" ht="12" customHeight="1" x14ac:dyDescent="0.2">
      <c r="AQ4644" s="32"/>
    </row>
    <row r="4645" spans="43:43" ht="12" customHeight="1" x14ac:dyDescent="0.2">
      <c r="AQ4645" s="32"/>
    </row>
    <row r="4646" spans="43:43" ht="12" customHeight="1" x14ac:dyDescent="0.2">
      <c r="AQ4646" s="32"/>
    </row>
    <row r="4647" spans="43:43" ht="12" customHeight="1" x14ac:dyDescent="0.2">
      <c r="AQ4647" s="32"/>
    </row>
    <row r="4648" spans="43:43" ht="12" customHeight="1" x14ac:dyDescent="0.2">
      <c r="AQ4648" s="32"/>
    </row>
    <row r="4649" spans="43:43" ht="12" customHeight="1" x14ac:dyDescent="0.2">
      <c r="AQ4649" s="32"/>
    </row>
    <row r="4650" spans="43:43" ht="12" customHeight="1" x14ac:dyDescent="0.2">
      <c r="AQ4650" s="32"/>
    </row>
    <row r="4651" spans="43:43" ht="12" customHeight="1" x14ac:dyDescent="0.2">
      <c r="AQ4651" s="32"/>
    </row>
    <row r="4652" spans="43:43" ht="12" customHeight="1" x14ac:dyDescent="0.2">
      <c r="AQ4652" s="32"/>
    </row>
    <row r="4653" spans="43:43" ht="12" customHeight="1" x14ac:dyDescent="0.2">
      <c r="AQ4653" s="32"/>
    </row>
    <row r="4654" spans="43:43" ht="12" customHeight="1" x14ac:dyDescent="0.2">
      <c r="AQ4654" s="32"/>
    </row>
    <row r="4655" spans="43:43" ht="12" customHeight="1" x14ac:dyDescent="0.2">
      <c r="AQ4655" s="32"/>
    </row>
    <row r="4656" spans="43:43" ht="12" customHeight="1" x14ac:dyDescent="0.2">
      <c r="AQ4656" s="32"/>
    </row>
    <row r="4657" spans="43:43" ht="12" customHeight="1" x14ac:dyDescent="0.2">
      <c r="AQ4657" s="32"/>
    </row>
    <row r="4658" spans="43:43" ht="12" customHeight="1" x14ac:dyDescent="0.2">
      <c r="AQ4658" s="32"/>
    </row>
    <row r="4659" spans="43:43" ht="12" customHeight="1" x14ac:dyDescent="0.2">
      <c r="AQ4659" s="32"/>
    </row>
    <row r="4660" spans="43:43" ht="12" customHeight="1" x14ac:dyDescent="0.2">
      <c r="AQ4660" s="32"/>
    </row>
    <row r="4661" spans="43:43" ht="12" customHeight="1" x14ac:dyDescent="0.2">
      <c r="AQ4661" s="32"/>
    </row>
    <row r="4662" spans="43:43" ht="12" customHeight="1" x14ac:dyDescent="0.2">
      <c r="AQ4662" s="32"/>
    </row>
    <row r="4663" spans="43:43" ht="12" customHeight="1" x14ac:dyDescent="0.2">
      <c r="AQ4663" s="32"/>
    </row>
    <row r="4664" spans="43:43" ht="12" customHeight="1" x14ac:dyDescent="0.2">
      <c r="AQ4664" s="32"/>
    </row>
    <row r="4665" spans="43:43" ht="12" customHeight="1" x14ac:dyDescent="0.2">
      <c r="AQ4665" s="32"/>
    </row>
    <row r="4666" spans="43:43" ht="12" customHeight="1" x14ac:dyDescent="0.2">
      <c r="AQ4666" s="32"/>
    </row>
    <row r="4667" spans="43:43" ht="12" customHeight="1" x14ac:dyDescent="0.2">
      <c r="AQ4667" s="32"/>
    </row>
    <row r="4668" spans="43:43" ht="12" customHeight="1" x14ac:dyDescent="0.2">
      <c r="AQ4668" s="32"/>
    </row>
    <row r="4669" spans="43:43" ht="12" customHeight="1" x14ac:dyDescent="0.2">
      <c r="AQ4669" s="32"/>
    </row>
    <row r="4670" spans="43:43" ht="12" customHeight="1" x14ac:dyDescent="0.2">
      <c r="AQ4670" s="32"/>
    </row>
    <row r="4671" spans="43:43" ht="12" customHeight="1" x14ac:dyDescent="0.2">
      <c r="AQ4671" s="32"/>
    </row>
    <row r="4672" spans="43:43" ht="12" customHeight="1" x14ac:dyDescent="0.2">
      <c r="AQ4672" s="32"/>
    </row>
    <row r="4673" spans="43:43" ht="12" customHeight="1" x14ac:dyDescent="0.2">
      <c r="AQ4673" s="32"/>
    </row>
    <row r="4674" spans="43:43" ht="12" customHeight="1" x14ac:dyDescent="0.2">
      <c r="AQ4674" s="32"/>
    </row>
    <row r="4675" spans="43:43" ht="12" customHeight="1" x14ac:dyDescent="0.2">
      <c r="AQ4675" s="32"/>
    </row>
    <row r="4676" spans="43:43" ht="12" customHeight="1" x14ac:dyDescent="0.2">
      <c r="AQ4676" s="32"/>
    </row>
    <row r="4677" spans="43:43" ht="12" customHeight="1" x14ac:dyDescent="0.2">
      <c r="AQ4677" s="32"/>
    </row>
    <row r="4678" spans="43:43" ht="12" customHeight="1" x14ac:dyDescent="0.2">
      <c r="AQ4678" s="32"/>
    </row>
    <row r="4679" spans="43:43" ht="12" customHeight="1" x14ac:dyDescent="0.2">
      <c r="AQ4679" s="32"/>
    </row>
    <row r="4680" spans="43:43" ht="12" customHeight="1" x14ac:dyDescent="0.2">
      <c r="AQ4680" s="32"/>
    </row>
    <row r="4681" spans="43:43" ht="12" customHeight="1" x14ac:dyDescent="0.2">
      <c r="AQ4681" s="32"/>
    </row>
    <row r="4682" spans="43:43" ht="12" customHeight="1" x14ac:dyDescent="0.2">
      <c r="AQ4682" s="32"/>
    </row>
    <row r="4683" spans="43:43" ht="12" customHeight="1" x14ac:dyDescent="0.2">
      <c r="AQ4683" s="32"/>
    </row>
    <row r="4684" spans="43:43" ht="12" customHeight="1" x14ac:dyDescent="0.2">
      <c r="AQ4684" s="32"/>
    </row>
    <row r="4685" spans="43:43" ht="12" customHeight="1" x14ac:dyDescent="0.2">
      <c r="AQ4685" s="32"/>
    </row>
    <row r="4686" spans="43:43" ht="12" customHeight="1" x14ac:dyDescent="0.2">
      <c r="AQ4686" s="32"/>
    </row>
    <row r="4687" spans="43:43" ht="12" customHeight="1" x14ac:dyDescent="0.2">
      <c r="AQ4687" s="32"/>
    </row>
    <row r="4688" spans="43:43" ht="12" customHeight="1" x14ac:dyDescent="0.2">
      <c r="AQ4688" s="32"/>
    </row>
    <row r="4689" spans="43:43" ht="12" customHeight="1" x14ac:dyDescent="0.2">
      <c r="AQ4689" s="32"/>
    </row>
    <row r="4690" spans="43:43" ht="12" customHeight="1" x14ac:dyDescent="0.2">
      <c r="AQ4690" s="32"/>
    </row>
    <row r="4691" spans="43:43" ht="12" customHeight="1" x14ac:dyDescent="0.2">
      <c r="AQ4691" s="32"/>
    </row>
    <row r="4692" spans="43:43" ht="12" customHeight="1" x14ac:dyDescent="0.2">
      <c r="AQ4692" s="32"/>
    </row>
    <row r="4693" spans="43:43" ht="12" customHeight="1" x14ac:dyDescent="0.2">
      <c r="AQ4693" s="32"/>
    </row>
    <row r="4694" spans="43:43" ht="12" customHeight="1" x14ac:dyDescent="0.2">
      <c r="AQ4694" s="32"/>
    </row>
    <row r="4695" spans="43:43" ht="12" customHeight="1" x14ac:dyDescent="0.2">
      <c r="AQ4695" s="32"/>
    </row>
    <row r="4696" spans="43:43" ht="12" customHeight="1" x14ac:dyDescent="0.2">
      <c r="AQ4696" s="32"/>
    </row>
    <row r="4697" spans="43:43" ht="12" customHeight="1" x14ac:dyDescent="0.2">
      <c r="AQ4697" s="32"/>
    </row>
    <row r="4698" spans="43:43" ht="12" customHeight="1" x14ac:dyDescent="0.2">
      <c r="AQ4698" s="32"/>
    </row>
    <row r="4699" spans="43:43" ht="12" customHeight="1" x14ac:dyDescent="0.2">
      <c r="AQ4699" s="32"/>
    </row>
    <row r="4700" spans="43:43" ht="12" customHeight="1" x14ac:dyDescent="0.2">
      <c r="AQ4700" s="32"/>
    </row>
    <row r="4701" spans="43:43" ht="12" customHeight="1" x14ac:dyDescent="0.2">
      <c r="AQ4701" s="32"/>
    </row>
    <row r="4702" spans="43:43" ht="12" customHeight="1" x14ac:dyDescent="0.2">
      <c r="AQ4702" s="32"/>
    </row>
    <row r="4703" spans="43:43" ht="12" customHeight="1" x14ac:dyDescent="0.2">
      <c r="AQ4703" s="32"/>
    </row>
    <row r="4704" spans="43:43" ht="12" customHeight="1" x14ac:dyDescent="0.2">
      <c r="AQ4704" s="32"/>
    </row>
    <row r="4705" spans="43:43" ht="12" customHeight="1" x14ac:dyDescent="0.2">
      <c r="AQ4705" s="32"/>
    </row>
    <row r="4706" spans="43:43" ht="12" customHeight="1" x14ac:dyDescent="0.2">
      <c r="AQ4706" s="32"/>
    </row>
    <row r="4707" spans="43:43" ht="12" customHeight="1" x14ac:dyDescent="0.2">
      <c r="AQ4707" s="32"/>
    </row>
    <row r="4708" spans="43:43" ht="12" customHeight="1" x14ac:dyDescent="0.2">
      <c r="AQ4708" s="32"/>
    </row>
    <row r="4709" spans="43:43" ht="12" customHeight="1" x14ac:dyDescent="0.2">
      <c r="AQ4709" s="32"/>
    </row>
    <row r="4710" spans="43:43" ht="12" customHeight="1" x14ac:dyDescent="0.2">
      <c r="AQ4710" s="32"/>
    </row>
    <row r="4711" spans="43:43" ht="12" customHeight="1" x14ac:dyDescent="0.2">
      <c r="AQ4711" s="32"/>
    </row>
    <row r="4712" spans="43:43" ht="12" customHeight="1" x14ac:dyDescent="0.2">
      <c r="AQ4712" s="32"/>
    </row>
    <row r="4713" spans="43:43" ht="12" customHeight="1" x14ac:dyDescent="0.2">
      <c r="AQ4713" s="32"/>
    </row>
    <row r="4714" spans="43:43" ht="12" customHeight="1" x14ac:dyDescent="0.2">
      <c r="AQ4714" s="32"/>
    </row>
    <row r="4715" spans="43:43" ht="12" customHeight="1" x14ac:dyDescent="0.2">
      <c r="AQ4715" s="32"/>
    </row>
    <row r="4716" spans="43:43" ht="12" customHeight="1" x14ac:dyDescent="0.2">
      <c r="AQ4716" s="32"/>
    </row>
    <row r="4717" spans="43:43" ht="12" customHeight="1" x14ac:dyDescent="0.2">
      <c r="AQ4717" s="32"/>
    </row>
    <row r="4718" spans="43:43" ht="12" customHeight="1" x14ac:dyDescent="0.2">
      <c r="AQ4718" s="32"/>
    </row>
    <row r="4719" spans="43:43" ht="12" customHeight="1" x14ac:dyDescent="0.2">
      <c r="AQ4719" s="32"/>
    </row>
    <row r="4720" spans="43:43" ht="12" customHeight="1" x14ac:dyDescent="0.2">
      <c r="AQ4720" s="32"/>
    </row>
    <row r="4721" spans="43:43" ht="12" customHeight="1" x14ac:dyDescent="0.2">
      <c r="AQ4721" s="32"/>
    </row>
    <row r="4722" spans="43:43" ht="12" customHeight="1" x14ac:dyDescent="0.2">
      <c r="AQ4722" s="32"/>
    </row>
    <row r="4723" spans="43:43" ht="12" customHeight="1" x14ac:dyDescent="0.2">
      <c r="AQ4723" s="32"/>
    </row>
    <row r="4724" spans="43:43" ht="12" customHeight="1" x14ac:dyDescent="0.2">
      <c r="AQ4724" s="32"/>
    </row>
    <row r="4725" spans="43:43" ht="12" customHeight="1" x14ac:dyDescent="0.2">
      <c r="AQ4725" s="32"/>
    </row>
    <row r="4726" spans="43:43" ht="12" customHeight="1" x14ac:dyDescent="0.2">
      <c r="AQ4726" s="32"/>
    </row>
    <row r="4727" spans="43:43" ht="12" customHeight="1" x14ac:dyDescent="0.2">
      <c r="AQ4727" s="32"/>
    </row>
    <row r="4728" spans="43:43" ht="12" customHeight="1" x14ac:dyDescent="0.2">
      <c r="AQ4728" s="32"/>
    </row>
    <row r="4729" spans="43:43" ht="12" customHeight="1" x14ac:dyDescent="0.2">
      <c r="AQ4729" s="32"/>
    </row>
    <row r="4730" spans="43:43" ht="12" customHeight="1" x14ac:dyDescent="0.2">
      <c r="AQ4730" s="32"/>
    </row>
    <row r="4731" spans="43:43" ht="12" customHeight="1" x14ac:dyDescent="0.2">
      <c r="AQ4731" s="32"/>
    </row>
    <row r="4732" spans="43:43" ht="12" customHeight="1" x14ac:dyDescent="0.2">
      <c r="AQ4732" s="32"/>
    </row>
    <row r="4733" spans="43:43" ht="12" customHeight="1" x14ac:dyDescent="0.2">
      <c r="AQ4733" s="32"/>
    </row>
    <row r="4734" spans="43:43" ht="12" customHeight="1" x14ac:dyDescent="0.2">
      <c r="AQ4734" s="32"/>
    </row>
    <row r="4735" spans="43:43" ht="12" customHeight="1" x14ac:dyDescent="0.2">
      <c r="AQ4735" s="32"/>
    </row>
    <row r="4736" spans="43:43" ht="12" customHeight="1" x14ac:dyDescent="0.2">
      <c r="AQ4736" s="32"/>
    </row>
    <row r="4737" spans="43:43" ht="12" customHeight="1" x14ac:dyDescent="0.2">
      <c r="AQ4737" s="32"/>
    </row>
    <row r="4738" spans="43:43" ht="12" customHeight="1" x14ac:dyDescent="0.2">
      <c r="AQ4738" s="32"/>
    </row>
    <row r="4739" spans="43:43" ht="12" customHeight="1" x14ac:dyDescent="0.2">
      <c r="AQ4739" s="32"/>
    </row>
    <row r="4740" spans="43:43" ht="12" customHeight="1" x14ac:dyDescent="0.2">
      <c r="AQ4740" s="32"/>
    </row>
    <row r="4741" spans="43:43" ht="12" customHeight="1" x14ac:dyDescent="0.2">
      <c r="AQ4741" s="32"/>
    </row>
    <row r="4742" spans="43:43" ht="12" customHeight="1" x14ac:dyDescent="0.2">
      <c r="AQ4742" s="32"/>
    </row>
    <row r="4743" spans="43:43" ht="12" customHeight="1" x14ac:dyDescent="0.2">
      <c r="AQ4743" s="32"/>
    </row>
    <row r="4744" spans="43:43" ht="12" customHeight="1" x14ac:dyDescent="0.2">
      <c r="AQ4744" s="32"/>
    </row>
    <row r="4745" spans="43:43" ht="12" customHeight="1" x14ac:dyDescent="0.2">
      <c r="AQ4745" s="32"/>
    </row>
    <row r="4746" spans="43:43" ht="12" customHeight="1" x14ac:dyDescent="0.2">
      <c r="AQ4746" s="32"/>
    </row>
    <row r="4747" spans="43:43" ht="12" customHeight="1" x14ac:dyDescent="0.2">
      <c r="AQ4747" s="32"/>
    </row>
    <row r="4748" spans="43:43" ht="12" customHeight="1" x14ac:dyDescent="0.2">
      <c r="AQ4748" s="32"/>
    </row>
    <row r="4749" spans="43:43" ht="12" customHeight="1" x14ac:dyDescent="0.2">
      <c r="AQ4749" s="32"/>
    </row>
    <row r="4750" spans="43:43" ht="12" customHeight="1" x14ac:dyDescent="0.2">
      <c r="AQ4750" s="32"/>
    </row>
    <row r="4751" spans="43:43" ht="12" customHeight="1" x14ac:dyDescent="0.2">
      <c r="AQ4751" s="32"/>
    </row>
    <row r="4752" spans="43:43" ht="12" customHeight="1" x14ac:dyDescent="0.2">
      <c r="AQ4752" s="32"/>
    </row>
    <row r="4753" spans="43:43" ht="12" customHeight="1" x14ac:dyDescent="0.2">
      <c r="AQ4753" s="32"/>
    </row>
    <row r="4754" spans="43:43" ht="12" customHeight="1" x14ac:dyDescent="0.2">
      <c r="AQ4754" s="32"/>
    </row>
    <row r="4755" spans="43:43" ht="12" customHeight="1" x14ac:dyDescent="0.2">
      <c r="AQ4755" s="32"/>
    </row>
    <row r="4756" spans="43:43" ht="12" customHeight="1" x14ac:dyDescent="0.2">
      <c r="AQ4756" s="32"/>
    </row>
    <row r="4757" spans="43:43" ht="12" customHeight="1" x14ac:dyDescent="0.2">
      <c r="AQ4757" s="32"/>
    </row>
    <row r="4758" spans="43:43" ht="12" customHeight="1" x14ac:dyDescent="0.2">
      <c r="AQ4758" s="32"/>
    </row>
    <row r="4759" spans="43:43" ht="12" customHeight="1" x14ac:dyDescent="0.2">
      <c r="AQ4759" s="32"/>
    </row>
    <row r="4760" spans="43:43" ht="12" customHeight="1" x14ac:dyDescent="0.2">
      <c r="AQ4760" s="32"/>
    </row>
    <row r="4761" spans="43:43" ht="12" customHeight="1" x14ac:dyDescent="0.2">
      <c r="AQ4761" s="32"/>
    </row>
    <row r="4762" spans="43:43" ht="12" customHeight="1" x14ac:dyDescent="0.2">
      <c r="AQ4762" s="32"/>
    </row>
    <row r="4763" spans="43:43" ht="12" customHeight="1" x14ac:dyDescent="0.2">
      <c r="AQ4763" s="32"/>
    </row>
    <row r="4764" spans="43:43" ht="12" customHeight="1" x14ac:dyDescent="0.2">
      <c r="AQ4764" s="32"/>
    </row>
    <row r="4765" spans="43:43" ht="12" customHeight="1" x14ac:dyDescent="0.2">
      <c r="AQ4765" s="32"/>
    </row>
    <row r="4766" spans="43:43" ht="12" customHeight="1" x14ac:dyDescent="0.2">
      <c r="AQ4766" s="32"/>
    </row>
    <row r="4767" spans="43:43" ht="12" customHeight="1" x14ac:dyDescent="0.2">
      <c r="AQ4767" s="32"/>
    </row>
    <row r="4768" spans="43:43" ht="12" customHeight="1" x14ac:dyDescent="0.2">
      <c r="AQ4768" s="32"/>
    </row>
    <row r="4769" spans="43:43" ht="12" customHeight="1" x14ac:dyDescent="0.2">
      <c r="AQ4769" s="32"/>
    </row>
    <row r="4770" spans="43:43" ht="12" customHeight="1" x14ac:dyDescent="0.2">
      <c r="AQ4770" s="32"/>
    </row>
    <row r="4771" spans="43:43" ht="12" customHeight="1" x14ac:dyDescent="0.2">
      <c r="AQ4771" s="32"/>
    </row>
    <row r="4772" spans="43:43" ht="12" customHeight="1" x14ac:dyDescent="0.2">
      <c r="AQ4772" s="32"/>
    </row>
    <row r="4773" spans="43:43" ht="12" customHeight="1" x14ac:dyDescent="0.2">
      <c r="AQ4773" s="32"/>
    </row>
    <row r="4774" spans="43:43" ht="12" customHeight="1" x14ac:dyDescent="0.2">
      <c r="AQ4774" s="32"/>
    </row>
    <row r="4775" spans="43:43" ht="12" customHeight="1" x14ac:dyDescent="0.2">
      <c r="AQ4775" s="32"/>
    </row>
    <row r="4776" spans="43:43" ht="12" customHeight="1" x14ac:dyDescent="0.2">
      <c r="AQ4776" s="32"/>
    </row>
    <row r="4777" spans="43:43" ht="12" customHeight="1" x14ac:dyDescent="0.2">
      <c r="AQ4777" s="32"/>
    </row>
    <row r="4778" spans="43:43" ht="12" customHeight="1" x14ac:dyDescent="0.2">
      <c r="AQ4778" s="32"/>
    </row>
    <row r="4779" spans="43:43" ht="12" customHeight="1" x14ac:dyDescent="0.2">
      <c r="AQ4779" s="32"/>
    </row>
    <row r="4780" spans="43:43" ht="12" customHeight="1" x14ac:dyDescent="0.2">
      <c r="AQ4780" s="32"/>
    </row>
    <row r="4781" spans="43:43" ht="12" customHeight="1" x14ac:dyDescent="0.2">
      <c r="AQ4781" s="32"/>
    </row>
    <row r="4782" spans="43:43" ht="12" customHeight="1" x14ac:dyDescent="0.2">
      <c r="AQ4782" s="32"/>
    </row>
    <row r="4783" spans="43:43" ht="12" customHeight="1" x14ac:dyDescent="0.2">
      <c r="AQ4783" s="32"/>
    </row>
    <row r="4784" spans="43:43" ht="12" customHeight="1" x14ac:dyDescent="0.2">
      <c r="AQ4784" s="32"/>
    </row>
    <row r="4785" spans="43:43" ht="12" customHeight="1" x14ac:dyDescent="0.2">
      <c r="AQ4785" s="32"/>
    </row>
    <row r="4786" spans="43:43" ht="12" customHeight="1" x14ac:dyDescent="0.2">
      <c r="AQ4786" s="32"/>
    </row>
    <row r="4787" spans="43:43" ht="12" customHeight="1" x14ac:dyDescent="0.2">
      <c r="AQ4787" s="32"/>
    </row>
    <row r="4788" spans="43:43" ht="12" customHeight="1" x14ac:dyDescent="0.2">
      <c r="AQ4788" s="32"/>
    </row>
    <row r="4789" spans="43:43" ht="12" customHeight="1" x14ac:dyDescent="0.2">
      <c r="AQ4789" s="32"/>
    </row>
    <row r="4790" spans="43:43" ht="12" customHeight="1" x14ac:dyDescent="0.2">
      <c r="AQ4790" s="32"/>
    </row>
    <row r="4791" spans="43:43" ht="12" customHeight="1" x14ac:dyDescent="0.2">
      <c r="AQ4791" s="32"/>
    </row>
    <row r="4792" spans="43:43" ht="12" customHeight="1" x14ac:dyDescent="0.2">
      <c r="AQ4792" s="32"/>
    </row>
    <row r="4793" spans="43:43" ht="12" customHeight="1" x14ac:dyDescent="0.2">
      <c r="AQ4793" s="32"/>
    </row>
    <row r="4794" spans="43:43" ht="12" customHeight="1" x14ac:dyDescent="0.2">
      <c r="AQ4794" s="32"/>
    </row>
    <row r="4795" spans="43:43" ht="12" customHeight="1" x14ac:dyDescent="0.2">
      <c r="AQ4795" s="32"/>
    </row>
    <row r="4796" spans="43:43" ht="12" customHeight="1" x14ac:dyDescent="0.2">
      <c r="AQ4796" s="32"/>
    </row>
    <row r="4797" spans="43:43" ht="12" customHeight="1" x14ac:dyDescent="0.2">
      <c r="AQ4797" s="32"/>
    </row>
    <row r="4798" spans="43:43" ht="12" customHeight="1" x14ac:dyDescent="0.2">
      <c r="AQ4798" s="32"/>
    </row>
    <row r="4799" spans="43:43" ht="12" customHeight="1" x14ac:dyDescent="0.2">
      <c r="AQ4799" s="32"/>
    </row>
    <row r="4800" spans="43:43" ht="12" customHeight="1" x14ac:dyDescent="0.2">
      <c r="AQ4800" s="32"/>
    </row>
    <row r="4801" spans="43:43" ht="12" customHeight="1" x14ac:dyDescent="0.2">
      <c r="AQ4801" s="32"/>
    </row>
    <row r="4802" spans="43:43" ht="12" customHeight="1" x14ac:dyDescent="0.2">
      <c r="AQ4802" s="32"/>
    </row>
    <row r="4803" spans="43:43" ht="12" customHeight="1" x14ac:dyDescent="0.2">
      <c r="AQ4803" s="32"/>
    </row>
    <row r="4804" spans="43:43" ht="12" customHeight="1" x14ac:dyDescent="0.2">
      <c r="AQ4804" s="32"/>
    </row>
    <row r="4805" spans="43:43" ht="12" customHeight="1" x14ac:dyDescent="0.2">
      <c r="AQ4805" s="32"/>
    </row>
    <row r="4806" spans="43:43" ht="12" customHeight="1" x14ac:dyDescent="0.2">
      <c r="AQ4806" s="32"/>
    </row>
    <row r="4807" spans="43:43" ht="12" customHeight="1" x14ac:dyDescent="0.2">
      <c r="AQ4807" s="32"/>
    </row>
    <row r="4808" spans="43:43" ht="12" customHeight="1" x14ac:dyDescent="0.2">
      <c r="AQ4808" s="32"/>
    </row>
    <row r="4809" spans="43:43" ht="12" customHeight="1" x14ac:dyDescent="0.2">
      <c r="AQ4809" s="32"/>
    </row>
    <row r="4810" spans="43:43" ht="12" customHeight="1" x14ac:dyDescent="0.2">
      <c r="AQ4810" s="32"/>
    </row>
    <row r="4811" spans="43:43" ht="12" customHeight="1" x14ac:dyDescent="0.2">
      <c r="AQ4811" s="32"/>
    </row>
    <row r="4812" spans="43:43" ht="12" customHeight="1" x14ac:dyDescent="0.2">
      <c r="AQ4812" s="32"/>
    </row>
    <row r="4813" spans="43:43" ht="12" customHeight="1" x14ac:dyDescent="0.2">
      <c r="AQ4813" s="32"/>
    </row>
    <row r="4814" spans="43:43" ht="12" customHeight="1" x14ac:dyDescent="0.2">
      <c r="AQ4814" s="32"/>
    </row>
    <row r="4815" spans="43:43" ht="12" customHeight="1" x14ac:dyDescent="0.2">
      <c r="AQ4815" s="32"/>
    </row>
    <row r="4816" spans="43:43" ht="12" customHeight="1" x14ac:dyDescent="0.2">
      <c r="AQ4816" s="32"/>
    </row>
    <row r="4817" spans="43:43" ht="12" customHeight="1" x14ac:dyDescent="0.2">
      <c r="AQ4817" s="32"/>
    </row>
    <row r="4818" spans="43:43" ht="12" customHeight="1" x14ac:dyDescent="0.2">
      <c r="AQ4818" s="32"/>
    </row>
    <row r="4819" spans="43:43" ht="12" customHeight="1" x14ac:dyDescent="0.2">
      <c r="AQ4819" s="32"/>
    </row>
    <row r="4820" spans="43:43" ht="12" customHeight="1" x14ac:dyDescent="0.2">
      <c r="AQ4820" s="32"/>
    </row>
    <row r="4821" spans="43:43" ht="12" customHeight="1" x14ac:dyDescent="0.2">
      <c r="AQ4821" s="32"/>
    </row>
    <row r="4822" spans="43:43" ht="12" customHeight="1" x14ac:dyDescent="0.2">
      <c r="AQ4822" s="32"/>
    </row>
    <row r="4823" spans="43:43" ht="12" customHeight="1" x14ac:dyDescent="0.2">
      <c r="AQ4823" s="32"/>
    </row>
    <row r="4824" spans="43:43" ht="12" customHeight="1" x14ac:dyDescent="0.2">
      <c r="AQ4824" s="32"/>
    </row>
    <row r="4825" spans="43:43" ht="12" customHeight="1" x14ac:dyDescent="0.2">
      <c r="AQ4825" s="32"/>
    </row>
    <row r="4826" spans="43:43" ht="12" customHeight="1" x14ac:dyDescent="0.2">
      <c r="AQ4826" s="32"/>
    </row>
    <row r="4827" spans="43:43" ht="12" customHeight="1" x14ac:dyDescent="0.2">
      <c r="AQ4827" s="32"/>
    </row>
    <row r="4828" spans="43:43" ht="12" customHeight="1" x14ac:dyDescent="0.2">
      <c r="AQ4828" s="32"/>
    </row>
    <row r="4829" spans="43:43" ht="12" customHeight="1" x14ac:dyDescent="0.2">
      <c r="AQ4829" s="32"/>
    </row>
    <row r="4830" spans="43:43" ht="12" customHeight="1" x14ac:dyDescent="0.2">
      <c r="AQ4830" s="32"/>
    </row>
    <row r="4831" spans="43:43" ht="12" customHeight="1" x14ac:dyDescent="0.2">
      <c r="AQ4831" s="32"/>
    </row>
    <row r="4832" spans="43:43" ht="12" customHeight="1" x14ac:dyDescent="0.2">
      <c r="AQ4832" s="32"/>
    </row>
    <row r="4833" spans="43:43" ht="12" customHeight="1" x14ac:dyDescent="0.2">
      <c r="AQ4833" s="32"/>
    </row>
    <row r="4834" spans="43:43" ht="12" customHeight="1" x14ac:dyDescent="0.2">
      <c r="AQ4834" s="32"/>
    </row>
    <row r="4835" spans="43:43" ht="12" customHeight="1" x14ac:dyDescent="0.2">
      <c r="AQ4835" s="32"/>
    </row>
    <row r="4836" spans="43:43" ht="12" customHeight="1" x14ac:dyDescent="0.2">
      <c r="AQ4836" s="32"/>
    </row>
    <row r="4837" spans="43:43" ht="12" customHeight="1" x14ac:dyDescent="0.2">
      <c r="AQ4837" s="32"/>
    </row>
    <row r="4838" spans="43:43" ht="12" customHeight="1" x14ac:dyDescent="0.2">
      <c r="AQ4838" s="32"/>
    </row>
    <row r="4839" spans="43:43" ht="12" customHeight="1" x14ac:dyDescent="0.2">
      <c r="AQ4839" s="32"/>
    </row>
    <row r="4840" spans="43:43" ht="12" customHeight="1" x14ac:dyDescent="0.2">
      <c r="AQ4840" s="32"/>
    </row>
    <row r="4841" spans="43:43" ht="12" customHeight="1" x14ac:dyDescent="0.2">
      <c r="AQ4841" s="32"/>
    </row>
    <row r="4842" spans="43:43" ht="12" customHeight="1" x14ac:dyDescent="0.2">
      <c r="AQ4842" s="32"/>
    </row>
    <row r="4843" spans="43:43" ht="12" customHeight="1" x14ac:dyDescent="0.2">
      <c r="AQ4843" s="32"/>
    </row>
    <row r="4844" spans="43:43" ht="12" customHeight="1" x14ac:dyDescent="0.2">
      <c r="AQ4844" s="32"/>
    </row>
    <row r="4845" spans="43:43" ht="12" customHeight="1" x14ac:dyDescent="0.2">
      <c r="AQ4845" s="32"/>
    </row>
    <row r="4846" spans="43:43" ht="12" customHeight="1" x14ac:dyDescent="0.2">
      <c r="AQ4846" s="32"/>
    </row>
    <row r="4847" spans="43:43" ht="12" customHeight="1" x14ac:dyDescent="0.2">
      <c r="AQ4847" s="32"/>
    </row>
    <row r="4848" spans="43:43" ht="12" customHeight="1" x14ac:dyDescent="0.2">
      <c r="AQ4848" s="32"/>
    </row>
    <row r="4849" spans="43:43" ht="12" customHeight="1" x14ac:dyDescent="0.2">
      <c r="AQ4849" s="32"/>
    </row>
    <row r="4850" spans="43:43" ht="12" customHeight="1" x14ac:dyDescent="0.2">
      <c r="AQ4850" s="32"/>
    </row>
    <row r="4851" spans="43:43" ht="12" customHeight="1" x14ac:dyDescent="0.2">
      <c r="AQ4851" s="32"/>
    </row>
    <row r="4852" spans="43:43" ht="12" customHeight="1" x14ac:dyDescent="0.2">
      <c r="AQ4852" s="32"/>
    </row>
    <row r="4853" spans="43:43" ht="12" customHeight="1" x14ac:dyDescent="0.2">
      <c r="AQ4853" s="32"/>
    </row>
    <row r="4854" spans="43:43" ht="12" customHeight="1" x14ac:dyDescent="0.2">
      <c r="AQ4854" s="32"/>
    </row>
    <row r="4855" spans="43:43" ht="12" customHeight="1" x14ac:dyDescent="0.2">
      <c r="AQ4855" s="32"/>
    </row>
    <row r="4856" spans="43:43" ht="12" customHeight="1" x14ac:dyDescent="0.2">
      <c r="AQ4856" s="32"/>
    </row>
    <row r="4857" spans="43:43" ht="12" customHeight="1" x14ac:dyDescent="0.2">
      <c r="AQ4857" s="32"/>
    </row>
    <row r="4858" spans="43:43" ht="12" customHeight="1" x14ac:dyDescent="0.2">
      <c r="AQ4858" s="32"/>
    </row>
    <row r="4859" spans="43:43" ht="12" customHeight="1" x14ac:dyDescent="0.2">
      <c r="AQ4859" s="32"/>
    </row>
    <row r="4860" spans="43:43" ht="12" customHeight="1" x14ac:dyDescent="0.2">
      <c r="AQ4860" s="32"/>
    </row>
    <row r="4861" spans="43:43" ht="12" customHeight="1" x14ac:dyDescent="0.2">
      <c r="AQ4861" s="32"/>
    </row>
    <row r="4862" spans="43:43" ht="12" customHeight="1" x14ac:dyDescent="0.2">
      <c r="AQ4862" s="32"/>
    </row>
    <row r="4863" spans="43:43" ht="12" customHeight="1" x14ac:dyDescent="0.2">
      <c r="AQ4863" s="32"/>
    </row>
    <row r="4864" spans="43:43" ht="12" customHeight="1" x14ac:dyDescent="0.2">
      <c r="AQ4864" s="32"/>
    </row>
    <row r="4865" spans="43:43" ht="12" customHeight="1" x14ac:dyDescent="0.2">
      <c r="AQ4865" s="32"/>
    </row>
    <row r="4866" spans="43:43" ht="12" customHeight="1" x14ac:dyDescent="0.2">
      <c r="AQ4866" s="32"/>
    </row>
    <row r="4867" spans="43:43" ht="12" customHeight="1" x14ac:dyDescent="0.2">
      <c r="AQ4867" s="32"/>
    </row>
    <row r="4868" spans="43:43" ht="12" customHeight="1" x14ac:dyDescent="0.2">
      <c r="AQ4868" s="32"/>
    </row>
    <row r="4869" spans="43:43" ht="12" customHeight="1" x14ac:dyDescent="0.2">
      <c r="AQ4869" s="32"/>
    </row>
    <row r="4870" spans="43:43" ht="12" customHeight="1" x14ac:dyDescent="0.2">
      <c r="AQ4870" s="32"/>
    </row>
    <row r="4871" spans="43:43" ht="12" customHeight="1" x14ac:dyDescent="0.2">
      <c r="AQ4871" s="32"/>
    </row>
    <row r="4872" spans="43:43" ht="12" customHeight="1" x14ac:dyDescent="0.2">
      <c r="AQ4872" s="32"/>
    </row>
    <row r="4873" spans="43:43" ht="12" customHeight="1" x14ac:dyDescent="0.2">
      <c r="AQ4873" s="32"/>
    </row>
    <row r="4874" spans="43:43" ht="12" customHeight="1" x14ac:dyDescent="0.2">
      <c r="AQ4874" s="32"/>
    </row>
    <row r="4875" spans="43:43" ht="12" customHeight="1" x14ac:dyDescent="0.2">
      <c r="AQ4875" s="32"/>
    </row>
    <row r="4876" spans="43:43" ht="12" customHeight="1" x14ac:dyDescent="0.2">
      <c r="AQ4876" s="32"/>
    </row>
    <row r="4877" spans="43:43" ht="12" customHeight="1" x14ac:dyDescent="0.2">
      <c r="AQ4877" s="32"/>
    </row>
    <row r="4878" spans="43:43" ht="12" customHeight="1" x14ac:dyDescent="0.2">
      <c r="AQ4878" s="32"/>
    </row>
    <row r="4879" spans="43:43" ht="12" customHeight="1" x14ac:dyDescent="0.2">
      <c r="AQ4879" s="32"/>
    </row>
    <row r="4880" spans="43:43" ht="12" customHeight="1" x14ac:dyDescent="0.2">
      <c r="AQ4880" s="32"/>
    </row>
    <row r="4881" spans="43:43" ht="12" customHeight="1" x14ac:dyDescent="0.2">
      <c r="AQ4881" s="32"/>
    </row>
    <row r="4882" spans="43:43" ht="12" customHeight="1" x14ac:dyDescent="0.2">
      <c r="AQ4882" s="32"/>
    </row>
    <row r="4883" spans="43:43" ht="12" customHeight="1" x14ac:dyDescent="0.2">
      <c r="AQ4883" s="32"/>
    </row>
    <row r="4884" spans="43:43" ht="12" customHeight="1" x14ac:dyDescent="0.2">
      <c r="AQ4884" s="32"/>
    </row>
    <row r="4885" spans="43:43" ht="12" customHeight="1" x14ac:dyDescent="0.2">
      <c r="AQ4885" s="32"/>
    </row>
    <row r="4886" spans="43:43" ht="12" customHeight="1" x14ac:dyDescent="0.2">
      <c r="AQ4886" s="32"/>
    </row>
    <row r="4887" spans="43:43" ht="12" customHeight="1" x14ac:dyDescent="0.2">
      <c r="AQ4887" s="32"/>
    </row>
    <row r="4888" spans="43:43" ht="12" customHeight="1" x14ac:dyDescent="0.2">
      <c r="AQ4888" s="32"/>
    </row>
    <row r="4889" spans="43:43" ht="12" customHeight="1" x14ac:dyDescent="0.2">
      <c r="AQ4889" s="32"/>
    </row>
    <row r="4890" spans="43:43" ht="12" customHeight="1" x14ac:dyDescent="0.2">
      <c r="AQ4890" s="32"/>
    </row>
    <row r="4891" spans="43:43" ht="12" customHeight="1" x14ac:dyDescent="0.2">
      <c r="AQ4891" s="32"/>
    </row>
    <row r="4892" spans="43:43" ht="12" customHeight="1" x14ac:dyDescent="0.2">
      <c r="AQ4892" s="32"/>
    </row>
    <row r="4893" spans="43:43" ht="12" customHeight="1" x14ac:dyDescent="0.2">
      <c r="AQ4893" s="32"/>
    </row>
    <row r="4894" spans="43:43" ht="12" customHeight="1" x14ac:dyDescent="0.2">
      <c r="AQ4894" s="32"/>
    </row>
    <row r="4895" spans="43:43" ht="12" customHeight="1" x14ac:dyDescent="0.2">
      <c r="AQ4895" s="32"/>
    </row>
    <row r="4896" spans="43:43" ht="12" customHeight="1" x14ac:dyDescent="0.2">
      <c r="AQ4896" s="32"/>
    </row>
    <row r="4897" spans="43:43" ht="12" customHeight="1" x14ac:dyDescent="0.2">
      <c r="AQ4897" s="32"/>
    </row>
    <row r="4898" spans="43:43" ht="12" customHeight="1" x14ac:dyDescent="0.2">
      <c r="AQ4898" s="32"/>
    </row>
    <row r="4899" spans="43:43" ht="12" customHeight="1" x14ac:dyDescent="0.2">
      <c r="AQ4899" s="32"/>
    </row>
    <row r="4900" spans="43:43" ht="12" customHeight="1" x14ac:dyDescent="0.2">
      <c r="AQ4900" s="32"/>
    </row>
    <row r="4901" spans="43:43" ht="12" customHeight="1" x14ac:dyDescent="0.2">
      <c r="AQ4901" s="32"/>
    </row>
    <row r="4902" spans="43:43" ht="12" customHeight="1" x14ac:dyDescent="0.2">
      <c r="AQ4902" s="32"/>
    </row>
    <row r="4903" spans="43:43" ht="12" customHeight="1" x14ac:dyDescent="0.2">
      <c r="AQ4903" s="32"/>
    </row>
    <row r="4904" spans="43:43" ht="12" customHeight="1" x14ac:dyDescent="0.2">
      <c r="AQ4904" s="32"/>
    </row>
    <row r="4905" spans="43:43" ht="12" customHeight="1" x14ac:dyDescent="0.2">
      <c r="AQ4905" s="32"/>
    </row>
    <row r="4906" spans="43:43" ht="12" customHeight="1" x14ac:dyDescent="0.2">
      <c r="AQ4906" s="32"/>
    </row>
    <row r="4907" spans="43:43" ht="12" customHeight="1" x14ac:dyDescent="0.2">
      <c r="AQ4907" s="32"/>
    </row>
    <row r="4908" spans="43:43" ht="12" customHeight="1" x14ac:dyDescent="0.2">
      <c r="AQ4908" s="32"/>
    </row>
    <row r="4909" spans="43:43" ht="12" customHeight="1" x14ac:dyDescent="0.2">
      <c r="AQ4909" s="32"/>
    </row>
    <row r="4910" spans="43:43" ht="12" customHeight="1" x14ac:dyDescent="0.2">
      <c r="AQ4910" s="32"/>
    </row>
    <row r="4911" spans="43:43" ht="12" customHeight="1" x14ac:dyDescent="0.2">
      <c r="AQ4911" s="32"/>
    </row>
    <row r="4912" spans="43:43" ht="12" customHeight="1" x14ac:dyDescent="0.2">
      <c r="AQ4912" s="32"/>
    </row>
    <row r="4913" spans="43:43" ht="12" customHeight="1" x14ac:dyDescent="0.2">
      <c r="AQ4913" s="32"/>
    </row>
    <row r="4914" spans="43:43" ht="12" customHeight="1" x14ac:dyDescent="0.2">
      <c r="AQ4914" s="32"/>
    </row>
    <row r="4915" spans="43:43" ht="12" customHeight="1" x14ac:dyDescent="0.2">
      <c r="AQ4915" s="32"/>
    </row>
    <row r="4916" spans="43:43" ht="12" customHeight="1" x14ac:dyDescent="0.2">
      <c r="AQ4916" s="32"/>
    </row>
    <row r="4917" spans="43:43" ht="12" customHeight="1" x14ac:dyDescent="0.2">
      <c r="AQ4917" s="32"/>
    </row>
    <row r="4918" spans="43:43" ht="12" customHeight="1" x14ac:dyDescent="0.2">
      <c r="AQ4918" s="32"/>
    </row>
    <row r="4919" spans="43:43" ht="12" customHeight="1" x14ac:dyDescent="0.2">
      <c r="AQ4919" s="32"/>
    </row>
    <row r="4920" spans="43:43" ht="12" customHeight="1" x14ac:dyDescent="0.2">
      <c r="AQ4920" s="32"/>
    </row>
    <row r="4921" spans="43:43" ht="12" customHeight="1" x14ac:dyDescent="0.2">
      <c r="AQ4921" s="32"/>
    </row>
    <row r="4922" spans="43:43" ht="12" customHeight="1" x14ac:dyDescent="0.2">
      <c r="AQ4922" s="32"/>
    </row>
    <row r="4923" spans="43:43" ht="12" customHeight="1" x14ac:dyDescent="0.2">
      <c r="AQ4923" s="32"/>
    </row>
    <row r="4924" spans="43:43" ht="12" customHeight="1" x14ac:dyDescent="0.2">
      <c r="AQ4924" s="32"/>
    </row>
    <row r="4925" spans="43:43" ht="12" customHeight="1" x14ac:dyDescent="0.2">
      <c r="AQ4925" s="32"/>
    </row>
    <row r="4926" spans="43:43" ht="12" customHeight="1" x14ac:dyDescent="0.2">
      <c r="AQ4926" s="32"/>
    </row>
    <row r="4927" spans="43:43" ht="12" customHeight="1" x14ac:dyDescent="0.2">
      <c r="AQ4927" s="32"/>
    </row>
    <row r="4928" spans="43:43" ht="12" customHeight="1" x14ac:dyDescent="0.2">
      <c r="AQ4928" s="32"/>
    </row>
    <row r="4929" spans="43:43" ht="12" customHeight="1" x14ac:dyDescent="0.2">
      <c r="AQ4929" s="32"/>
    </row>
    <row r="4930" spans="43:43" ht="12" customHeight="1" x14ac:dyDescent="0.2">
      <c r="AQ4930" s="32"/>
    </row>
    <row r="4931" spans="43:43" ht="12" customHeight="1" x14ac:dyDescent="0.2">
      <c r="AQ4931" s="32"/>
    </row>
    <row r="4932" spans="43:43" ht="12" customHeight="1" x14ac:dyDescent="0.2">
      <c r="AQ4932" s="32"/>
    </row>
    <row r="4933" spans="43:43" ht="12" customHeight="1" x14ac:dyDescent="0.2">
      <c r="AQ4933" s="32"/>
    </row>
    <row r="4934" spans="43:43" ht="12" customHeight="1" x14ac:dyDescent="0.2">
      <c r="AQ4934" s="32"/>
    </row>
    <row r="4935" spans="43:43" ht="12" customHeight="1" x14ac:dyDescent="0.2">
      <c r="AQ4935" s="32"/>
    </row>
    <row r="4936" spans="43:43" ht="12" customHeight="1" x14ac:dyDescent="0.2">
      <c r="AQ4936" s="32"/>
    </row>
    <row r="4937" spans="43:43" ht="12" customHeight="1" x14ac:dyDescent="0.2">
      <c r="AQ4937" s="32"/>
    </row>
    <row r="4938" spans="43:43" ht="12" customHeight="1" x14ac:dyDescent="0.2">
      <c r="AQ4938" s="32"/>
    </row>
    <row r="4939" spans="43:43" ht="12" customHeight="1" x14ac:dyDescent="0.2">
      <c r="AQ4939" s="32"/>
    </row>
    <row r="4940" spans="43:43" ht="12" customHeight="1" x14ac:dyDescent="0.2">
      <c r="AQ4940" s="32"/>
    </row>
    <row r="4941" spans="43:43" ht="12" customHeight="1" x14ac:dyDescent="0.2">
      <c r="AQ4941" s="32"/>
    </row>
    <row r="4942" spans="43:43" ht="12" customHeight="1" x14ac:dyDescent="0.2">
      <c r="AQ4942" s="32"/>
    </row>
    <row r="4943" spans="43:43" ht="12" customHeight="1" x14ac:dyDescent="0.2">
      <c r="AQ4943" s="32"/>
    </row>
    <row r="4944" spans="43:43" ht="12" customHeight="1" x14ac:dyDescent="0.2">
      <c r="AQ4944" s="32"/>
    </row>
    <row r="4945" spans="43:43" ht="12" customHeight="1" x14ac:dyDescent="0.2">
      <c r="AQ4945" s="32"/>
    </row>
    <row r="4946" spans="43:43" ht="12" customHeight="1" x14ac:dyDescent="0.2">
      <c r="AQ4946" s="32"/>
    </row>
    <row r="4947" spans="43:43" ht="12" customHeight="1" x14ac:dyDescent="0.2">
      <c r="AQ4947" s="32"/>
    </row>
    <row r="4948" spans="43:43" ht="12" customHeight="1" x14ac:dyDescent="0.2">
      <c r="AQ4948" s="32"/>
    </row>
    <row r="4949" spans="43:43" ht="12" customHeight="1" x14ac:dyDescent="0.2">
      <c r="AQ4949" s="32"/>
    </row>
    <row r="4950" spans="43:43" ht="12" customHeight="1" x14ac:dyDescent="0.2">
      <c r="AQ4950" s="32"/>
    </row>
    <row r="4951" spans="43:43" ht="12" customHeight="1" x14ac:dyDescent="0.2">
      <c r="AQ4951" s="32"/>
    </row>
    <row r="4952" spans="43:43" ht="12" customHeight="1" x14ac:dyDescent="0.2">
      <c r="AQ4952" s="32"/>
    </row>
    <row r="4953" spans="43:43" ht="12" customHeight="1" x14ac:dyDescent="0.2">
      <c r="AQ4953" s="32"/>
    </row>
    <row r="4954" spans="43:43" ht="12" customHeight="1" x14ac:dyDescent="0.2">
      <c r="AQ4954" s="32"/>
    </row>
    <row r="4955" spans="43:43" ht="12" customHeight="1" x14ac:dyDescent="0.2">
      <c r="AQ4955" s="32"/>
    </row>
    <row r="4956" spans="43:43" ht="12" customHeight="1" x14ac:dyDescent="0.2">
      <c r="AQ4956" s="32"/>
    </row>
    <row r="4957" spans="43:43" ht="12" customHeight="1" x14ac:dyDescent="0.2">
      <c r="AQ4957" s="32"/>
    </row>
    <row r="4958" spans="43:43" ht="12" customHeight="1" x14ac:dyDescent="0.2">
      <c r="AQ4958" s="32"/>
    </row>
    <row r="4959" spans="43:43" ht="12" customHeight="1" x14ac:dyDescent="0.2">
      <c r="AQ4959" s="32"/>
    </row>
    <row r="4960" spans="43:43" ht="12" customHeight="1" x14ac:dyDescent="0.2">
      <c r="AQ4960" s="32"/>
    </row>
    <row r="4961" spans="43:43" ht="12" customHeight="1" x14ac:dyDescent="0.2">
      <c r="AQ4961" s="32"/>
    </row>
    <row r="4962" spans="43:43" ht="12" customHeight="1" x14ac:dyDescent="0.2">
      <c r="AQ4962" s="32"/>
    </row>
    <row r="4963" spans="43:43" ht="12" customHeight="1" x14ac:dyDescent="0.2">
      <c r="AQ4963" s="32"/>
    </row>
    <row r="4964" spans="43:43" ht="12" customHeight="1" x14ac:dyDescent="0.2">
      <c r="AQ4964" s="32"/>
    </row>
    <row r="4965" spans="43:43" ht="12" customHeight="1" x14ac:dyDescent="0.2">
      <c r="AQ4965" s="32"/>
    </row>
    <row r="4966" spans="43:43" ht="12" customHeight="1" x14ac:dyDescent="0.2">
      <c r="AQ4966" s="32"/>
    </row>
    <row r="4967" spans="43:43" ht="12" customHeight="1" x14ac:dyDescent="0.2">
      <c r="AQ4967" s="32"/>
    </row>
    <row r="4968" spans="43:43" ht="12" customHeight="1" x14ac:dyDescent="0.2">
      <c r="AQ4968" s="32"/>
    </row>
    <row r="4969" spans="43:43" ht="12" customHeight="1" x14ac:dyDescent="0.2">
      <c r="AQ4969" s="32"/>
    </row>
    <row r="4970" spans="43:43" ht="12" customHeight="1" x14ac:dyDescent="0.2">
      <c r="AQ4970" s="32"/>
    </row>
    <row r="4971" spans="43:43" ht="12" customHeight="1" x14ac:dyDescent="0.2">
      <c r="AQ4971" s="32"/>
    </row>
    <row r="4972" spans="43:43" ht="12" customHeight="1" x14ac:dyDescent="0.2">
      <c r="AQ4972" s="32"/>
    </row>
    <row r="4973" spans="43:43" ht="12" customHeight="1" x14ac:dyDescent="0.2">
      <c r="AQ4973" s="32"/>
    </row>
    <row r="4974" spans="43:43" ht="12" customHeight="1" x14ac:dyDescent="0.2">
      <c r="AQ4974" s="32"/>
    </row>
    <row r="4975" spans="43:43" ht="12" customHeight="1" x14ac:dyDescent="0.2">
      <c r="AQ4975" s="32"/>
    </row>
    <row r="4976" spans="43:43" ht="12" customHeight="1" x14ac:dyDescent="0.2">
      <c r="AQ4976" s="32"/>
    </row>
    <row r="4977" spans="43:43" ht="12" customHeight="1" x14ac:dyDescent="0.2">
      <c r="AQ4977" s="32"/>
    </row>
    <row r="4978" spans="43:43" ht="12" customHeight="1" x14ac:dyDescent="0.2">
      <c r="AQ4978" s="32"/>
    </row>
    <row r="4979" spans="43:43" ht="12" customHeight="1" x14ac:dyDescent="0.2">
      <c r="AQ4979" s="32"/>
    </row>
    <row r="4980" spans="43:43" ht="12" customHeight="1" x14ac:dyDescent="0.2">
      <c r="AQ4980" s="32"/>
    </row>
    <row r="4981" spans="43:43" ht="12" customHeight="1" x14ac:dyDescent="0.2">
      <c r="AQ4981" s="32"/>
    </row>
    <row r="4982" spans="43:43" ht="12" customHeight="1" x14ac:dyDescent="0.2">
      <c r="AQ4982" s="32"/>
    </row>
    <row r="4983" spans="43:43" ht="12" customHeight="1" x14ac:dyDescent="0.2">
      <c r="AQ4983" s="32"/>
    </row>
    <row r="4984" spans="43:43" ht="12" customHeight="1" x14ac:dyDescent="0.2">
      <c r="AQ4984" s="32"/>
    </row>
    <row r="4985" spans="43:43" ht="12" customHeight="1" x14ac:dyDescent="0.2">
      <c r="AQ4985" s="32"/>
    </row>
    <row r="4986" spans="43:43" ht="12" customHeight="1" x14ac:dyDescent="0.2">
      <c r="AQ4986" s="32"/>
    </row>
    <row r="4987" spans="43:43" ht="12" customHeight="1" x14ac:dyDescent="0.2">
      <c r="AQ4987" s="32"/>
    </row>
    <row r="4988" spans="43:43" ht="12" customHeight="1" x14ac:dyDescent="0.2">
      <c r="AQ4988" s="32"/>
    </row>
    <row r="4989" spans="43:43" ht="12" customHeight="1" x14ac:dyDescent="0.2">
      <c r="AQ4989" s="32"/>
    </row>
    <row r="4990" spans="43:43" ht="12" customHeight="1" x14ac:dyDescent="0.2">
      <c r="AQ4990" s="32"/>
    </row>
    <row r="4991" spans="43:43" ht="12" customHeight="1" x14ac:dyDescent="0.2">
      <c r="AQ4991" s="32"/>
    </row>
    <row r="4992" spans="43:43" ht="12" customHeight="1" x14ac:dyDescent="0.2">
      <c r="AQ4992" s="32"/>
    </row>
    <row r="4993" spans="43:43" ht="12" customHeight="1" x14ac:dyDescent="0.2">
      <c r="AQ4993" s="32"/>
    </row>
    <row r="4994" spans="43:43" ht="12" customHeight="1" x14ac:dyDescent="0.2">
      <c r="AQ4994" s="32"/>
    </row>
    <row r="4995" spans="43:43" ht="12" customHeight="1" x14ac:dyDescent="0.2">
      <c r="AQ4995" s="32"/>
    </row>
    <row r="4996" spans="43:43" ht="12" customHeight="1" x14ac:dyDescent="0.2">
      <c r="AQ4996" s="32"/>
    </row>
    <row r="4997" spans="43:43" ht="12" customHeight="1" x14ac:dyDescent="0.2">
      <c r="AQ4997" s="32"/>
    </row>
    <row r="4998" spans="43:43" ht="12" customHeight="1" x14ac:dyDescent="0.2">
      <c r="AQ4998" s="32"/>
    </row>
    <row r="4999" spans="43:43" ht="12" customHeight="1" x14ac:dyDescent="0.2">
      <c r="AQ4999" s="32"/>
    </row>
    <row r="5000" spans="43:43" ht="12" customHeight="1" x14ac:dyDescent="0.2">
      <c r="AQ5000" s="32"/>
    </row>
    <row r="5001" spans="43:43" ht="12" customHeight="1" x14ac:dyDescent="0.2">
      <c r="AQ5001" s="32"/>
    </row>
    <row r="5002" spans="43:43" ht="12" customHeight="1" x14ac:dyDescent="0.2">
      <c r="AQ5002" s="32"/>
    </row>
    <row r="5003" spans="43:43" ht="12" customHeight="1" x14ac:dyDescent="0.2">
      <c r="AQ5003" s="32"/>
    </row>
    <row r="5004" spans="43:43" ht="12" customHeight="1" x14ac:dyDescent="0.2">
      <c r="AQ5004" s="32"/>
    </row>
    <row r="5005" spans="43:43" ht="12" customHeight="1" x14ac:dyDescent="0.2">
      <c r="AQ5005" s="32"/>
    </row>
    <row r="5006" spans="43:43" ht="12" customHeight="1" x14ac:dyDescent="0.2">
      <c r="AQ5006" s="32"/>
    </row>
    <row r="5007" spans="43:43" ht="12" customHeight="1" x14ac:dyDescent="0.2">
      <c r="AQ5007" s="32"/>
    </row>
    <row r="5008" spans="43:43" ht="12" customHeight="1" x14ac:dyDescent="0.2">
      <c r="AQ5008" s="32"/>
    </row>
    <row r="5009" spans="43:43" ht="12" customHeight="1" x14ac:dyDescent="0.2">
      <c r="AQ5009" s="32"/>
    </row>
    <row r="5010" spans="43:43" ht="12" customHeight="1" x14ac:dyDescent="0.2">
      <c r="AQ5010" s="32"/>
    </row>
    <row r="5011" spans="43:43" ht="12" customHeight="1" x14ac:dyDescent="0.2">
      <c r="AQ5011" s="32"/>
    </row>
    <row r="5012" spans="43:43" ht="12" customHeight="1" x14ac:dyDescent="0.2">
      <c r="AQ5012" s="32"/>
    </row>
    <row r="5013" spans="43:43" ht="12" customHeight="1" x14ac:dyDescent="0.2">
      <c r="AQ5013" s="32"/>
    </row>
    <row r="5014" spans="43:43" ht="12" customHeight="1" x14ac:dyDescent="0.2">
      <c r="AQ5014" s="32"/>
    </row>
    <row r="5015" spans="43:43" ht="12" customHeight="1" x14ac:dyDescent="0.2">
      <c r="AQ5015" s="32"/>
    </row>
    <row r="5016" spans="43:43" ht="12" customHeight="1" x14ac:dyDescent="0.2">
      <c r="AQ5016" s="32"/>
    </row>
    <row r="5017" spans="43:43" ht="12" customHeight="1" x14ac:dyDescent="0.2">
      <c r="AQ5017" s="32"/>
    </row>
    <row r="5018" spans="43:43" ht="12" customHeight="1" x14ac:dyDescent="0.2">
      <c r="AQ5018" s="32"/>
    </row>
    <row r="5019" spans="43:43" ht="12" customHeight="1" x14ac:dyDescent="0.2">
      <c r="AQ5019" s="32"/>
    </row>
    <row r="5020" spans="43:43" ht="12" customHeight="1" x14ac:dyDescent="0.2">
      <c r="AQ5020" s="32"/>
    </row>
    <row r="5021" spans="43:43" ht="12" customHeight="1" x14ac:dyDescent="0.2">
      <c r="AQ5021" s="32"/>
    </row>
    <row r="5022" spans="43:43" ht="12" customHeight="1" x14ac:dyDescent="0.2">
      <c r="AQ5022" s="32"/>
    </row>
    <row r="5023" spans="43:43" ht="12" customHeight="1" x14ac:dyDescent="0.2">
      <c r="AQ5023" s="32"/>
    </row>
    <row r="5024" spans="43:43" ht="12" customHeight="1" x14ac:dyDescent="0.2">
      <c r="AQ5024" s="32"/>
    </row>
    <row r="5025" spans="43:43" ht="12" customHeight="1" x14ac:dyDescent="0.2">
      <c r="AQ5025" s="32"/>
    </row>
    <row r="5026" spans="43:43" ht="12" customHeight="1" x14ac:dyDescent="0.2">
      <c r="AQ5026" s="32"/>
    </row>
    <row r="5027" spans="43:43" ht="12" customHeight="1" x14ac:dyDescent="0.2">
      <c r="AQ5027" s="32"/>
    </row>
    <row r="5028" spans="43:43" ht="12" customHeight="1" x14ac:dyDescent="0.2">
      <c r="AQ5028" s="32"/>
    </row>
    <row r="5029" spans="43:43" ht="12" customHeight="1" x14ac:dyDescent="0.2">
      <c r="AQ5029" s="32"/>
    </row>
    <row r="5030" spans="43:43" ht="12" customHeight="1" x14ac:dyDescent="0.2">
      <c r="AQ5030" s="32"/>
    </row>
    <row r="5031" spans="43:43" ht="12" customHeight="1" x14ac:dyDescent="0.2">
      <c r="AQ5031" s="32"/>
    </row>
    <row r="5032" spans="43:43" ht="12" customHeight="1" x14ac:dyDescent="0.2">
      <c r="AQ5032" s="32"/>
    </row>
    <row r="5033" spans="43:43" ht="12" customHeight="1" x14ac:dyDescent="0.2">
      <c r="AQ5033" s="32"/>
    </row>
    <row r="5034" spans="43:43" ht="12" customHeight="1" x14ac:dyDescent="0.2">
      <c r="AQ5034" s="32"/>
    </row>
    <row r="5035" spans="43:43" ht="12" customHeight="1" x14ac:dyDescent="0.2">
      <c r="AQ5035" s="32"/>
    </row>
    <row r="5036" spans="43:43" ht="12" customHeight="1" x14ac:dyDescent="0.2">
      <c r="AQ5036" s="32"/>
    </row>
    <row r="5037" spans="43:43" ht="12" customHeight="1" x14ac:dyDescent="0.2">
      <c r="AQ5037" s="32"/>
    </row>
    <row r="5038" spans="43:43" ht="12" customHeight="1" x14ac:dyDescent="0.2">
      <c r="AQ5038" s="32"/>
    </row>
    <row r="5039" spans="43:43" ht="12" customHeight="1" x14ac:dyDescent="0.2">
      <c r="AQ5039" s="32"/>
    </row>
    <row r="5040" spans="43:43" ht="12" customHeight="1" x14ac:dyDescent="0.2">
      <c r="AQ5040" s="32"/>
    </row>
    <row r="5041" spans="43:43" ht="12" customHeight="1" x14ac:dyDescent="0.2">
      <c r="AQ5041" s="32"/>
    </row>
    <row r="5042" spans="43:43" ht="12" customHeight="1" x14ac:dyDescent="0.2">
      <c r="AQ5042" s="32"/>
    </row>
    <row r="5043" spans="43:43" ht="12" customHeight="1" x14ac:dyDescent="0.2">
      <c r="AQ5043" s="32"/>
    </row>
    <row r="5044" spans="43:43" ht="12" customHeight="1" x14ac:dyDescent="0.2">
      <c r="AQ5044" s="32"/>
    </row>
    <row r="5045" spans="43:43" ht="12" customHeight="1" x14ac:dyDescent="0.2">
      <c r="AQ5045" s="32"/>
    </row>
    <row r="5046" spans="43:43" ht="12" customHeight="1" x14ac:dyDescent="0.2">
      <c r="AQ5046" s="32"/>
    </row>
    <row r="5047" spans="43:43" ht="12" customHeight="1" x14ac:dyDescent="0.2">
      <c r="AQ5047" s="32"/>
    </row>
    <row r="5048" spans="43:43" ht="12" customHeight="1" x14ac:dyDescent="0.2">
      <c r="AQ5048" s="32"/>
    </row>
    <row r="5049" spans="43:43" ht="12" customHeight="1" x14ac:dyDescent="0.2">
      <c r="AQ5049" s="32"/>
    </row>
    <row r="5050" spans="43:43" ht="12" customHeight="1" x14ac:dyDescent="0.2">
      <c r="AQ5050" s="32"/>
    </row>
    <row r="5051" spans="43:43" ht="12" customHeight="1" x14ac:dyDescent="0.2">
      <c r="AQ5051" s="32"/>
    </row>
    <row r="5052" spans="43:43" ht="12" customHeight="1" x14ac:dyDescent="0.2">
      <c r="AQ5052" s="32"/>
    </row>
    <row r="5053" spans="43:43" ht="12" customHeight="1" x14ac:dyDescent="0.2">
      <c r="AQ5053" s="32"/>
    </row>
    <row r="5054" spans="43:43" ht="12" customHeight="1" x14ac:dyDescent="0.2">
      <c r="AQ5054" s="32"/>
    </row>
    <row r="5055" spans="43:43" ht="12" customHeight="1" x14ac:dyDescent="0.2">
      <c r="AQ5055" s="32"/>
    </row>
    <row r="5056" spans="43:43" ht="12" customHeight="1" x14ac:dyDescent="0.2">
      <c r="AQ5056" s="32"/>
    </row>
    <row r="5057" spans="43:43" ht="12" customHeight="1" x14ac:dyDescent="0.2">
      <c r="AQ5057" s="32"/>
    </row>
    <row r="5058" spans="43:43" ht="12" customHeight="1" x14ac:dyDescent="0.2">
      <c r="AQ5058" s="32"/>
    </row>
    <row r="5059" spans="43:43" ht="12" customHeight="1" x14ac:dyDescent="0.2">
      <c r="AQ5059" s="32"/>
    </row>
    <row r="5060" spans="43:43" ht="12" customHeight="1" x14ac:dyDescent="0.2">
      <c r="AQ5060" s="32"/>
    </row>
    <row r="5061" spans="43:43" ht="12" customHeight="1" x14ac:dyDescent="0.2">
      <c r="AQ5061" s="32"/>
    </row>
    <row r="5062" spans="43:43" ht="12" customHeight="1" x14ac:dyDescent="0.2">
      <c r="AQ5062" s="32"/>
    </row>
    <row r="5063" spans="43:43" ht="12" customHeight="1" x14ac:dyDescent="0.2">
      <c r="AQ5063" s="32"/>
    </row>
    <row r="5064" spans="43:43" ht="12" customHeight="1" x14ac:dyDescent="0.2">
      <c r="AQ5064" s="32"/>
    </row>
    <row r="5065" spans="43:43" ht="12" customHeight="1" x14ac:dyDescent="0.2">
      <c r="AQ5065" s="32"/>
    </row>
    <row r="5066" spans="43:43" ht="12" customHeight="1" x14ac:dyDescent="0.2">
      <c r="AQ5066" s="32"/>
    </row>
    <row r="5067" spans="43:43" ht="12" customHeight="1" x14ac:dyDescent="0.2">
      <c r="AQ5067" s="32"/>
    </row>
    <row r="5068" spans="43:43" ht="12" customHeight="1" x14ac:dyDescent="0.2">
      <c r="AQ5068" s="32"/>
    </row>
    <row r="5069" spans="43:43" ht="12" customHeight="1" x14ac:dyDescent="0.2">
      <c r="AQ5069" s="32"/>
    </row>
    <row r="5070" spans="43:43" ht="12" customHeight="1" x14ac:dyDescent="0.2">
      <c r="AQ5070" s="32"/>
    </row>
    <row r="5071" spans="43:43" ht="12" customHeight="1" x14ac:dyDescent="0.2">
      <c r="AQ5071" s="32"/>
    </row>
    <row r="5072" spans="43:43" ht="12" customHeight="1" x14ac:dyDescent="0.2">
      <c r="AQ5072" s="32"/>
    </row>
    <row r="5073" spans="43:43" ht="12" customHeight="1" x14ac:dyDescent="0.2">
      <c r="AQ5073" s="32"/>
    </row>
    <row r="5074" spans="43:43" ht="12" customHeight="1" x14ac:dyDescent="0.2">
      <c r="AQ5074" s="32"/>
    </row>
    <row r="5075" spans="43:43" ht="12" customHeight="1" x14ac:dyDescent="0.2">
      <c r="AQ5075" s="32"/>
    </row>
    <row r="5076" spans="43:43" ht="12" customHeight="1" x14ac:dyDescent="0.2">
      <c r="AQ5076" s="32"/>
    </row>
    <row r="5077" spans="43:43" ht="12" customHeight="1" x14ac:dyDescent="0.2">
      <c r="AQ5077" s="32"/>
    </row>
    <row r="5078" spans="43:43" ht="12" customHeight="1" x14ac:dyDescent="0.2">
      <c r="AQ5078" s="32"/>
    </row>
    <row r="5079" spans="43:43" ht="12" customHeight="1" x14ac:dyDescent="0.2">
      <c r="AQ5079" s="32"/>
    </row>
    <row r="5080" spans="43:43" ht="12" customHeight="1" x14ac:dyDescent="0.2">
      <c r="AQ5080" s="32"/>
    </row>
    <row r="5081" spans="43:43" ht="12" customHeight="1" x14ac:dyDescent="0.2">
      <c r="AQ5081" s="32"/>
    </row>
    <row r="5082" spans="43:43" ht="12" customHeight="1" x14ac:dyDescent="0.2">
      <c r="AQ5082" s="32"/>
    </row>
    <row r="5083" spans="43:43" ht="12" customHeight="1" x14ac:dyDescent="0.2">
      <c r="AQ5083" s="32"/>
    </row>
    <row r="5084" spans="43:43" ht="12" customHeight="1" x14ac:dyDescent="0.2">
      <c r="AQ5084" s="32"/>
    </row>
    <row r="5085" spans="43:43" ht="12" customHeight="1" x14ac:dyDescent="0.2">
      <c r="AQ5085" s="32"/>
    </row>
    <row r="5086" spans="43:43" ht="12" customHeight="1" x14ac:dyDescent="0.2">
      <c r="AQ5086" s="32"/>
    </row>
    <row r="5087" spans="43:43" ht="12" customHeight="1" x14ac:dyDescent="0.2">
      <c r="AQ5087" s="32"/>
    </row>
    <row r="5088" spans="43:43" ht="12" customHeight="1" x14ac:dyDescent="0.2">
      <c r="AQ5088" s="32"/>
    </row>
    <row r="5089" spans="43:43" ht="12" customHeight="1" x14ac:dyDescent="0.2">
      <c r="AQ5089" s="32"/>
    </row>
    <row r="5090" spans="43:43" ht="12" customHeight="1" x14ac:dyDescent="0.2">
      <c r="AQ5090" s="32"/>
    </row>
    <row r="5091" spans="43:43" ht="12" customHeight="1" x14ac:dyDescent="0.2">
      <c r="AQ5091" s="32"/>
    </row>
    <row r="5092" spans="43:43" ht="12" customHeight="1" x14ac:dyDescent="0.2">
      <c r="AQ5092" s="32"/>
    </row>
    <row r="5093" spans="43:43" ht="12" customHeight="1" x14ac:dyDescent="0.2">
      <c r="AQ5093" s="32"/>
    </row>
    <row r="5094" spans="43:43" ht="12" customHeight="1" x14ac:dyDescent="0.2">
      <c r="AQ5094" s="32"/>
    </row>
    <row r="5095" spans="43:43" ht="12" customHeight="1" x14ac:dyDescent="0.2">
      <c r="AQ5095" s="32"/>
    </row>
    <row r="5096" spans="43:43" ht="12" customHeight="1" x14ac:dyDescent="0.2">
      <c r="AQ5096" s="32"/>
    </row>
    <row r="5097" spans="43:43" ht="12" customHeight="1" x14ac:dyDescent="0.2">
      <c r="AQ5097" s="32"/>
    </row>
    <row r="5098" spans="43:43" ht="12" customHeight="1" x14ac:dyDescent="0.2">
      <c r="AQ5098" s="32"/>
    </row>
    <row r="5099" spans="43:43" ht="12" customHeight="1" x14ac:dyDescent="0.2">
      <c r="AQ5099" s="32"/>
    </row>
    <row r="5100" spans="43:43" ht="12" customHeight="1" x14ac:dyDescent="0.2">
      <c r="AQ5100" s="32"/>
    </row>
    <row r="5101" spans="43:43" ht="12" customHeight="1" x14ac:dyDescent="0.2">
      <c r="AQ5101" s="32"/>
    </row>
    <row r="5102" spans="43:43" ht="12" customHeight="1" x14ac:dyDescent="0.2">
      <c r="AQ5102" s="32"/>
    </row>
    <row r="5103" spans="43:43" ht="12" customHeight="1" x14ac:dyDescent="0.2">
      <c r="AQ5103" s="32"/>
    </row>
    <row r="5104" spans="43:43" ht="12" customHeight="1" x14ac:dyDescent="0.2">
      <c r="AQ5104" s="32"/>
    </row>
    <row r="5105" spans="43:43" ht="12" customHeight="1" x14ac:dyDescent="0.2">
      <c r="AQ5105" s="32"/>
    </row>
    <row r="5106" spans="43:43" ht="12" customHeight="1" x14ac:dyDescent="0.2">
      <c r="AQ5106" s="32"/>
    </row>
    <row r="5107" spans="43:43" ht="12" customHeight="1" x14ac:dyDescent="0.2">
      <c r="AQ5107" s="32"/>
    </row>
    <row r="5108" spans="43:43" ht="12" customHeight="1" x14ac:dyDescent="0.2">
      <c r="AQ5108" s="32"/>
    </row>
    <row r="5109" spans="43:43" ht="12" customHeight="1" x14ac:dyDescent="0.2">
      <c r="AQ5109" s="32"/>
    </row>
    <row r="5110" spans="43:43" ht="12" customHeight="1" x14ac:dyDescent="0.2">
      <c r="AQ5110" s="32"/>
    </row>
    <row r="5111" spans="43:43" ht="12" customHeight="1" x14ac:dyDescent="0.2">
      <c r="AQ5111" s="32"/>
    </row>
    <row r="5112" spans="43:43" ht="12" customHeight="1" x14ac:dyDescent="0.2">
      <c r="AQ5112" s="32"/>
    </row>
    <row r="5113" spans="43:43" ht="12" customHeight="1" x14ac:dyDescent="0.2">
      <c r="AQ5113" s="32"/>
    </row>
    <row r="5114" spans="43:43" ht="12" customHeight="1" x14ac:dyDescent="0.2">
      <c r="AQ5114" s="32"/>
    </row>
    <row r="5115" spans="43:43" ht="12" customHeight="1" x14ac:dyDescent="0.2">
      <c r="AQ5115" s="32"/>
    </row>
    <row r="5116" spans="43:43" ht="12" customHeight="1" x14ac:dyDescent="0.2">
      <c r="AQ5116" s="32"/>
    </row>
    <row r="5117" spans="43:43" ht="12" customHeight="1" x14ac:dyDescent="0.2">
      <c r="AQ5117" s="32"/>
    </row>
    <row r="5118" spans="43:43" ht="12" customHeight="1" x14ac:dyDescent="0.2">
      <c r="AQ5118" s="32"/>
    </row>
    <row r="5119" spans="43:43" ht="12" customHeight="1" x14ac:dyDescent="0.2">
      <c r="AQ5119" s="32"/>
    </row>
    <row r="5120" spans="43:43" ht="12" customHeight="1" x14ac:dyDescent="0.2">
      <c r="AQ5120" s="32"/>
    </row>
    <row r="5121" spans="43:43" ht="12" customHeight="1" x14ac:dyDescent="0.2">
      <c r="AQ5121" s="32"/>
    </row>
    <row r="5122" spans="43:43" ht="12" customHeight="1" x14ac:dyDescent="0.2">
      <c r="AQ5122" s="32"/>
    </row>
    <row r="5123" spans="43:43" ht="12" customHeight="1" x14ac:dyDescent="0.2">
      <c r="AQ5123" s="32"/>
    </row>
    <row r="5124" spans="43:43" ht="12" customHeight="1" x14ac:dyDescent="0.2">
      <c r="AQ5124" s="32"/>
    </row>
    <row r="5125" spans="43:43" ht="12" customHeight="1" x14ac:dyDescent="0.2">
      <c r="AQ5125" s="32"/>
    </row>
    <row r="5126" spans="43:43" ht="12" customHeight="1" x14ac:dyDescent="0.2">
      <c r="AQ5126" s="32"/>
    </row>
    <row r="5127" spans="43:43" ht="12" customHeight="1" x14ac:dyDescent="0.2">
      <c r="AQ5127" s="32"/>
    </row>
    <row r="5128" spans="43:43" ht="12" customHeight="1" x14ac:dyDescent="0.2">
      <c r="AQ5128" s="32"/>
    </row>
    <row r="5129" spans="43:43" ht="12" customHeight="1" x14ac:dyDescent="0.2">
      <c r="AQ5129" s="32"/>
    </row>
    <row r="5130" spans="43:43" ht="12" customHeight="1" x14ac:dyDescent="0.2">
      <c r="AQ5130" s="32"/>
    </row>
    <row r="5131" spans="43:43" ht="12" customHeight="1" x14ac:dyDescent="0.2">
      <c r="AQ5131" s="32"/>
    </row>
    <row r="5132" spans="43:43" ht="12" customHeight="1" x14ac:dyDescent="0.2">
      <c r="AQ5132" s="32"/>
    </row>
    <row r="5133" spans="43:43" ht="12" customHeight="1" x14ac:dyDescent="0.2">
      <c r="AQ5133" s="32"/>
    </row>
    <row r="5134" spans="43:43" ht="12" customHeight="1" x14ac:dyDescent="0.2">
      <c r="AQ5134" s="32"/>
    </row>
    <row r="5135" spans="43:43" ht="12" customHeight="1" x14ac:dyDescent="0.2">
      <c r="AQ5135" s="32"/>
    </row>
    <row r="5136" spans="43:43" ht="12" customHeight="1" x14ac:dyDescent="0.2">
      <c r="AQ5136" s="32"/>
    </row>
    <row r="5137" spans="43:43" ht="12" customHeight="1" x14ac:dyDescent="0.2">
      <c r="AQ5137" s="32"/>
    </row>
    <row r="5138" spans="43:43" ht="12" customHeight="1" x14ac:dyDescent="0.2">
      <c r="AQ5138" s="32"/>
    </row>
    <row r="5139" spans="43:43" ht="12" customHeight="1" x14ac:dyDescent="0.2">
      <c r="AQ5139" s="32"/>
    </row>
    <row r="5140" spans="43:43" ht="12" customHeight="1" x14ac:dyDescent="0.2">
      <c r="AQ5140" s="32"/>
    </row>
    <row r="5141" spans="43:43" ht="12" customHeight="1" x14ac:dyDescent="0.2">
      <c r="AQ5141" s="32"/>
    </row>
    <row r="5142" spans="43:43" ht="12" customHeight="1" x14ac:dyDescent="0.2">
      <c r="AQ5142" s="32"/>
    </row>
    <row r="5143" spans="43:43" ht="12" customHeight="1" x14ac:dyDescent="0.2">
      <c r="AQ5143" s="32"/>
    </row>
    <row r="5144" spans="43:43" ht="12" customHeight="1" x14ac:dyDescent="0.2">
      <c r="AQ5144" s="32"/>
    </row>
    <row r="5145" spans="43:43" ht="12" customHeight="1" x14ac:dyDescent="0.2">
      <c r="AQ5145" s="32"/>
    </row>
    <row r="5146" spans="43:43" ht="12" customHeight="1" x14ac:dyDescent="0.2">
      <c r="AQ5146" s="32"/>
    </row>
    <row r="5147" spans="43:43" ht="12" customHeight="1" x14ac:dyDescent="0.2">
      <c r="AQ5147" s="32"/>
    </row>
    <row r="5148" spans="43:43" ht="12" customHeight="1" x14ac:dyDescent="0.2">
      <c r="AQ5148" s="32"/>
    </row>
    <row r="5149" spans="43:43" ht="12" customHeight="1" x14ac:dyDescent="0.2">
      <c r="AQ5149" s="32"/>
    </row>
    <row r="5150" spans="43:43" ht="12" customHeight="1" x14ac:dyDescent="0.2">
      <c r="AQ5150" s="32"/>
    </row>
    <row r="5151" spans="43:43" ht="12" customHeight="1" x14ac:dyDescent="0.2">
      <c r="AQ5151" s="32"/>
    </row>
    <row r="5152" spans="43:43" ht="12" customHeight="1" x14ac:dyDescent="0.2">
      <c r="AQ5152" s="32"/>
    </row>
    <row r="5153" spans="43:43" ht="12" customHeight="1" x14ac:dyDescent="0.2">
      <c r="AQ5153" s="32"/>
    </row>
    <row r="5154" spans="43:43" ht="12" customHeight="1" x14ac:dyDescent="0.2">
      <c r="AQ5154" s="32"/>
    </row>
    <row r="5155" spans="43:43" ht="12" customHeight="1" x14ac:dyDescent="0.2">
      <c r="AQ5155" s="32"/>
    </row>
    <row r="5156" spans="43:43" ht="12" customHeight="1" x14ac:dyDescent="0.2">
      <c r="AQ5156" s="32"/>
    </row>
    <row r="5157" spans="43:43" ht="12" customHeight="1" x14ac:dyDescent="0.2">
      <c r="AQ5157" s="32"/>
    </row>
    <row r="5158" spans="43:43" ht="12" customHeight="1" x14ac:dyDescent="0.2">
      <c r="AQ5158" s="32"/>
    </row>
    <row r="5159" spans="43:43" ht="12" customHeight="1" x14ac:dyDescent="0.2">
      <c r="AQ5159" s="32"/>
    </row>
    <row r="5160" spans="43:43" ht="12" customHeight="1" x14ac:dyDescent="0.2">
      <c r="AQ5160" s="32"/>
    </row>
    <row r="5161" spans="43:43" ht="12" customHeight="1" x14ac:dyDescent="0.2">
      <c r="AQ5161" s="32"/>
    </row>
    <row r="5162" spans="43:43" ht="12" customHeight="1" x14ac:dyDescent="0.2">
      <c r="AQ5162" s="32"/>
    </row>
    <row r="5163" spans="43:43" ht="12" customHeight="1" x14ac:dyDescent="0.2">
      <c r="AQ5163" s="32"/>
    </row>
    <row r="5164" spans="43:43" ht="12" customHeight="1" x14ac:dyDescent="0.2">
      <c r="AQ5164" s="32"/>
    </row>
    <row r="5165" spans="43:43" ht="12" customHeight="1" x14ac:dyDescent="0.2">
      <c r="AQ5165" s="32"/>
    </row>
    <row r="5166" spans="43:43" ht="12" customHeight="1" x14ac:dyDescent="0.2">
      <c r="AQ5166" s="32"/>
    </row>
    <row r="5167" spans="43:43" ht="12" customHeight="1" x14ac:dyDescent="0.2">
      <c r="AQ5167" s="32"/>
    </row>
    <row r="5168" spans="43:43" ht="12" customHeight="1" x14ac:dyDescent="0.2">
      <c r="AQ5168" s="32"/>
    </row>
    <row r="5169" spans="43:43" ht="12" customHeight="1" x14ac:dyDescent="0.2">
      <c r="AQ5169" s="32"/>
    </row>
    <row r="5170" spans="43:43" ht="12" customHeight="1" x14ac:dyDescent="0.2">
      <c r="AQ5170" s="32"/>
    </row>
    <row r="5171" spans="43:43" ht="12" customHeight="1" x14ac:dyDescent="0.2">
      <c r="AQ5171" s="32"/>
    </row>
    <row r="5172" spans="43:43" ht="12" customHeight="1" x14ac:dyDescent="0.2">
      <c r="AQ5172" s="32"/>
    </row>
    <row r="5173" spans="43:43" ht="12" customHeight="1" x14ac:dyDescent="0.2">
      <c r="AQ5173" s="32"/>
    </row>
    <row r="5174" spans="43:43" ht="12" customHeight="1" x14ac:dyDescent="0.2">
      <c r="AQ5174" s="32"/>
    </row>
    <row r="5175" spans="43:43" ht="12" customHeight="1" x14ac:dyDescent="0.2">
      <c r="AQ5175" s="32"/>
    </row>
    <row r="5176" spans="43:43" ht="12" customHeight="1" x14ac:dyDescent="0.2">
      <c r="AQ5176" s="32"/>
    </row>
    <row r="5177" spans="43:43" ht="12" customHeight="1" x14ac:dyDescent="0.2">
      <c r="AQ5177" s="32"/>
    </row>
    <row r="5178" spans="43:43" ht="12" customHeight="1" x14ac:dyDescent="0.2">
      <c r="AQ5178" s="32"/>
    </row>
    <row r="5179" spans="43:43" ht="12" customHeight="1" x14ac:dyDescent="0.2">
      <c r="AQ5179" s="32"/>
    </row>
    <row r="5180" spans="43:43" ht="12" customHeight="1" x14ac:dyDescent="0.2">
      <c r="AQ5180" s="32"/>
    </row>
    <row r="5181" spans="43:43" ht="12" customHeight="1" x14ac:dyDescent="0.2">
      <c r="AQ5181" s="32"/>
    </row>
    <row r="5182" spans="43:43" ht="12" customHeight="1" x14ac:dyDescent="0.2">
      <c r="AQ5182" s="32"/>
    </row>
    <row r="5183" spans="43:43" ht="12" customHeight="1" x14ac:dyDescent="0.2">
      <c r="AQ5183" s="32"/>
    </row>
    <row r="5184" spans="43:43" ht="12" customHeight="1" x14ac:dyDescent="0.2">
      <c r="AQ5184" s="32"/>
    </row>
    <row r="5185" spans="43:43" ht="12" customHeight="1" x14ac:dyDescent="0.2">
      <c r="AQ5185" s="32"/>
    </row>
    <row r="5186" spans="43:43" ht="12" customHeight="1" x14ac:dyDescent="0.2">
      <c r="AQ5186" s="32"/>
    </row>
    <row r="5187" spans="43:43" ht="12" customHeight="1" x14ac:dyDescent="0.2">
      <c r="AQ5187" s="32"/>
    </row>
    <row r="5188" spans="43:43" ht="12" customHeight="1" x14ac:dyDescent="0.2">
      <c r="AQ5188" s="32"/>
    </row>
    <row r="5189" spans="43:43" ht="12" customHeight="1" x14ac:dyDescent="0.2">
      <c r="AQ5189" s="32"/>
    </row>
    <row r="5190" spans="43:43" ht="12" customHeight="1" x14ac:dyDescent="0.2">
      <c r="AQ5190" s="32"/>
    </row>
    <row r="5191" spans="43:43" ht="12" customHeight="1" x14ac:dyDescent="0.2">
      <c r="AQ5191" s="32"/>
    </row>
    <row r="5192" spans="43:43" ht="12" customHeight="1" x14ac:dyDescent="0.2">
      <c r="AQ5192" s="32"/>
    </row>
    <row r="5193" spans="43:43" ht="12" customHeight="1" x14ac:dyDescent="0.2">
      <c r="AQ5193" s="32"/>
    </row>
    <row r="5194" spans="43:43" ht="12" customHeight="1" x14ac:dyDescent="0.2">
      <c r="AQ5194" s="32"/>
    </row>
    <row r="5195" spans="43:43" ht="12" customHeight="1" x14ac:dyDescent="0.2">
      <c r="AQ5195" s="32"/>
    </row>
    <row r="5196" spans="43:43" ht="12" customHeight="1" x14ac:dyDescent="0.2">
      <c r="AQ5196" s="32"/>
    </row>
    <row r="5197" spans="43:43" ht="12" customHeight="1" x14ac:dyDescent="0.2">
      <c r="AQ5197" s="32"/>
    </row>
    <row r="5198" spans="43:43" ht="12" customHeight="1" x14ac:dyDescent="0.2">
      <c r="AQ5198" s="32"/>
    </row>
    <row r="5199" spans="43:43" ht="12" customHeight="1" x14ac:dyDescent="0.2">
      <c r="AQ5199" s="32"/>
    </row>
    <row r="5200" spans="43:43" ht="12" customHeight="1" x14ac:dyDescent="0.2">
      <c r="AQ5200" s="32"/>
    </row>
    <row r="5201" spans="43:43" ht="12" customHeight="1" x14ac:dyDescent="0.2">
      <c r="AQ5201" s="32"/>
    </row>
    <row r="5202" spans="43:43" ht="12" customHeight="1" x14ac:dyDescent="0.2">
      <c r="AQ5202" s="32"/>
    </row>
    <row r="5203" spans="43:43" ht="12" customHeight="1" x14ac:dyDescent="0.2">
      <c r="AQ5203" s="32"/>
    </row>
    <row r="5204" spans="43:43" ht="12" customHeight="1" x14ac:dyDescent="0.2">
      <c r="AQ5204" s="32"/>
    </row>
    <row r="5205" spans="43:43" ht="12" customHeight="1" x14ac:dyDescent="0.2">
      <c r="AQ5205" s="32"/>
    </row>
    <row r="5206" spans="43:43" ht="12" customHeight="1" x14ac:dyDescent="0.2">
      <c r="AQ5206" s="32"/>
    </row>
    <row r="5207" spans="43:43" ht="12" customHeight="1" x14ac:dyDescent="0.2">
      <c r="AQ5207" s="32"/>
    </row>
    <row r="5208" spans="43:43" ht="12" customHeight="1" x14ac:dyDescent="0.2">
      <c r="AQ5208" s="32"/>
    </row>
    <row r="5209" spans="43:43" ht="12" customHeight="1" x14ac:dyDescent="0.2">
      <c r="AQ5209" s="32"/>
    </row>
    <row r="5210" spans="43:43" ht="12" customHeight="1" x14ac:dyDescent="0.2">
      <c r="AQ5210" s="32"/>
    </row>
    <row r="5211" spans="43:43" ht="12" customHeight="1" x14ac:dyDescent="0.2">
      <c r="AQ5211" s="32"/>
    </row>
    <row r="5212" spans="43:43" ht="12" customHeight="1" x14ac:dyDescent="0.2">
      <c r="AQ5212" s="32"/>
    </row>
    <row r="5213" spans="43:43" ht="12" customHeight="1" x14ac:dyDescent="0.2">
      <c r="AQ5213" s="32"/>
    </row>
    <row r="5214" spans="43:43" ht="12" customHeight="1" x14ac:dyDescent="0.2">
      <c r="AQ5214" s="32"/>
    </row>
    <row r="5215" spans="43:43" ht="12" customHeight="1" x14ac:dyDescent="0.2">
      <c r="AQ5215" s="32"/>
    </row>
    <row r="5216" spans="43:43" ht="12" customHeight="1" x14ac:dyDescent="0.2">
      <c r="AQ5216" s="32"/>
    </row>
    <row r="5217" spans="43:43" ht="12" customHeight="1" x14ac:dyDescent="0.2">
      <c r="AQ5217" s="32"/>
    </row>
    <row r="5218" spans="43:43" ht="12" customHeight="1" x14ac:dyDescent="0.2">
      <c r="AQ5218" s="32"/>
    </row>
    <row r="5219" spans="43:43" ht="12" customHeight="1" x14ac:dyDescent="0.2">
      <c r="AQ5219" s="32"/>
    </row>
    <row r="5220" spans="43:43" ht="12" customHeight="1" x14ac:dyDescent="0.2">
      <c r="AQ5220" s="32"/>
    </row>
    <row r="5221" spans="43:43" ht="12" customHeight="1" x14ac:dyDescent="0.2">
      <c r="AQ5221" s="32"/>
    </row>
    <row r="5222" spans="43:43" ht="12" customHeight="1" x14ac:dyDescent="0.2">
      <c r="AQ5222" s="32"/>
    </row>
    <row r="5223" spans="43:43" ht="12" customHeight="1" x14ac:dyDescent="0.2">
      <c r="AQ5223" s="32"/>
    </row>
    <row r="5224" spans="43:43" ht="12" customHeight="1" x14ac:dyDescent="0.2">
      <c r="AQ5224" s="32"/>
    </row>
    <row r="5225" spans="43:43" ht="12" customHeight="1" x14ac:dyDescent="0.2">
      <c r="AQ5225" s="32"/>
    </row>
    <row r="5226" spans="43:43" ht="12" customHeight="1" x14ac:dyDescent="0.2">
      <c r="AQ5226" s="32"/>
    </row>
    <row r="5227" spans="43:43" ht="12" customHeight="1" x14ac:dyDescent="0.2">
      <c r="AQ5227" s="32"/>
    </row>
    <row r="5228" spans="43:43" ht="12" customHeight="1" x14ac:dyDescent="0.2">
      <c r="AQ5228" s="32"/>
    </row>
    <row r="5229" spans="43:43" ht="12" customHeight="1" x14ac:dyDescent="0.2">
      <c r="AQ5229" s="32"/>
    </row>
    <row r="5230" spans="43:43" ht="12" customHeight="1" x14ac:dyDescent="0.2">
      <c r="AQ5230" s="32"/>
    </row>
    <row r="5231" spans="43:43" ht="12" customHeight="1" x14ac:dyDescent="0.2">
      <c r="AQ5231" s="32"/>
    </row>
    <row r="5232" spans="43:43" ht="12" customHeight="1" x14ac:dyDescent="0.2">
      <c r="AQ5232" s="32"/>
    </row>
    <row r="5233" spans="43:43" ht="12" customHeight="1" x14ac:dyDescent="0.2">
      <c r="AQ5233" s="32"/>
    </row>
    <row r="5234" spans="43:43" ht="12" customHeight="1" x14ac:dyDescent="0.2">
      <c r="AQ5234" s="32"/>
    </row>
    <row r="5235" spans="43:43" ht="12" customHeight="1" x14ac:dyDescent="0.2">
      <c r="AQ5235" s="32"/>
    </row>
    <row r="5236" spans="43:43" ht="12" customHeight="1" x14ac:dyDescent="0.2">
      <c r="AQ5236" s="32"/>
    </row>
    <row r="5237" spans="43:43" ht="12" customHeight="1" x14ac:dyDescent="0.2">
      <c r="AQ5237" s="32"/>
    </row>
    <row r="5238" spans="43:43" ht="12" customHeight="1" x14ac:dyDescent="0.2">
      <c r="AQ5238" s="32"/>
    </row>
    <row r="5239" spans="43:43" ht="12" customHeight="1" x14ac:dyDescent="0.2">
      <c r="AQ5239" s="32"/>
    </row>
    <row r="5240" spans="43:43" ht="12" customHeight="1" x14ac:dyDescent="0.2">
      <c r="AQ5240" s="32"/>
    </row>
    <row r="5241" spans="43:43" ht="12" customHeight="1" x14ac:dyDescent="0.2">
      <c r="AQ5241" s="32"/>
    </row>
    <row r="5242" spans="43:43" ht="12" customHeight="1" x14ac:dyDescent="0.2">
      <c r="AQ5242" s="32"/>
    </row>
    <row r="5243" spans="43:43" ht="12" customHeight="1" x14ac:dyDescent="0.2">
      <c r="AQ5243" s="32"/>
    </row>
    <row r="5244" spans="43:43" ht="12" customHeight="1" x14ac:dyDescent="0.2">
      <c r="AQ5244" s="32"/>
    </row>
    <row r="5245" spans="43:43" ht="12" customHeight="1" x14ac:dyDescent="0.2">
      <c r="AQ5245" s="32"/>
    </row>
    <row r="5246" spans="43:43" ht="12" customHeight="1" x14ac:dyDescent="0.2">
      <c r="AQ5246" s="32"/>
    </row>
    <row r="5247" spans="43:43" ht="12" customHeight="1" x14ac:dyDescent="0.2">
      <c r="AQ5247" s="32"/>
    </row>
    <row r="5248" spans="43:43" ht="12" customHeight="1" x14ac:dyDescent="0.2">
      <c r="AQ5248" s="32"/>
    </row>
    <row r="5249" spans="43:43" ht="12" customHeight="1" x14ac:dyDescent="0.2">
      <c r="AQ5249" s="32"/>
    </row>
    <row r="5250" spans="43:43" ht="12" customHeight="1" x14ac:dyDescent="0.2">
      <c r="AQ5250" s="32"/>
    </row>
    <row r="5251" spans="43:43" ht="12" customHeight="1" x14ac:dyDescent="0.2">
      <c r="AQ5251" s="32"/>
    </row>
    <row r="5252" spans="43:43" ht="12" customHeight="1" x14ac:dyDescent="0.2">
      <c r="AQ5252" s="32"/>
    </row>
    <row r="5253" spans="43:43" ht="12" customHeight="1" x14ac:dyDescent="0.2">
      <c r="AQ5253" s="32"/>
    </row>
    <row r="5254" spans="43:43" ht="12" customHeight="1" x14ac:dyDescent="0.2">
      <c r="AQ5254" s="32"/>
    </row>
    <row r="5255" spans="43:43" ht="12" customHeight="1" x14ac:dyDescent="0.2">
      <c r="AQ5255" s="32"/>
    </row>
  </sheetData>
  <sheetProtection algorithmName="SHA-512" hashValue="LRliVZMZ8u8iiiDiS6rpfb5weKYg9DCpzkFnH4PRO5BWXwyVYcIm4/pzlcRl49OPRvt9NwpqxRdvStZFegGAVw==" saltValue="/rQS9tcSx5S64Li/oXWW0g==" spinCount="100000" sheet="1" objects="1" scenarios="1"/>
  <mergeCells count="8">
    <mergeCell ref="E2:H7"/>
    <mergeCell ref="E30:H30"/>
    <mergeCell ref="E32:E35"/>
    <mergeCell ref="G32:H35"/>
    <mergeCell ref="E17:E25"/>
    <mergeCell ref="E9:E13"/>
    <mergeCell ref="E15:H15"/>
    <mergeCell ref="E28:H28"/>
  </mergeCells>
  <hyperlinks>
    <hyperlink ref="C37" r:id="rId1" xr:uid="{426F0174-434B-4145-B156-C6DF370A0400}"/>
    <hyperlink ref="C41" r:id="rId2" xr:uid="{DB0E0785-225E-4CC0-B776-ED5A79FF7BA6}"/>
  </hyperlinks>
  <pageMargins left="0.45" right="0.45" top="0.25" bottom="0.25" header="0" footer="0"/>
  <pageSetup paperSize="5" orientation="landscape" r:id="rId3"/>
  <drawing r:id="rId4"/>
  <legacyDrawing r:id="rId5"/>
  <controls>
    <mc:AlternateContent xmlns:mc="http://schemas.openxmlformats.org/markup-compatibility/2006">
      <mc:Choice Requires="x14">
        <control shapeId="1026" r:id="rId6" name="CommandButton2">
          <controlPr defaultSize="0" autoLine="0" r:id="rId7">
            <anchor moveWithCells="1">
              <from>
                <xdr:col>6</xdr:col>
                <xdr:colOff>371475</xdr:colOff>
                <xdr:row>37</xdr:row>
                <xdr:rowOff>28575</xdr:rowOff>
              </from>
              <to>
                <xdr:col>6</xdr:col>
                <xdr:colOff>1200150</xdr:colOff>
                <xdr:row>38</xdr:row>
                <xdr:rowOff>161925</xdr:rowOff>
              </to>
            </anchor>
          </controlPr>
        </control>
      </mc:Choice>
      <mc:Fallback>
        <control shapeId="1026" r:id="rId6" name="CommandButton2"/>
      </mc:Fallback>
    </mc:AlternateContent>
    <mc:AlternateContent xmlns:mc="http://schemas.openxmlformats.org/markup-compatibility/2006">
      <mc:Choice Requires="x14">
        <control shapeId="1027" r:id="rId8" name="CommandButton1">
          <controlPr defaultSize="0" autoLine="0" r:id="rId9">
            <anchor moveWithCells="1">
              <from>
                <xdr:col>4</xdr:col>
                <xdr:colOff>104775</xdr:colOff>
                <xdr:row>37</xdr:row>
                <xdr:rowOff>28575</xdr:rowOff>
              </from>
              <to>
                <xdr:col>6</xdr:col>
                <xdr:colOff>104775</xdr:colOff>
                <xdr:row>38</xdr:row>
                <xdr:rowOff>161925</xdr:rowOff>
              </to>
            </anchor>
          </controlPr>
        </control>
      </mc:Choice>
      <mc:Fallback>
        <control shapeId="1027" r:id="rId8" name="CommandButton1"/>
      </mc:Fallback>
    </mc:AlternateContent>
    <mc:AlternateContent xmlns:mc="http://schemas.openxmlformats.org/markup-compatibility/2006">
      <mc:Choice Requires="x14">
        <control shapeId="1028" r:id="rId10" name="CommandButton3">
          <controlPr defaultSize="0" autoLine="0" r:id="rId11">
            <anchor moveWithCells="1">
              <from>
                <xdr:col>6</xdr:col>
                <xdr:colOff>1438275</xdr:colOff>
                <xdr:row>37</xdr:row>
                <xdr:rowOff>28575</xdr:rowOff>
              </from>
              <to>
                <xdr:col>8</xdr:col>
                <xdr:colOff>0</xdr:colOff>
                <xdr:row>38</xdr:row>
                <xdr:rowOff>152400</xdr:rowOff>
              </to>
            </anchor>
          </controlPr>
        </control>
      </mc:Choice>
      <mc:Fallback>
        <control shapeId="102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1ACCF-89D7-4F4E-99E5-79A252293560}">
  <sheetPr codeName="Sheet2"/>
  <dimension ref="A1:M29"/>
  <sheetViews>
    <sheetView showGridLines="0" showRowColHeaders="0" zoomScale="110" zoomScaleNormal="110" workbookViewId="0">
      <selection activeCell="B44" sqref="B44"/>
    </sheetView>
  </sheetViews>
  <sheetFormatPr defaultColWidth="192.85546875" defaultRowHeight="12.75" x14ac:dyDescent="0.25"/>
  <cols>
    <col min="1" max="1" width="24.5703125" style="58" customWidth="1"/>
    <col min="2" max="2" width="190.42578125" style="56" customWidth="1"/>
    <col min="3" max="16384" width="192.85546875" style="56"/>
  </cols>
  <sheetData>
    <row r="1" spans="1:13" x14ac:dyDescent="0.25">
      <c r="A1" s="55" t="s">
        <v>123</v>
      </c>
      <c r="C1" s="57"/>
      <c r="D1" s="57"/>
      <c r="E1" s="57"/>
      <c r="F1" s="57"/>
      <c r="G1" s="57"/>
      <c r="H1" s="57"/>
      <c r="I1" s="57"/>
      <c r="J1" s="57"/>
      <c r="K1" s="57"/>
      <c r="L1" s="57"/>
      <c r="M1" s="57"/>
    </row>
    <row r="2" spans="1:13" x14ac:dyDescent="0.25">
      <c r="B2" s="55"/>
      <c r="C2" s="57"/>
      <c r="D2" s="57"/>
      <c r="E2" s="57"/>
      <c r="F2" s="57"/>
      <c r="G2" s="57"/>
      <c r="H2" s="57"/>
      <c r="I2" s="57"/>
      <c r="J2" s="57"/>
      <c r="K2" s="57"/>
      <c r="L2" s="57"/>
      <c r="M2" s="57"/>
    </row>
    <row r="3" spans="1:13" x14ac:dyDescent="0.25">
      <c r="A3" s="61" t="s">
        <v>124</v>
      </c>
      <c r="B3" s="59" t="s">
        <v>127</v>
      </c>
      <c r="C3" s="59"/>
      <c r="D3" s="59"/>
      <c r="E3" s="59"/>
      <c r="F3" s="59"/>
      <c r="G3" s="59"/>
      <c r="H3" s="59"/>
      <c r="I3" s="59"/>
      <c r="J3" s="59"/>
      <c r="K3" s="59"/>
      <c r="L3" s="59"/>
      <c r="M3" s="59"/>
    </row>
    <row r="4" spans="1:13" x14ac:dyDescent="0.25">
      <c r="A4" s="58" t="s">
        <v>148</v>
      </c>
      <c r="B4" s="59" t="s">
        <v>128</v>
      </c>
      <c r="C4" s="59"/>
      <c r="D4" s="59"/>
      <c r="E4" s="59"/>
      <c r="F4" s="59"/>
      <c r="G4" s="59"/>
      <c r="H4" s="59"/>
      <c r="I4" s="59"/>
      <c r="J4" s="59"/>
      <c r="K4" s="59"/>
      <c r="L4" s="59"/>
      <c r="M4" s="59"/>
    </row>
    <row r="5" spans="1:13" x14ac:dyDescent="0.25">
      <c r="A5" s="58" t="s">
        <v>149</v>
      </c>
      <c r="B5" s="59" t="s">
        <v>129</v>
      </c>
      <c r="C5" s="59"/>
      <c r="D5" s="59"/>
      <c r="E5" s="59"/>
      <c r="F5" s="59"/>
      <c r="G5" s="59"/>
      <c r="H5" s="59"/>
      <c r="I5" s="59"/>
      <c r="J5" s="59"/>
      <c r="K5" s="59"/>
      <c r="L5" s="59"/>
      <c r="M5" s="59"/>
    </row>
    <row r="6" spans="1:13" x14ac:dyDescent="0.25">
      <c r="A6" s="58" t="s">
        <v>150</v>
      </c>
      <c r="B6" s="59" t="s">
        <v>130</v>
      </c>
      <c r="C6" s="59"/>
      <c r="D6" s="59"/>
      <c r="E6" s="59"/>
      <c r="F6" s="59"/>
      <c r="G6" s="59"/>
      <c r="H6" s="59"/>
      <c r="I6" s="59"/>
      <c r="J6" s="59"/>
      <c r="K6" s="59"/>
      <c r="L6" s="59"/>
      <c r="M6" s="59"/>
    </row>
    <row r="7" spans="1:13" x14ac:dyDescent="0.25">
      <c r="A7" s="58" t="s">
        <v>151</v>
      </c>
      <c r="B7" s="59" t="s">
        <v>131</v>
      </c>
      <c r="C7" s="59"/>
      <c r="D7" s="59"/>
      <c r="E7" s="59"/>
      <c r="F7" s="59"/>
      <c r="G7" s="59"/>
      <c r="H7" s="59"/>
      <c r="I7" s="59"/>
      <c r="J7" s="59"/>
      <c r="K7" s="59"/>
      <c r="L7" s="59"/>
      <c r="M7" s="59"/>
    </row>
    <row r="8" spans="1:13" x14ac:dyDescent="0.25">
      <c r="B8" s="60"/>
      <c r="C8" s="59"/>
      <c r="D8" s="59"/>
      <c r="E8" s="59"/>
      <c r="F8" s="59"/>
      <c r="G8" s="59"/>
      <c r="H8" s="59"/>
      <c r="I8" s="59"/>
      <c r="J8" s="59"/>
      <c r="K8" s="59"/>
      <c r="L8" s="59"/>
      <c r="M8" s="59"/>
    </row>
    <row r="9" spans="1:13" x14ac:dyDescent="0.25">
      <c r="A9" s="61" t="s">
        <v>125</v>
      </c>
      <c r="B9" s="59" t="s">
        <v>132</v>
      </c>
      <c r="C9" s="59"/>
      <c r="D9" s="59"/>
      <c r="E9" s="59"/>
      <c r="F9" s="59"/>
      <c r="G9" s="59"/>
      <c r="H9" s="59"/>
      <c r="I9" s="59"/>
      <c r="J9" s="59"/>
      <c r="K9" s="59"/>
      <c r="L9" s="59"/>
      <c r="M9" s="59"/>
    </row>
    <row r="10" spans="1:13" x14ac:dyDescent="0.25">
      <c r="A10" s="58" t="s">
        <v>152</v>
      </c>
      <c r="B10" s="59" t="s">
        <v>128</v>
      </c>
      <c r="C10" s="59"/>
      <c r="D10" s="59"/>
      <c r="E10" s="59"/>
      <c r="F10" s="59"/>
      <c r="G10" s="59"/>
      <c r="H10" s="59"/>
      <c r="I10" s="59"/>
      <c r="J10" s="59"/>
      <c r="K10" s="59"/>
      <c r="L10" s="59"/>
      <c r="M10" s="59"/>
    </row>
    <row r="11" spans="1:13" x14ac:dyDescent="0.25">
      <c r="A11" s="58" t="s">
        <v>153</v>
      </c>
      <c r="B11" s="59" t="s">
        <v>133</v>
      </c>
      <c r="C11" s="59"/>
      <c r="D11" s="59"/>
      <c r="E11" s="59"/>
      <c r="F11" s="59"/>
      <c r="G11" s="59"/>
      <c r="H11" s="59"/>
      <c r="I11" s="59"/>
      <c r="J11" s="59"/>
      <c r="K11" s="59"/>
      <c r="L11" s="59"/>
      <c r="M11" s="59"/>
    </row>
    <row r="12" spans="1:13" x14ac:dyDescent="0.25">
      <c r="A12" s="58" t="s">
        <v>154</v>
      </c>
      <c r="B12" s="59" t="s">
        <v>134</v>
      </c>
      <c r="C12" s="59"/>
      <c r="D12" s="59"/>
      <c r="E12" s="59"/>
      <c r="F12" s="59"/>
      <c r="G12" s="59"/>
      <c r="H12" s="59"/>
      <c r="I12" s="59"/>
      <c r="J12" s="59"/>
      <c r="K12" s="59"/>
      <c r="L12" s="59"/>
      <c r="M12" s="59"/>
    </row>
    <row r="13" spans="1:13" x14ac:dyDescent="0.25">
      <c r="A13" s="58" t="s">
        <v>159</v>
      </c>
      <c r="B13" s="59" t="s">
        <v>131</v>
      </c>
      <c r="C13" s="59"/>
      <c r="D13" s="59"/>
      <c r="E13" s="59"/>
      <c r="F13" s="59"/>
      <c r="G13" s="59"/>
      <c r="H13" s="59"/>
      <c r="I13" s="59"/>
      <c r="J13" s="59"/>
      <c r="K13" s="59"/>
      <c r="L13" s="59"/>
      <c r="M13" s="59"/>
    </row>
    <row r="14" spans="1:13" x14ac:dyDescent="0.25">
      <c r="B14" s="60"/>
      <c r="C14" s="59"/>
      <c r="D14" s="59"/>
      <c r="E14" s="59"/>
      <c r="F14" s="59"/>
      <c r="G14" s="59"/>
      <c r="H14" s="59"/>
      <c r="I14" s="59"/>
      <c r="J14" s="59"/>
      <c r="K14" s="59"/>
      <c r="L14" s="59"/>
      <c r="M14" s="59"/>
    </row>
    <row r="15" spans="1:13" x14ac:dyDescent="0.25">
      <c r="A15" s="61" t="s">
        <v>126</v>
      </c>
      <c r="B15" s="59" t="s">
        <v>135</v>
      </c>
      <c r="C15" s="59"/>
      <c r="D15" s="59"/>
      <c r="E15" s="59"/>
      <c r="F15" s="59"/>
      <c r="G15" s="59"/>
      <c r="H15" s="59"/>
      <c r="I15" s="59"/>
      <c r="J15" s="59"/>
      <c r="K15" s="59"/>
      <c r="L15" s="59"/>
      <c r="M15" s="59"/>
    </row>
    <row r="16" spans="1:13" x14ac:dyDescent="0.25">
      <c r="A16" s="58" t="s">
        <v>155</v>
      </c>
      <c r="B16" s="59" t="s">
        <v>128</v>
      </c>
      <c r="C16" s="59"/>
      <c r="D16" s="59"/>
      <c r="E16" s="59"/>
      <c r="F16" s="59"/>
      <c r="G16" s="59"/>
      <c r="H16" s="59"/>
      <c r="I16" s="59"/>
      <c r="J16" s="59"/>
      <c r="K16" s="59"/>
      <c r="L16" s="59"/>
      <c r="M16" s="59"/>
    </row>
    <row r="17" spans="1:13" ht="25.5" x14ac:dyDescent="0.25">
      <c r="A17" s="58" t="s">
        <v>156</v>
      </c>
      <c r="B17" s="59" t="s">
        <v>136</v>
      </c>
      <c r="C17" s="59"/>
      <c r="D17" s="59"/>
      <c r="E17" s="59"/>
      <c r="F17" s="59"/>
      <c r="G17" s="59"/>
      <c r="H17" s="59"/>
      <c r="I17" s="59"/>
      <c r="J17" s="59"/>
      <c r="K17" s="59"/>
      <c r="L17" s="59"/>
      <c r="M17" s="59"/>
    </row>
    <row r="18" spans="1:13" ht="25.5" x14ac:dyDescent="0.25">
      <c r="A18" s="58" t="s">
        <v>157</v>
      </c>
      <c r="B18" s="59" t="s">
        <v>137</v>
      </c>
      <c r="C18" s="59"/>
      <c r="D18" s="59"/>
      <c r="E18" s="59"/>
      <c r="F18" s="59"/>
      <c r="G18" s="59"/>
      <c r="H18" s="59"/>
      <c r="I18" s="59"/>
      <c r="J18" s="59"/>
      <c r="K18" s="59"/>
      <c r="L18" s="59"/>
      <c r="M18" s="59"/>
    </row>
    <row r="19" spans="1:13" ht="25.5" x14ac:dyDescent="0.25">
      <c r="A19" s="58" t="s">
        <v>158</v>
      </c>
      <c r="B19" s="59" t="s">
        <v>138</v>
      </c>
      <c r="C19" s="59"/>
      <c r="D19" s="59"/>
      <c r="E19" s="59"/>
      <c r="F19" s="59"/>
      <c r="G19" s="59"/>
      <c r="H19" s="59"/>
      <c r="I19" s="59"/>
      <c r="J19" s="59"/>
      <c r="K19" s="59"/>
      <c r="L19" s="59"/>
      <c r="M19" s="59"/>
    </row>
    <row r="20" spans="1:13" x14ac:dyDescent="0.25">
      <c r="B20" s="60"/>
      <c r="C20" s="59"/>
      <c r="D20" s="59"/>
      <c r="E20" s="59"/>
      <c r="F20" s="59"/>
      <c r="G20" s="59"/>
      <c r="H20" s="59"/>
      <c r="I20" s="59"/>
      <c r="J20" s="59"/>
      <c r="K20" s="59"/>
      <c r="L20" s="59"/>
      <c r="M20" s="59"/>
    </row>
    <row r="21" spans="1:13" x14ac:dyDescent="0.25">
      <c r="A21" s="58" t="s">
        <v>160</v>
      </c>
      <c r="B21" s="59" t="s">
        <v>139</v>
      </c>
      <c r="C21" s="59"/>
      <c r="D21" s="59"/>
      <c r="E21" s="59"/>
      <c r="F21" s="59"/>
      <c r="G21" s="59"/>
      <c r="H21" s="59"/>
      <c r="I21" s="59"/>
      <c r="J21" s="59"/>
      <c r="K21" s="59"/>
      <c r="L21" s="59"/>
      <c r="M21" s="59"/>
    </row>
    <row r="22" spans="1:13" x14ac:dyDescent="0.25">
      <c r="A22" s="58" t="s">
        <v>161</v>
      </c>
      <c r="B22" s="59" t="s">
        <v>140</v>
      </c>
      <c r="C22" s="59"/>
      <c r="D22" s="59"/>
      <c r="E22" s="59"/>
      <c r="F22" s="59"/>
      <c r="G22" s="59"/>
      <c r="H22" s="59"/>
      <c r="I22" s="59"/>
      <c r="J22" s="59"/>
      <c r="K22" s="59"/>
      <c r="L22" s="59"/>
      <c r="M22" s="59"/>
    </row>
    <row r="23" spans="1:13" x14ac:dyDescent="0.25">
      <c r="A23" s="58" t="s">
        <v>162</v>
      </c>
      <c r="B23" s="59" t="s">
        <v>141</v>
      </c>
      <c r="C23" s="59"/>
      <c r="D23" s="59"/>
      <c r="E23" s="59"/>
      <c r="F23" s="59"/>
      <c r="G23" s="59"/>
      <c r="H23" s="59"/>
      <c r="I23" s="59"/>
      <c r="J23" s="59"/>
      <c r="K23" s="59"/>
      <c r="L23" s="59"/>
      <c r="M23" s="59"/>
    </row>
    <row r="24" spans="1:13" x14ac:dyDescent="0.25">
      <c r="A24" s="58" t="s">
        <v>163</v>
      </c>
      <c r="B24" s="59" t="s">
        <v>142</v>
      </c>
      <c r="C24" s="59"/>
      <c r="D24" s="59"/>
      <c r="E24" s="59"/>
      <c r="F24" s="59"/>
      <c r="G24" s="59"/>
      <c r="H24" s="59"/>
      <c r="I24" s="59"/>
      <c r="J24" s="59"/>
      <c r="K24" s="59"/>
      <c r="L24" s="59"/>
      <c r="M24" s="59"/>
    </row>
    <row r="25" spans="1:13" x14ac:dyDescent="0.25">
      <c r="A25" s="58" t="s">
        <v>164</v>
      </c>
      <c r="B25" s="59" t="s">
        <v>143</v>
      </c>
      <c r="C25" s="59"/>
      <c r="D25" s="59"/>
      <c r="E25" s="59"/>
      <c r="F25" s="59"/>
      <c r="G25" s="59"/>
      <c r="H25" s="59"/>
      <c r="I25" s="59"/>
      <c r="J25" s="59"/>
      <c r="K25" s="59"/>
      <c r="L25" s="59"/>
      <c r="M25" s="59"/>
    </row>
    <row r="26" spans="1:13" x14ac:dyDescent="0.25">
      <c r="A26" s="58" t="s">
        <v>165</v>
      </c>
      <c r="B26" s="59" t="s">
        <v>144</v>
      </c>
      <c r="C26" s="59"/>
      <c r="D26" s="59"/>
      <c r="E26" s="59"/>
      <c r="F26" s="59"/>
      <c r="G26" s="59"/>
      <c r="H26" s="59"/>
      <c r="I26" s="59"/>
      <c r="J26" s="59"/>
      <c r="K26" s="59"/>
      <c r="L26" s="59"/>
      <c r="M26" s="59"/>
    </row>
    <row r="27" spans="1:13" x14ac:dyDescent="0.25">
      <c r="A27" s="58" t="s">
        <v>166</v>
      </c>
      <c r="B27" s="59" t="s">
        <v>145</v>
      </c>
      <c r="C27" s="59"/>
      <c r="D27" s="59"/>
      <c r="E27" s="59"/>
      <c r="F27" s="59"/>
      <c r="G27" s="59"/>
      <c r="H27" s="59"/>
      <c r="I27" s="59"/>
      <c r="J27" s="59"/>
      <c r="K27" s="59"/>
      <c r="L27" s="59"/>
      <c r="M27" s="59"/>
    </row>
    <row r="28" spans="1:13" x14ac:dyDescent="0.25">
      <c r="A28" s="58" t="s">
        <v>167</v>
      </c>
      <c r="B28" s="59" t="s">
        <v>146</v>
      </c>
      <c r="C28" s="59"/>
      <c r="D28" s="59"/>
      <c r="E28" s="59"/>
      <c r="F28" s="59"/>
      <c r="G28" s="59"/>
      <c r="H28" s="59"/>
      <c r="I28" s="59"/>
      <c r="J28" s="59"/>
      <c r="K28" s="59"/>
      <c r="L28" s="59"/>
      <c r="M28" s="59"/>
    </row>
    <row r="29" spans="1:13" x14ac:dyDescent="0.25">
      <c r="A29" s="58" t="s">
        <v>168</v>
      </c>
      <c r="B29" s="59" t="s">
        <v>147</v>
      </c>
      <c r="C29" s="59"/>
      <c r="D29" s="59"/>
      <c r="E29" s="59"/>
      <c r="F29" s="59"/>
      <c r="G29" s="59"/>
      <c r="H29" s="59"/>
      <c r="I29" s="59"/>
      <c r="J29" s="59"/>
      <c r="K29" s="59"/>
      <c r="L29" s="59"/>
      <c r="M29" s="59"/>
    </row>
  </sheetData>
  <sheetProtection algorithmName="SHA-512" hashValue="bdQNkgs2aHAwcD1NMmoYTkHp61jrm6SvV7sd28K4fUsMX9D4eY0XXTmx6unRh/76PjH6XLUi2bEGGJATYb3Q5w==" saltValue="KUU7G7GeKs1lnHEYGzdkwA=="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P5253"/>
  <sheetViews>
    <sheetView workbookViewId="0">
      <selection activeCell="A10" sqref="A10"/>
    </sheetView>
  </sheetViews>
  <sheetFormatPr defaultRowHeight="15" x14ac:dyDescent="0.25"/>
  <cols>
    <col min="1" max="2" width="6.7109375" customWidth="1"/>
    <col min="3" max="3" width="1.7109375" customWidth="1"/>
    <col min="4" max="6" width="4.85546875" style="6" bestFit="1" customWidth="1"/>
    <col min="7" max="7" width="1.7109375" customWidth="1"/>
    <col min="8" max="9" width="6.7109375" style="6" customWidth="1"/>
    <col min="10" max="10" width="1.7109375" customWidth="1"/>
    <col min="11" max="12" width="6.7109375" style="6" customWidth="1"/>
    <col min="13" max="13" width="1.7109375" customWidth="1"/>
    <col min="14" max="15" width="6.7109375" customWidth="1"/>
    <col min="16" max="16" width="1.7109375" customWidth="1"/>
    <col min="17" max="18" width="6.7109375" customWidth="1"/>
    <col min="19" max="19" width="1.7109375" customWidth="1"/>
    <col min="20" max="21" width="6.7109375" customWidth="1"/>
    <col min="22" max="22" width="1.7109375" customWidth="1"/>
    <col min="23" max="24" width="6.7109375" customWidth="1"/>
    <col min="25" max="25" width="1.7109375" customWidth="1"/>
    <col min="26" max="27" width="6.7109375" style="6" customWidth="1"/>
    <col min="28" max="28" width="1.7109375" style="6" customWidth="1"/>
    <col min="29" max="30" width="6.7109375" style="6" customWidth="1"/>
    <col min="31" max="31" width="1.7109375" style="6" customWidth="1"/>
    <col min="32" max="33" width="6.7109375" style="6" customWidth="1"/>
    <col min="34" max="34" width="1.7109375" style="6" customWidth="1"/>
    <col min="35" max="36" width="6.7109375" style="6" customWidth="1"/>
    <col min="37" max="37" width="1.7109375" style="6" customWidth="1"/>
    <col min="38" max="39" width="6.7109375" style="6" customWidth="1"/>
    <col min="40" max="40" width="1.7109375" style="6" customWidth="1"/>
    <col min="41" max="42" width="6.7109375" style="6" customWidth="1"/>
    <col min="43" max="43" width="1.7109375" customWidth="1"/>
    <col min="46" max="46" width="1.7109375" customWidth="1"/>
    <col min="47" max="48" width="6.7109375" style="6" customWidth="1"/>
    <col min="49" max="49" width="1.7109375" style="6" customWidth="1"/>
    <col min="50" max="51" width="6.7109375" style="6" customWidth="1"/>
    <col min="52" max="52" width="1.7109375" style="6" customWidth="1"/>
    <col min="53" max="54" width="6.7109375" style="6" customWidth="1"/>
    <col min="55" max="55" width="1.7109375" style="6" customWidth="1"/>
    <col min="56" max="56" width="9.140625" style="19"/>
    <col min="57" max="57" width="1.7109375" style="6" customWidth="1"/>
    <col min="58" max="58" width="9.140625" style="6" customWidth="1"/>
    <col min="59" max="59" width="9.140625" style="6"/>
    <col min="60" max="60" width="13.140625" style="6" bestFit="1" customWidth="1"/>
    <col min="61" max="61" width="1.7109375" customWidth="1"/>
    <col min="62" max="63" width="5.7109375" style="35" customWidth="1"/>
    <col min="64" max="64" width="1.7109375" customWidth="1"/>
    <col min="65" max="66" width="6.7109375" style="38" customWidth="1"/>
    <col min="67" max="67" width="1.7109375" style="32" customWidth="1"/>
    <col min="68" max="68" width="9.140625" style="32"/>
  </cols>
  <sheetData>
    <row r="1" spans="1:68" x14ac:dyDescent="0.25">
      <c r="A1" s="109" t="s">
        <v>2</v>
      </c>
      <c r="B1" s="110"/>
      <c r="D1" s="107" t="s">
        <v>6</v>
      </c>
      <c r="E1" s="108"/>
      <c r="F1" s="108"/>
      <c r="G1" s="2"/>
      <c r="H1" s="107" t="s">
        <v>7</v>
      </c>
      <c r="I1" s="107"/>
      <c r="J1" s="2"/>
      <c r="K1" s="105" t="s">
        <v>8</v>
      </c>
      <c r="L1" s="105"/>
      <c r="M1" s="2"/>
      <c r="N1" s="105" t="s">
        <v>9</v>
      </c>
      <c r="O1" s="105"/>
      <c r="P1" s="2"/>
      <c r="Q1" s="107" t="s">
        <v>10</v>
      </c>
      <c r="R1" s="107"/>
      <c r="S1" s="2"/>
      <c r="T1" s="105" t="s">
        <v>11</v>
      </c>
      <c r="U1" s="105"/>
      <c r="V1" s="2"/>
      <c r="W1" s="105" t="s">
        <v>12</v>
      </c>
      <c r="X1" s="105"/>
      <c r="Y1" s="2"/>
      <c r="Z1" s="107" t="s">
        <v>13</v>
      </c>
      <c r="AA1" s="107"/>
      <c r="AB1" s="3"/>
      <c r="AC1" s="105" t="s">
        <v>14</v>
      </c>
      <c r="AD1" s="105"/>
      <c r="AE1" s="3"/>
      <c r="AF1" s="105" t="s">
        <v>15</v>
      </c>
      <c r="AG1" s="105"/>
      <c r="AH1" s="3"/>
      <c r="AI1" s="107" t="s">
        <v>16</v>
      </c>
      <c r="AJ1" s="107"/>
      <c r="AK1" s="3"/>
      <c r="AL1" s="105" t="s">
        <v>17</v>
      </c>
      <c r="AM1" s="105"/>
      <c r="AN1" s="3"/>
      <c r="AO1" s="105" t="s">
        <v>18</v>
      </c>
      <c r="AP1" s="105"/>
      <c r="AQ1" s="2"/>
      <c r="AR1" s="106" t="s">
        <v>19</v>
      </c>
      <c r="AS1" s="104"/>
      <c r="AT1" s="2"/>
      <c r="AU1" s="103" t="s">
        <v>20</v>
      </c>
      <c r="AV1" s="104"/>
      <c r="AW1" s="3"/>
      <c r="AX1" s="103" t="s">
        <v>25</v>
      </c>
      <c r="AY1" s="104"/>
      <c r="BA1" s="103" t="s">
        <v>32</v>
      </c>
      <c r="BB1" s="104"/>
      <c r="BD1" s="22" t="s">
        <v>39</v>
      </c>
      <c r="BF1" s="105" t="s">
        <v>40</v>
      </c>
      <c r="BG1" s="110"/>
      <c r="BH1" s="110"/>
      <c r="BJ1" s="105" t="s">
        <v>45</v>
      </c>
      <c r="BK1" s="105"/>
      <c r="BM1" s="111" t="s">
        <v>55</v>
      </c>
      <c r="BN1" s="111"/>
      <c r="BP1" s="39" t="s">
        <v>56</v>
      </c>
    </row>
    <row r="2" spans="1:68" x14ac:dyDescent="0.25">
      <c r="A2" s="21" t="s">
        <v>0</v>
      </c>
      <c r="B2" s="21" t="s">
        <v>1</v>
      </c>
      <c r="D2" s="20" t="s">
        <v>5</v>
      </c>
      <c r="E2" s="20" t="s">
        <v>3</v>
      </c>
      <c r="F2" s="20" t="s">
        <v>4</v>
      </c>
      <c r="H2" s="20" t="s">
        <v>3</v>
      </c>
      <c r="I2" s="20" t="s">
        <v>4</v>
      </c>
      <c r="K2" s="20" t="s">
        <v>3</v>
      </c>
      <c r="L2" s="20" t="s">
        <v>4</v>
      </c>
      <c r="N2" s="20" t="s">
        <v>3</v>
      </c>
      <c r="O2" s="20" t="s">
        <v>4</v>
      </c>
      <c r="Q2" s="16" t="s">
        <v>3</v>
      </c>
      <c r="R2" s="16" t="s">
        <v>4</v>
      </c>
      <c r="T2" s="16" t="s">
        <v>3</v>
      </c>
      <c r="U2" s="16" t="s">
        <v>4</v>
      </c>
      <c r="W2" s="16" t="s">
        <v>3</v>
      </c>
      <c r="X2" s="16" t="s">
        <v>4</v>
      </c>
      <c r="Z2" s="20" t="s">
        <v>3</v>
      </c>
      <c r="AA2" s="20" t="s">
        <v>4</v>
      </c>
      <c r="AC2" s="20" t="s">
        <v>3</v>
      </c>
      <c r="AD2" s="20" t="s">
        <v>4</v>
      </c>
      <c r="AF2" s="20" t="s">
        <v>3</v>
      </c>
      <c r="AG2" s="20" t="s">
        <v>4</v>
      </c>
      <c r="AI2" s="16" t="s">
        <v>3</v>
      </c>
      <c r="AJ2" s="16" t="s">
        <v>4</v>
      </c>
      <c r="AL2" s="16" t="s">
        <v>3</v>
      </c>
      <c r="AM2" s="16" t="s">
        <v>4</v>
      </c>
      <c r="AO2" s="16" t="s">
        <v>3</v>
      </c>
      <c r="AP2" s="16" t="s">
        <v>4</v>
      </c>
      <c r="AR2" s="20" t="s">
        <v>3</v>
      </c>
      <c r="AS2" s="20" t="s">
        <v>4</v>
      </c>
      <c r="AU2" s="16" t="s">
        <v>3</v>
      </c>
      <c r="AV2" s="16" t="s">
        <v>4</v>
      </c>
      <c r="AX2" s="16" t="s">
        <v>3</v>
      </c>
      <c r="AY2" s="16" t="s">
        <v>4</v>
      </c>
      <c r="BA2" s="16" t="s">
        <v>3</v>
      </c>
      <c r="BB2" s="16" t="s">
        <v>4</v>
      </c>
      <c r="BD2" s="23">
        <v>0</v>
      </c>
      <c r="BF2" s="20" t="s">
        <v>3</v>
      </c>
      <c r="BG2" s="20" t="s">
        <v>4</v>
      </c>
      <c r="BH2" s="20" t="s">
        <v>41</v>
      </c>
      <c r="BJ2" s="20" t="s">
        <v>3</v>
      </c>
      <c r="BK2" s="20" t="s">
        <v>4</v>
      </c>
      <c r="BM2" s="20" t="s">
        <v>3</v>
      </c>
      <c r="BN2" s="20" t="s">
        <v>4</v>
      </c>
      <c r="BP2" s="40" t="s">
        <v>49</v>
      </c>
    </row>
    <row r="3" spans="1:68" x14ac:dyDescent="0.25">
      <c r="A3" s="24">
        <v>0.5</v>
      </c>
      <c r="B3" s="17">
        <v>0.8660254037844386</v>
      </c>
      <c r="D3" s="10">
        <v>0</v>
      </c>
      <c r="E3" s="4">
        <v>0</v>
      </c>
      <c r="F3" s="5">
        <v>0</v>
      </c>
      <c r="H3" s="10">
        <v>0</v>
      </c>
      <c r="I3" s="5">
        <v>0</v>
      </c>
      <c r="K3" s="10">
        <v>0</v>
      </c>
      <c r="L3" s="5">
        <v>0</v>
      </c>
      <c r="N3" s="10">
        <v>1</v>
      </c>
      <c r="O3" s="5">
        <v>0</v>
      </c>
      <c r="Q3" s="10">
        <v>0</v>
      </c>
      <c r="R3" s="5">
        <v>0</v>
      </c>
      <c r="T3" s="10">
        <v>0.5</v>
      </c>
      <c r="U3" s="5">
        <v>0.8660254037844386</v>
      </c>
      <c r="W3" s="10">
        <v>1</v>
      </c>
      <c r="X3" s="5">
        <v>0</v>
      </c>
      <c r="Z3" s="10">
        <v>0</v>
      </c>
      <c r="AA3" s="5">
        <v>0</v>
      </c>
      <c r="AC3" s="10">
        <v>0</v>
      </c>
      <c r="AD3" s="5">
        <v>0</v>
      </c>
      <c r="AF3" s="10">
        <v>1</v>
      </c>
      <c r="AG3" s="5">
        <v>0</v>
      </c>
      <c r="AI3" s="10">
        <v>0</v>
      </c>
      <c r="AJ3" s="5">
        <v>0</v>
      </c>
      <c r="AL3" s="10">
        <v>0.5</v>
      </c>
      <c r="AM3" s="5">
        <v>0.8660254037844386</v>
      </c>
      <c r="AO3" s="10">
        <v>1</v>
      </c>
      <c r="AP3" s="5">
        <v>0</v>
      </c>
      <c r="AR3" s="10">
        <v>0</v>
      </c>
      <c r="AS3" s="5">
        <v>0</v>
      </c>
      <c r="AU3" s="10">
        <v>0.05</v>
      </c>
      <c r="AV3" s="5">
        <v>8.6602540378443879E-2</v>
      </c>
      <c r="AX3" s="10">
        <v>0.27500000000000008</v>
      </c>
      <c r="AY3" s="5">
        <v>0.47631397208144133</v>
      </c>
      <c r="BA3" s="10">
        <v>0.5</v>
      </c>
      <c r="BB3" s="5">
        <v>0.8660254037844386</v>
      </c>
      <c r="BD3" s="25">
        <v>5</v>
      </c>
      <c r="BF3" s="10">
        <f>(AU48+AU51)/2</f>
        <v>0.48750000000000004</v>
      </c>
      <c r="BG3" s="5">
        <f>(AV47+AV50)/2</f>
        <v>0.60621778264910708</v>
      </c>
      <c r="BH3" s="5" t="s">
        <v>31</v>
      </c>
      <c r="BJ3" s="33">
        <v>0.7</v>
      </c>
      <c r="BK3" s="34">
        <v>0.51961524227066325</v>
      </c>
      <c r="BM3" s="31">
        <v>-0.08</v>
      </c>
      <c r="BN3" s="31">
        <v>0.6</v>
      </c>
      <c r="BP3" s="41" t="s">
        <v>42</v>
      </c>
    </row>
    <row r="4" spans="1:68" x14ac:dyDescent="0.25">
      <c r="A4" s="26">
        <v>0</v>
      </c>
      <c r="B4" s="27">
        <v>0</v>
      </c>
      <c r="D4" s="11">
        <v>0</v>
      </c>
      <c r="E4" s="6">
        <v>9.9999999999999992E-2</v>
      </c>
      <c r="F4" s="7">
        <v>0</v>
      </c>
      <c r="G4" s="1"/>
      <c r="H4" s="11">
        <v>1</v>
      </c>
      <c r="I4" s="7">
        <v>0</v>
      </c>
      <c r="J4" s="1"/>
      <c r="K4" s="11">
        <v>0.5</v>
      </c>
      <c r="L4" s="7">
        <v>0.8660254037844386</v>
      </c>
      <c r="M4" s="1"/>
      <c r="N4" s="11">
        <v>0.5</v>
      </c>
      <c r="O4" s="7">
        <v>0.8660254037844386</v>
      </c>
      <c r="P4" s="1"/>
      <c r="Q4" s="11">
        <v>-0.03</v>
      </c>
      <c r="R4" s="7">
        <v>0</v>
      </c>
      <c r="S4" s="1"/>
      <c r="T4" s="11">
        <f>T3+0.015</f>
        <v>0.51500000000000001</v>
      </c>
      <c r="U4" s="7">
        <f>U3+0.02598</f>
        <v>0.8920054037844386</v>
      </c>
      <c r="V4" s="1"/>
      <c r="W4" s="11">
        <f>W3+0.015</f>
        <v>1.0149999999999999</v>
      </c>
      <c r="X4" s="7">
        <f>X3-0.02598</f>
        <v>-2.598E-2</v>
      </c>
      <c r="Y4" s="1"/>
      <c r="Z4" s="11">
        <v>1</v>
      </c>
      <c r="AA4" s="7">
        <v>0</v>
      </c>
      <c r="AC4" s="11">
        <v>0.5</v>
      </c>
      <c r="AD4" s="7">
        <v>0.8660254037844386</v>
      </c>
      <c r="AF4" s="11">
        <v>0.5</v>
      </c>
      <c r="AG4" s="7">
        <v>0.8660254037844386</v>
      </c>
      <c r="AI4" s="11">
        <v>-0.03</v>
      </c>
      <c r="AJ4" s="7">
        <v>0</v>
      </c>
      <c r="AL4" s="11">
        <v>0.51500000000000001</v>
      </c>
      <c r="AM4" s="7">
        <v>0.8920054037844386</v>
      </c>
      <c r="AO4" s="11">
        <v>1.0149999999999999</v>
      </c>
      <c r="AP4" s="7">
        <v>-2.598E-2</v>
      </c>
      <c r="AQ4" s="1"/>
      <c r="AR4" s="11">
        <v>0.01</v>
      </c>
      <c r="AS4" s="7">
        <v>0</v>
      </c>
      <c r="AT4" s="1"/>
      <c r="AU4" s="11">
        <v>0.15</v>
      </c>
      <c r="AV4" s="7">
        <v>0</v>
      </c>
      <c r="AX4" s="11">
        <v>0.37500000000000017</v>
      </c>
      <c r="AY4" s="7">
        <v>0.30310889132455349</v>
      </c>
      <c r="BA4" s="11">
        <v>0.7</v>
      </c>
      <c r="BB4" s="7">
        <v>0.51961524227066325</v>
      </c>
      <c r="BD4" s="25">
        <v>10</v>
      </c>
      <c r="BF4" s="11">
        <f>(AX4+AX5)/2</f>
        <v>0.27500000000000008</v>
      </c>
      <c r="BG4" s="7">
        <f>(AY3+AY5)/2</f>
        <v>0.38971143170299738</v>
      </c>
      <c r="BH4" s="7" t="s">
        <v>25</v>
      </c>
      <c r="BJ4" s="33">
        <v>0.3</v>
      </c>
      <c r="BK4" s="34">
        <v>0.51961524227066325</v>
      </c>
      <c r="BM4" s="31">
        <v>-0.02</v>
      </c>
      <c r="BN4" s="31">
        <v>0.6</v>
      </c>
      <c r="BP4" s="41" t="s">
        <v>50</v>
      </c>
    </row>
    <row r="5" spans="1:68" x14ac:dyDescent="0.25">
      <c r="A5" s="26">
        <v>1</v>
      </c>
      <c r="B5" s="27">
        <v>0</v>
      </c>
      <c r="D5" s="11">
        <v>0</v>
      </c>
      <c r="E5" s="6">
        <v>0.2</v>
      </c>
      <c r="F5" s="7">
        <v>0</v>
      </c>
      <c r="G5" s="1"/>
      <c r="H5" s="11"/>
      <c r="I5" s="7"/>
      <c r="J5" s="1"/>
      <c r="K5" s="11"/>
      <c r="L5" s="7"/>
      <c r="M5" s="1"/>
      <c r="N5" s="11"/>
      <c r="O5" s="7"/>
      <c r="P5" s="1"/>
      <c r="Q5" s="11"/>
      <c r="R5" s="7"/>
      <c r="S5" s="1"/>
      <c r="T5" s="11"/>
      <c r="U5" s="7"/>
      <c r="V5" s="1"/>
      <c r="W5" s="11"/>
      <c r="X5" s="7"/>
      <c r="Y5" s="1"/>
      <c r="Z5" s="11"/>
      <c r="AA5" s="7"/>
      <c r="AC5" s="11"/>
      <c r="AD5" s="7"/>
      <c r="AF5" s="11"/>
      <c r="AG5" s="7"/>
      <c r="AI5" s="11"/>
      <c r="AJ5" s="7"/>
      <c r="AL5" s="11"/>
      <c r="AM5" s="7"/>
      <c r="AO5" s="11"/>
      <c r="AP5" s="7"/>
      <c r="AQ5" s="1"/>
      <c r="AR5" s="11">
        <v>0.02</v>
      </c>
      <c r="AS5" s="7">
        <v>0</v>
      </c>
      <c r="AT5" s="1"/>
      <c r="AU5" s="11">
        <v>0</v>
      </c>
      <c r="AV5" s="7">
        <v>0</v>
      </c>
      <c r="AX5" s="11">
        <v>0.17500000000000002</v>
      </c>
      <c r="AY5" s="7">
        <v>0.30310889132455349</v>
      </c>
      <c r="BA5" s="11">
        <v>0.3</v>
      </c>
      <c r="BB5" s="7">
        <v>0.51961524227066325</v>
      </c>
      <c r="BD5" s="25">
        <v>15</v>
      </c>
      <c r="BF5" s="11">
        <f>(AX19+AX20)/2</f>
        <v>0.70000000000000018</v>
      </c>
      <c r="BG5" s="7">
        <f>(AY18+AY20)/2</f>
        <v>0.43301270189221941</v>
      </c>
      <c r="BH5" s="7" t="s">
        <v>27</v>
      </c>
      <c r="BJ5" s="36"/>
      <c r="BK5" s="37"/>
      <c r="BM5" s="31">
        <v>-0.02</v>
      </c>
      <c r="BN5" s="31">
        <v>0.57499999999999996</v>
      </c>
      <c r="BP5" s="41" t="s">
        <v>51</v>
      </c>
    </row>
    <row r="6" spans="1:68" x14ac:dyDescent="0.25">
      <c r="A6" s="28">
        <v>0.5</v>
      </c>
      <c r="B6" s="18">
        <v>0.8660254037844386</v>
      </c>
      <c r="D6" s="11">
        <v>0</v>
      </c>
      <c r="E6" s="6">
        <v>0.30000000000000004</v>
      </c>
      <c r="F6" s="7">
        <v>0</v>
      </c>
      <c r="G6" s="1"/>
      <c r="H6" s="11">
        <v>0.05</v>
      </c>
      <c r="I6" s="7">
        <v>8.6602540378443879E-2</v>
      </c>
      <c r="J6" s="1"/>
      <c r="K6" s="11">
        <v>0.1</v>
      </c>
      <c r="L6" s="7">
        <v>0</v>
      </c>
      <c r="M6" s="1"/>
      <c r="N6" s="11">
        <v>0.89999999999999991</v>
      </c>
      <c r="O6" s="7">
        <v>0</v>
      </c>
      <c r="P6" s="1"/>
      <c r="Q6" s="11">
        <v>0.05</v>
      </c>
      <c r="R6" s="7">
        <v>8.6602540378443879E-2</v>
      </c>
      <c r="S6" s="1"/>
      <c r="T6" s="11">
        <v>0.55000000000000004</v>
      </c>
      <c r="U6" s="7">
        <v>0.77942286340599476</v>
      </c>
      <c r="V6" s="1"/>
      <c r="W6" s="11">
        <v>0.89999999999999991</v>
      </c>
      <c r="X6" s="7">
        <v>0</v>
      </c>
      <c r="Y6" s="1"/>
      <c r="Z6" s="11">
        <v>2.5000000000000001E-2</v>
      </c>
      <c r="AA6" s="7">
        <v>4.330127018922194E-2</v>
      </c>
      <c r="AC6" s="11">
        <v>0.05</v>
      </c>
      <c r="AD6" s="7">
        <v>0</v>
      </c>
      <c r="AF6" s="11">
        <v>0.95</v>
      </c>
      <c r="AG6" s="7">
        <v>0</v>
      </c>
      <c r="AI6" s="11">
        <v>2.5000000000000001E-2</v>
      </c>
      <c r="AJ6" s="7">
        <v>4.330127018922194E-2</v>
      </c>
      <c r="AL6" s="11">
        <v>0.52500000000000002</v>
      </c>
      <c r="AM6" s="7">
        <v>0.82272413359521668</v>
      </c>
      <c r="AO6" s="11">
        <v>0.95</v>
      </c>
      <c r="AP6" s="7">
        <v>0</v>
      </c>
      <c r="AQ6" s="1"/>
      <c r="AR6" s="11">
        <v>0.03</v>
      </c>
      <c r="AS6" s="7">
        <v>0</v>
      </c>
      <c r="AT6" s="1"/>
      <c r="AU6" s="12">
        <v>0.05</v>
      </c>
      <c r="AV6" s="9">
        <v>8.6602540378443879E-2</v>
      </c>
      <c r="AX6" s="12">
        <v>0.27500000000000008</v>
      </c>
      <c r="AY6" s="9">
        <v>0.47631397208144133</v>
      </c>
      <c r="BA6" s="12">
        <v>0.5</v>
      </c>
      <c r="BB6" s="9">
        <v>0.8660254037844386</v>
      </c>
      <c r="BD6" s="25">
        <v>20</v>
      </c>
      <c r="BF6" s="11">
        <f>(AX12+AX14)/2</f>
        <v>0.50750000000000028</v>
      </c>
      <c r="BG6" s="7">
        <f>(AY10+AY13)/2</f>
        <v>0.29011851026778701</v>
      </c>
      <c r="BH6" s="7" t="s">
        <v>26</v>
      </c>
      <c r="BJ6" s="33">
        <v>0.82500000000000051</v>
      </c>
      <c r="BK6" s="34">
        <v>0.30310889132455349</v>
      </c>
      <c r="BM6" s="31">
        <v>-0.08</v>
      </c>
      <c r="BN6" s="31">
        <v>0.57499999999999996</v>
      </c>
      <c r="BP6" s="41" t="s">
        <v>46</v>
      </c>
    </row>
    <row r="7" spans="1:68" x14ac:dyDescent="0.25">
      <c r="D7" s="11">
        <v>0</v>
      </c>
      <c r="E7" s="6">
        <v>0.4</v>
      </c>
      <c r="F7" s="7">
        <v>0</v>
      </c>
      <c r="G7" s="1"/>
      <c r="H7" s="11">
        <v>0.95</v>
      </c>
      <c r="I7" s="7">
        <v>8.6602540378443879E-2</v>
      </c>
      <c r="J7" s="1"/>
      <c r="K7" s="11">
        <v>0.55000000000000004</v>
      </c>
      <c r="L7" s="7">
        <v>0.77942286340599476</v>
      </c>
      <c r="M7" s="1"/>
      <c r="N7" s="11">
        <v>0.45</v>
      </c>
      <c r="O7" s="7">
        <v>0.77942286340599476</v>
      </c>
      <c r="P7" s="1"/>
      <c r="Q7" s="11">
        <v>2.0000000000000004E-2</v>
      </c>
      <c r="R7" s="7">
        <v>8.6602540378443879E-2</v>
      </c>
      <c r="S7" s="1"/>
      <c r="T7" s="11">
        <f>T6+0.015</f>
        <v>0.56500000000000006</v>
      </c>
      <c r="U7" s="7">
        <f>U6+0.02598</f>
        <v>0.80540286340599476</v>
      </c>
      <c r="V7" s="1"/>
      <c r="W7" s="11">
        <f>W6+0.015</f>
        <v>0.91499999999999992</v>
      </c>
      <c r="X7" s="7">
        <f>X6-0.02598</f>
        <v>-2.598E-2</v>
      </c>
      <c r="Y7" s="1"/>
      <c r="Z7" s="11">
        <v>0.97500000000000064</v>
      </c>
      <c r="AA7" s="7">
        <v>4.330127018922194E-2</v>
      </c>
      <c r="AC7" s="11">
        <v>0.52500000000000024</v>
      </c>
      <c r="AD7" s="7">
        <v>0.82272413359521668</v>
      </c>
      <c r="AF7" s="11">
        <v>0.47500000000000026</v>
      </c>
      <c r="AG7" s="7">
        <v>0.82272413359521668</v>
      </c>
      <c r="AI7" s="11">
        <v>-4.9999999999999975E-3</v>
      </c>
      <c r="AJ7" s="7">
        <v>4.330127018922194E-2</v>
      </c>
      <c r="AL7" s="11">
        <v>0.54</v>
      </c>
      <c r="AM7" s="7">
        <v>0.84870413359521668</v>
      </c>
      <c r="AO7" s="11">
        <v>0.96499999999999997</v>
      </c>
      <c r="AP7" s="7">
        <v>-2.598E-2</v>
      </c>
      <c r="AQ7" s="1"/>
      <c r="AR7" s="11">
        <v>0.04</v>
      </c>
      <c r="AS7" s="7">
        <v>0</v>
      </c>
      <c r="AT7" s="1"/>
      <c r="BD7" s="25">
        <v>25</v>
      </c>
      <c r="BF7" s="11">
        <f>(AU33+AU31)/2</f>
        <v>0.25750000000000012</v>
      </c>
      <c r="BG7" s="7">
        <f>(AV29+AV33)/2</f>
        <v>0.23815698604072061</v>
      </c>
      <c r="BH7" s="7" t="s">
        <v>23</v>
      </c>
      <c r="BJ7" s="33">
        <v>0.17500000000000002</v>
      </c>
      <c r="BK7" s="34">
        <v>0.30310889132455349</v>
      </c>
      <c r="BM7" s="31">
        <v>-0.08</v>
      </c>
      <c r="BN7" s="31">
        <v>0.6</v>
      </c>
      <c r="BP7" s="41" t="s">
        <v>43</v>
      </c>
    </row>
    <row r="8" spans="1:68" x14ac:dyDescent="0.25">
      <c r="A8" s="46" t="s">
        <v>0</v>
      </c>
      <c r="B8" s="46" t="s">
        <v>1</v>
      </c>
      <c r="D8" s="11">
        <v>0</v>
      </c>
      <c r="E8" s="6">
        <v>0.5</v>
      </c>
      <c r="F8" s="7">
        <v>0</v>
      </c>
      <c r="G8" s="1"/>
      <c r="H8" s="11"/>
      <c r="I8" s="7"/>
      <c r="J8" s="1"/>
      <c r="K8" s="11"/>
      <c r="L8" s="7"/>
      <c r="M8" s="1"/>
      <c r="N8" s="11"/>
      <c r="O8" s="7"/>
      <c r="P8" s="1"/>
      <c r="Q8" s="11"/>
      <c r="R8" s="7"/>
      <c r="S8" s="1"/>
      <c r="T8" s="11"/>
      <c r="U8" s="7"/>
      <c r="V8" s="1"/>
      <c r="W8" s="11"/>
      <c r="X8" s="7"/>
      <c r="Y8" s="1"/>
      <c r="Z8" s="11"/>
      <c r="AA8" s="7"/>
      <c r="AC8" s="11"/>
      <c r="AD8" s="7"/>
      <c r="AF8" s="11"/>
      <c r="AG8" s="7"/>
      <c r="AI8" s="11"/>
      <c r="AJ8" s="7"/>
      <c r="AL8" s="11"/>
      <c r="AM8" s="7"/>
      <c r="AO8" s="11"/>
      <c r="AP8" s="7"/>
      <c r="AQ8" s="1"/>
      <c r="AR8" s="11">
        <v>0.05</v>
      </c>
      <c r="AS8" s="7">
        <v>0</v>
      </c>
      <c r="AT8" s="1"/>
      <c r="AU8" s="103" t="s">
        <v>21</v>
      </c>
      <c r="AV8" s="104"/>
      <c r="AX8" s="103" t="s">
        <v>26</v>
      </c>
      <c r="AY8" s="104"/>
      <c r="BA8" s="103" t="s">
        <v>33</v>
      </c>
      <c r="BB8" s="104"/>
      <c r="BD8" s="25">
        <v>30</v>
      </c>
      <c r="BF8" s="11">
        <f>(AX25+AX27)/2</f>
        <v>0.73250000000000037</v>
      </c>
      <c r="BG8" s="7">
        <f>(AY25+AY28)/2</f>
        <v>0.29011851026778701</v>
      </c>
      <c r="BH8" s="7" t="s">
        <v>28</v>
      </c>
      <c r="BJ8" s="36"/>
      <c r="BK8" s="37"/>
      <c r="BM8" s="31"/>
      <c r="BN8" s="31"/>
      <c r="BP8" s="41" t="s">
        <v>47</v>
      </c>
    </row>
    <row r="9" spans="1:68" x14ac:dyDescent="0.25">
      <c r="A9" s="20">
        <f>0.5*((2*Triangle!$H$13+Triangle!$H$11)/(Triangle!$H$13+Triangle!$H$11+Triangle!$H$9))</f>
        <v>0.56000000000000005</v>
      </c>
      <c r="B9" s="20">
        <f>(3^(1/2)/2)*Triangle!$H$11/(Triangle!$H$13+Triangle!$H$11+Triangle!$H$9)</f>
        <v>6.9282032302755092E-2</v>
      </c>
      <c r="D9" s="11">
        <v>0</v>
      </c>
      <c r="E9" s="6">
        <v>0.6</v>
      </c>
      <c r="F9" s="7">
        <v>0</v>
      </c>
      <c r="G9" s="1"/>
      <c r="H9" s="11">
        <v>9.9999999999999992E-2</v>
      </c>
      <c r="I9" s="7">
        <v>0.17320508075688776</v>
      </c>
      <c r="J9" s="1"/>
      <c r="K9" s="11">
        <v>0.2</v>
      </c>
      <c r="L9" s="7">
        <v>0</v>
      </c>
      <c r="M9" s="1"/>
      <c r="N9" s="11">
        <v>0.8</v>
      </c>
      <c r="O9" s="7">
        <v>0</v>
      </c>
      <c r="P9" s="1"/>
      <c r="Q9" s="11">
        <v>9.9999999999999992E-2</v>
      </c>
      <c r="R9" s="7">
        <v>0.17320508075688776</v>
      </c>
      <c r="S9" s="1"/>
      <c r="T9" s="11">
        <v>0.6</v>
      </c>
      <c r="U9" s="7">
        <v>0.69282032302755103</v>
      </c>
      <c r="V9" s="1"/>
      <c r="W9" s="11">
        <v>0.8</v>
      </c>
      <c r="X9" s="7">
        <v>0</v>
      </c>
      <c r="Y9" s="1"/>
      <c r="Z9" s="11">
        <v>0.05</v>
      </c>
      <c r="AA9" s="7">
        <v>8.6602540378443879E-2</v>
      </c>
      <c r="AC9" s="11">
        <v>0.1</v>
      </c>
      <c r="AD9" s="7">
        <v>0</v>
      </c>
      <c r="AF9" s="11">
        <v>0.89999999999999991</v>
      </c>
      <c r="AG9" s="7">
        <v>0</v>
      </c>
      <c r="AI9" s="11">
        <v>0.05</v>
      </c>
      <c r="AJ9" s="7">
        <v>8.6602540378443879E-2</v>
      </c>
      <c r="AL9" s="11">
        <v>0.55000000000000004</v>
      </c>
      <c r="AM9" s="7">
        <v>0.77942286340599476</v>
      </c>
      <c r="AO9" s="11">
        <v>0.89999999999999991</v>
      </c>
      <c r="AP9" s="7">
        <v>0</v>
      </c>
      <c r="AQ9" s="1"/>
      <c r="AR9" s="11">
        <v>6.0000000000000005E-2</v>
      </c>
      <c r="AS9" s="7">
        <v>0</v>
      </c>
      <c r="AT9" s="1"/>
      <c r="AU9" s="16" t="s">
        <v>3</v>
      </c>
      <c r="AV9" s="16" t="s">
        <v>4</v>
      </c>
      <c r="AX9" s="16" t="s">
        <v>3</v>
      </c>
      <c r="AY9" s="16" t="s">
        <v>4</v>
      </c>
      <c r="BA9" s="20" t="s">
        <v>3</v>
      </c>
      <c r="BB9" s="20" t="s">
        <v>4</v>
      </c>
      <c r="BD9" s="25">
        <v>35</v>
      </c>
      <c r="BF9" s="11">
        <f>(AU39+AU42)/2</f>
        <v>0.50750000000000028</v>
      </c>
      <c r="BG9" s="7">
        <f>(AV38+AV41)/2</f>
        <v>0.14722431864335458</v>
      </c>
      <c r="BH9" s="7" t="s">
        <v>24</v>
      </c>
      <c r="BJ9" s="33">
        <v>0.09</v>
      </c>
      <c r="BK9" s="34">
        <v>0.15588457268119896</v>
      </c>
      <c r="BM9" s="31">
        <v>0</v>
      </c>
      <c r="BN9" s="31">
        <v>0.6</v>
      </c>
      <c r="BP9" s="41" t="s">
        <v>48</v>
      </c>
    </row>
    <row r="10" spans="1:68" x14ac:dyDescent="0.25">
      <c r="A10" s="71"/>
      <c r="B10" s="71"/>
      <c r="D10" s="11">
        <v>0</v>
      </c>
      <c r="E10" s="6">
        <v>0.7</v>
      </c>
      <c r="F10" s="7">
        <v>0</v>
      </c>
      <c r="G10" s="1"/>
      <c r="H10" s="11">
        <v>0.89999999999999991</v>
      </c>
      <c r="I10" s="7">
        <v>0.17320508075688776</v>
      </c>
      <c r="J10" s="1"/>
      <c r="K10" s="11">
        <v>0.6</v>
      </c>
      <c r="L10" s="7">
        <v>0.69282032302755103</v>
      </c>
      <c r="M10" s="1"/>
      <c r="N10" s="11">
        <v>0.4</v>
      </c>
      <c r="O10" s="7">
        <v>0.69282032302755103</v>
      </c>
      <c r="P10" s="1"/>
      <c r="Q10" s="11">
        <v>6.9999999999999993E-2</v>
      </c>
      <c r="R10" s="7">
        <v>0.17320508075688776</v>
      </c>
      <c r="S10" s="1"/>
      <c r="T10" s="11">
        <f>T9+0.015</f>
        <v>0.61499999999999999</v>
      </c>
      <c r="U10" s="7">
        <f>U9+0.02598</f>
        <v>0.71880032302755104</v>
      </c>
      <c r="V10" s="1"/>
      <c r="W10" s="11">
        <f>W9+0.015</f>
        <v>0.81500000000000006</v>
      </c>
      <c r="X10" s="7">
        <f>X9-0.02598</f>
        <v>-2.598E-2</v>
      </c>
      <c r="Y10" s="1"/>
      <c r="Z10" s="11">
        <v>0.95</v>
      </c>
      <c r="AA10" s="7">
        <v>8.6602540378443879E-2</v>
      </c>
      <c r="AC10" s="11">
        <v>0.55000000000000004</v>
      </c>
      <c r="AD10" s="7">
        <v>0.77942286340599476</v>
      </c>
      <c r="AF10" s="11">
        <v>0.45</v>
      </c>
      <c r="AG10" s="7">
        <v>0.77942286340599476</v>
      </c>
      <c r="AI10" s="11">
        <v>2.0000000000000004E-2</v>
      </c>
      <c r="AJ10" s="7">
        <v>8.6602540378443879E-2</v>
      </c>
      <c r="AL10" s="11">
        <v>0.56500000000000006</v>
      </c>
      <c r="AM10" s="7">
        <v>0.80540286340599476</v>
      </c>
      <c r="AO10" s="11">
        <v>0.91499999999999992</v>
      </c>
      <c r="AP10" s="7">
        <v>-2.598E-2</v>
      </c>
      <c r="AQ10" s="1"/>
      <c r="AR10" s="11">
        <v>7.0000000000000007E-2</v>
      </c>
      <c r="AS10" s="7">
        <v>0</v>
      </c>
      <c r="AT10" s="1"/>
      <c r="AU10" s="10">
        <v>7.4999999999999997E-2</v>
      </c>
      <c r="AV10" s="5">
        <v>0.12990381056766581</v>
      </c>
      <c r="AX10" s="10">
        <v>0.35000000000000014</v>
      </c>
      <c r="AY10" s="5">
        <v>0.34641016151377552</v>
      </c>
      <c r="BA10" s="10">
        <v>0.3</v>
      </c>
      <c r="BB10" s="5">
        <v>0.51961524227066325</v>
      </c>
      <c r="BD10" s="25">
        <v>40</v>
      </c>
      <c r="BF10" s="11">
        <f>(AU21+AU24)/2</f>
        <v>0.3050000000000001</v>
      </c>
      <c r="BG10" s="7">
        <f>(AV18+AV22)/2</f>
        <v>8.6602540378443879E-2</v>
      </c>
      <c r="BH10" s="7" t="s">
        <v>22</v>
      </c>
      <c r="BJ10" s="33">
        <v>0.91000000000000059</v>
      </c>
      <c r="BK10" s="34">
        <v>0.15588457268119896</v>
      </c>
      <c r="BM10" s="31">
        <v>0.06</v>
      </c>
      <c r="BN10" s="31">
        <v>0.6</v>
      </c>
      <c r="BP10" s="41" t="s">
        <v>52</v>
      </c>
    </row>
    <row r="11" spans="1:68" x14ac:dyDescent="0.25">
      <c r="A11" s="71"/>
      <c r="B11" s="71"/>
      <c r="D11" s="11">
        <v>0</v>
      </c>
      <c r="E11" s="6">
        <v>0.79999999999999993</v>
      </c>
      <c r="F11" s="7">
        <v>0</v>
      </c>
      <c r="G11" s="1"/>
      <c r="H11" s="11"/>
      <c r="I11" s="7"/>
      <c r="J11" s="1"/>
      <c r="K11" s="11"/>
      <c r="L11" s="7"/>
      <c r="M11" s="1"/>
      <c r="N11" s="11"/>
      <c r="O11" s="7"/>
      <c r="P11" s="1"/>
      <c r="Q11" s="11"/>
      <c r="R11" s="7"/>
      <c r="S11" s="1"/>
      <c r="T11" s="11"/>
      <c r="U11" s="7"/>
      <c r="V11" s="1"/>
      <c r="W11" s="11"/>
      <c r="X11" s="7"/>
      <c r="Y11" s="1"/>
      <c r="Z11" s="11"/>
      <c r="AA11" s="7"/>
      <c r="AC11" s="11"/>
      <c r="AD11" s="7"/>
      <c r="AF11" s="11"/>
      <c r="AG11" s="7"/>
      <c r="AI11" s="11"/>
      <c r="AJ11" s="7"/>
      <c r="AL11" s="11"/>
      <c r="AM11" s="7"/>
      <c r="AO11" s="11"/>
      <c r="AP11" s="7"/>
      <c r="AQ11" s="1"/>
      <c r="AR11" s="11">
        <v>0.08</v>
      </c>
      <c r="AS11" s="7">
        <v>0</v>
      </c>
      <c r="AT11" s="1"/>
      <c r="AU11" s="11">
        <v>0.3</v>
      </c>
      <c r="AV11" s="7">
        <v>0</v>
      </c>
      <c r="AX11" s="11">
        <v>0.60000000000000031</v>
      </c>
      <c r="AY11" s="7">
        <v>0.34641016151377552</v>
      </c>
      <c r="BA11" s="11">
        <v>0.7</v>
      </c>
      <c r="BB11" s="7">
        <v>0.51961524227066325</v>
      </c>
      <c r="BD11" s="25">
        <v>45</v>
      </c>
      <c r="BF11" s="11">
        <f>(AX35+AX38)/2</f>
        <v>0.72000000000000031</v>
      </c>
      <c r="BG11" s="7">
        <f>(AY33+AY38)/2</f>
        <v>0.11691342951089922</v>
      </c>
      <c r="BH11" s="7" t="s">
        <v>29</v>
      </c>
      <c r="BJ11" s="33"/>
      <c r="BK11" s="34"/>
      <c r="BM11" s="31">
        <v>0.06</v>
      </c>
      <c r="BN11" s="31">
        <v>0.57499999999999996</v>
      </c>
      <c r="BP11" s="41" t="s">
        <v>44</v>
      </c>
    </row>
    <row r="12" spans="1:68" x14ac:dyDescent="0.25">
      <c r="A12" s="71"/>
      <c r="B12" s="71"/>
      <c r="D12" s="11">
        <v>0</v>
      </c>
      <c r="E12" s="6">
        <v>0.89999999999999991</v>
      </c>
      <c r="F12" s="7">
        <v>0</v>
      </c>
      <c r="G12" s="1"/>
      <c r="H12" s="11">
        <v>0.15</v>
      </c>
      <c r="I12" s="7">
        <v>0.25980762113533162</v>
      </c>
      <c r="J12" s="1"/>
      <c r="K12" s="11">
        <v>0.3</v>
      </c>
      <c r="L12" s="7">
        <v>0</v>
      </c>
      <c r="M12" s="1"/>
      <c r="N12" s="11">
        <v>0.7</v>
      </c>
      <c r="O12" s="7">
        <v>0</v>
      </c>
      <c r="P12" s="1"/>
      <c r="Q12" s="11">
        <v>0.15</v>
      </c>
      <c r="R12" s="7">
        <v>0.25980762113533162</v>
      </c>
      <c r="S12" s="1"/>
      <c r="T12" s="11">
        <v>0.65</v>
      </c>
      <c r="U12" s="7">
        <v>0.60621778264910697</v>
      </c>
      <c r="V12" s="1"/>
      <c r="W12" s="11">
        <v>0.7</v>
      </c>
      <c r="X12" s="7">
        <v>0</v>
      </c>
      <c r="Y12" s="1"/>
      <c r="Z12" s="11">
        <v>7.4999999999999997E-2</v>
      </c>
      <c r="AA12" s="7">
        <v>0.12990381056766581</v>
      </c>
      <c r="AC12" s="11">
        <v>0.15</v>
      </c>
      <c r="AD12" s="7">
        <v>0</v>
      </c>
      <c r="AF12" s="11">
        <v>0.85</v>
      </c>
      <c r="AG12" s="7">
        <v>0</v>
      </c>
      <c r="AI12" s="11">
        <v>7.4999999999999997E-2</v>
      </c>
      <c r="AJ12" s="7">
        <v>0.12990381056766581</v>
      </c>
      <c r="AL12" s="11">
        <v>0.57499999999999996</v>
      </c>
      <c r="AM12" s="7">
        <v>0.73612159321677273</v>
      </c>
      <c r="AO12" s="11">
        <v>0.85</v>
      </c>
      <c r="AP12" s="7">
        <v>0</v>
      </c>
      <c r="AQ12" s="1"/>
      <c r="AR12" s="11">
        <v>0.09</v>
      </c>
      <c r="AS12" s="7">
        <v>0</v>
      </c>
      <c r="AT12" s="1"/>
      <c r="AU12" s="11">
        <v>0.15</v>
      </c>
      <c r="AV12" s="7">
        <v>0</v>
      </c>
      <c r="AX12" s="11">
        <v>0.66500000000000037</v>
      </c>
      <c r="AY12" s="7">
        <v>0.23382685902179845</v>
      </c>
      <c r="BA12" s="11">
        <v>0.82500000000000051</v>
      </c>
      <c r="BB12" s="7">
        <v>0.30310889132455349</v>
      </c>
      <c r="BD12" s="25">
        <v>50</v>
      </c>
      <c r="BF12" s="11">
        <f>(AU11+AU13)/2</f>
        <v>0.17499999999999999</v>
      </c>
      <c r="BG12" s="7">
        <f>(AV10+AV12)/2</f>
        <v>6.4951905283832906E-2</v>
      </c>
      <c r="BH12" s="7" t="s">
        <v>21</v>
      </c>
      <c r="BJ12" s="11">
        <v>0.67500000000000038</v>
      </c>
      <c r="BK12" s="7">
        <v>0.30310889132455349</v>
      </c>
      <c r="BM12" s="31">
        <v>0</v>
      </c>
      <c r="BN12" s="31">
        <v>0.57499999999999996</v>
      </c>
      <c r="BP12" s="41" t="s">
        <v>53</v>
      </c>
    </row>
    <row r="13" spans="1:68" x14ac:dyDescent="0.25">
      <c r="A13" s="71"/>
      <c r="B13" s="71"/>
      <c r="D13" s="12">
        <v>0</v>
      </c>
      <c r="E13" s="8">
        <v>0.99999999999999989</v>
      </c>
      <c r="F13" s="9">
        <v>0</v>
      </c>
      <c r="G13" s="1"/>
      <c r="H13" s="11">
        <v>0.85</v>
      </c>
      <c r="I13" s="7">
        <v>0.25980762113533162</v>
      </c>
      <c r="J13" s="1"/>
      <c r="K13" s="11">
        <v>0.65</v>
      </c>
      <c r="L13" s="7">
        <v>0.60621778264910697</v>
      </c>
      <c r="M13" s="1"/>
      <c r="N13" s="11">
        <v>0.35</v>
      </c>
      <c r="O13" s="7">
        <v>0.60621778264910697</v>
      </c>
      <c r="P13" s="1"/>
      <c r="Q13" s="11">
        <v>0.12</v>
      </c>
      <c r="R13" s="7">
        <v>0.25980762113533162</v>
      </c>
      <c r="S13" s="1"/>
      <c r="T13" s="11">
        <f>T12+0.015</f>
        <v>0.66500000000000004</v>
      </c>
      <c r="U13" s="7">
        <f>U12+0.02598</f>
        <v>0.63219778264910698</v>
      </c>
      <c r="V13" s="1"/>
      <c r="W13" s="11">
        <f>W12+0.015</f>
        <v>0.71499999999999997</v>
      </c>
      <c r="X13" s="7">
        <f>X12-0.02598</f>
        <v>-2.598E-2</v>
      </c>
      <c r="Y13" s="1"/>
      <c r="Z13" s="11">
        <v>0.9250000000000006</v>
      </c>
      <c r="AA13" s="7">
        <v>0.12990381056766581</v>
      </c>
      <c r="AC13" s="11">
        <v>0.57500000000000029</v>
      </c>
      <c r="AD13" s="7">
        <v>0.73612159321677273</v>
      </c>
      <c r="AF13" s="11">
        <v>0.42500000000000021</v>
      </c>
      <c r="AG13" s="7">
        <v>0.73612159321677273</v>
      </c>
      <c r="AI13" s="11">
        <v>4.4999999999999998E-2</v>
      </c>
      <c r="AJ13" s="7">
        <v>0.12990381056766581</v>
      </c>
      <c r="AL13" s="11">
        <v>0.59</v>
      </c>
      <c r="AM13" s="7">
        <v>0.76210159321677273</v>
      </c>
      <c r="AO13" s="11">
        <v>0.86499999999999999</v>
      </c>
      <c r="AP13" s="7">
        <v>-2.598E-2</v>
      </c>
      <c r="AQ13" s="1"/>
      <c r="AR13" s="11">
        <v>9.9999999999999992E-2</v>
      </c>
      <c r="AS13" s="7">
        <v>0</v>
      </c>
      <c r="AT13" s="1"/>
      <c r="AU13" s="11">
        <v>0.05</v>
      </c>
      <c r="AV13" s="7">
        <v>8.6602540378443879E-2</v>
      </c>
      <c r="AX13" s="11">
        <v>0.4150000000000002</v>
      </c>
      <c r="AY13" s="7">
        <v>0.23382685902179845</v>
      </c>
      <c r="BA13" s="11">
        <v>0.17500000000000002</v>
      </c>
      <c r="BB13" s="7">
        <v>0.30310889132455349</v>
      </c>
      <c r="BD13" s="25">
        <v>55</v>
      </c>
      <c r="BF13" s="11">
        <f>(AU4+AU5)/2</f>
        <v>7.4999999999999997E-2</v>
      </c>
      <c r="BG13" s="7">
        <f>(AV3+AV5)/2</f>
        <v>4.330127018922194E-2</v>
      </c>
      <c r="BH13" s="7" t="s">
        <v>20</v>
      </c>
      <c r="BJ13" s="11">
        <v>0.85000000000000053</v>
      </c>
      <c r="BK13" s="7">
        <v>0</v>
      </c>
      <c r="BM13" s="31">
        <v>0</v>
      </c>
      <c r="BN13" s="31">
        <v>0.6</v>
      </c>
      <c r="BP13" s="42" t="s">
        <v>54</v>
      </c>
    </row>
    <row r="14" spans="1:68" x14ac:dyDescent="0.25">
      <c r="A14" s="71"/>
      <c r="B14" s="71"/>
      <c r="D14" s="11"/>
      <c r="F14" s="7"/>
      <c r="G14" s="1"/>
      <c r="H14" s="11"/>
      <c r="I14" s="7"/>
      <c r="J14" s="1"/>
      <c r="K14" s="11"/>
      <c r="L14" s="7"/>
      <c r="M14" s="1"/>
      <c r="N14" s="11"/>
      <c r="O14" s="7"/>
      <c r="P14" s="1"/>
      <c r="Q14" s="11"/>
      <c r="R14" s="7"/>
      <c r="S14" s="1"/>
      <c r="T14" s="11"/>
      <c r="U14" s="7"/>
      <c r="V14" s="1"/>
      <c r="W14" s="11"/>
      <c r="X14" s="7"/>
      <c r="Y14" s="1"/>
      <c r="Z14" s="11"/>
      <c r="AA14" s="7"/>
      <c r="AC14" s="11"/>
      <c r="AD14" s="7"/>
      <c r="AF14" s="11"/>
      <c r="AG14" s="7"/>
      <c r="AI14" s="11"/>
      <c r="AJ14" s="7"/>
      <c r="AL14" s="11"/>
      <c r="AM14" s="7"/>
      <c r="AO14" s="11"/>
      <c r="AP14" s="7"/>
      <c r="AQ14" s="1"/>
      <c r="AR14" s="11">
        <v>0.10999999999999999</v>
      </c>
      <c r="AS14" s="7">
        <v>0</v>
      </c>
      <c r="AT14" s="1"/>
      <c r="AU14" s="12">
        <v>7.4999999999999997E-2</v>
      </c>
      <c r="AV14" s="9">
        <v>0.12990381056766581</v>
      </c>
      <c r="AX14" s="12">
        <v>0.35000000000000014</v>
      </c>
      <c r="AY14" s="9">
        <v>0.34641016151377552</v>
      </c>
      <c r="BA14" s="12">
        <v>0.3</v>
      </c>
      <c r="BB14" s="9">
        <v>0.51961524227066325</v>
      </c>
      <c r="BD14" s="25">
        <v>60</v>
      </c>
      <c r="BF14" s="12">
        <f>(AX45+AX46)/2</f>
        <v>0.90000000000000024</v>
      </c>
      <c r="BG14" s="9">
        <f>(AY43+AY46)/2</f>
        <v>5.1961524227066319E-2</v>
      </c>
      <c r="BH14" s="9" t="s">
        <v>30</v>
      </c>
      <c r="BJ14" s="33"/>
      <c r="BK14" s="34"/>
      <c r="BM14" s="31"/>
      <c r="BN14" s="31"/>
    </row>
    <row r="15" spans="1:68" x14ac:dyDescent="0.25">
      <c r="A15" s="71"/>
      <c r="B15" s="71"/>
      <c r="D15" s="10">
        <v>0.1</v>
      </c>
      <c r="E15" s="4">
        <v>0.05</v>
      </c>
      <c r="F15" s="5">
        <v>8.6602540378443879E-2</v>
      </c>
      <c r="G15" s="1"/>
      <c r="H15" s="11">
        <v>0.2</v>
      </c>
      <c r="I15" s="7">
        <v>0.34641016151377552</v>
      </c>
      <c r="J15" s="1"/>
      <c r="K15" s="11">
        <v>0.4</v>
      </c>
      <c r="L15" s="7">
        <v>0</v>
      </c>
      <c r="M15" s="1"/>
      <c r="N15" s="11">
        <v>0.6</v>
      </c>
      <c r="O15" s="7">
        <v>0</v>
      </c>
      <c r="P15" s="1"/>
      <c r="Q15" s="11">
        <v>0.2</v>
      </c>
      <c r="R15" s="7">
        <v>0.34641016151377552</v>
      </c>
      <c r="S15" s="1"/>
      <c r="T15" s="11">
        <v>0.7</v>
      </c>
      <c r="U15" s="7">
        <v>0.51961524227066325</v>
      </c>
      <c r="V15" s="1"/>
      <c r="W15" s="11">
        <v>0.6</v>
      </c>
      <c r="X15" s="7">
        <v>0</v>
      </c>
      <c r="Y15" s="1"/>
      <c r="Z15" s="11">
        <v>9.9999999999999992E-2</v>
      </c>
      <c r="AA15" s="7">
        <v>0.17320508075688776</v>
      </c>
      <c r="AC15" s="11">
        <v>0.2</v>
      </c>
      <c r="AD15" s="7">
        <v>0</v>
      </c>
      <c r="AF15" s="11">
        <v>0.8</v>
      </c>
      <c r="AG15" s="7">
        <v>0</v>
      </c>
      <c r="AI15" s="11">
        <v>9.9999999999999992E-2</v>
      </c>
      <c r="AJ15" s="7">
        <v>0.17320508075688776</v>
      </c>
      <c r="AL15" s="11">
        <v>0.6</v>
      </c>
      <c r="AM15" s="7">
        <v>0.69282032302755103</v>
      </c>
      <c r="AO15" s="11">
        <v>0.8</v>
      </c>
      <c r="AP15" s="7">
        <v>0</v>
      </c>
      <c r="AQ15" s="1"/>
      <c r="AR15" s="11">
        <v>0.11999999999999998</v>
      </c>
      <c r="AS15" s="7">
        <v>0</v>
      </c>
      <c r="AT15" s="1"/>
      <c r="BD15" s="25">
        <v>65</v>
      </c>
      <c r="BJ15" s="11">
        <v>7.4999999999999997E-2</v>
      </c>
      <c r="BK15" s="7">
        <v>0.12990381056766581</v>
      </c>
      <c r="BM15" s="31">
        <v>0.08</v>
      </c>
      <c r="BN15" s="31">
        <v>0.6</v>
      </c>
    </row>
    <row r="16" spans="1:68" x14ac:dyDescent="0.25">
      <c r="A16" s="71"/>
      <c r="B16" s="71"/>
      <c r="D16" s="11">
        <v>0.1</v>
      </c>
      <c r="E16" s="6">
        <v>0.15</v>
      </c>
      <c r="F16" s="7">
        <v>8.6602540378443879E-2</v>
      </c>
      <c r="G16" s="1"/>
      <c r="H16" s="11">
        <v>0.8</v>
      </c>
      <c r="I16" s="7">
        <v>0.34641016151377552</v>
      </c>
      <c r="J16" s="1"/>
      <c r="K16" s="11">
        <v>0.7</v>
      </c>
      <c r="L16" s="7">
        <v>0.51961524227066325</v>
      </c>
      <c r="M16" s="1"/>
      <c r="N16" s="11">
        <v>0.3</v>
      </c>
      <c r="O16" s="7">
        <v>0.51961524227066325</v>
      </c>
      <c r="P16" s="1"/>
      <c r="Q16" s="11">
        <v>0.17</v>
      </c>
      <c r="R16" s="7">
        <v>0.34641016151377552</v>
      </c>
      <c r="S16" s="1"/>
      <c r="T16" s="11">
        <f>T15+0.015</f>
        <v>0.71499999999999997</v>
      </c>
      <c r="U16" s="7">
        <f>U15+0.02598</f>
        <v>0.54559524227066325</v>
      </c>
      <c r="V16" s="1"/>
      <c r="W16" s="11">
        <f>W15+0.015</f>
        <v>0.61499999999999999</v>
      </c>
      <c r="X16" s="7">
        <f>X15-0.02598</f>
        <v>-2.598E-2</v>
      </c>
      <c r="Y16" s="1"/>
      <c r="Z16" s="11">
        <v>0.89999999999999991</v>
      </c>
      <c r="AA16" s="7">
        <v>0.17320508075688776</v>
      </c>
      <c r="AC16" s="11">
        <v>0.6</v>
      </c>
      <c r="AD16" s="7">
        <v>0.69282032302755103</v>
      </c>
      <c r="AF16" s="11">
        <v>0.4</v>
      </c>
      <c r="AG16" s="7">
        <v>0.69282032302755103</v>
      </c>
      <c r="AI16" s="11">
        <v>6.9999999999999993E-2</v>
      </c>
      <c r="AJ16" s="7">
        <v>0.17320508075688776</v>
      </c>
      <c r="AL16" s="11">
        <v>0.61499999999999999</v>
      </c>
      <c r="AM16" s="7">
        <v>0.71880032302755104</v>
      </c>
      <c r="AO16" s="11">
        <v>0.81500000000000006</v>
      </c>
      <c r="AP16" s="7">
        <v>-2.598E-2</v>
      </c>
      <c r="AQ16" s="1"/>
      <c r="AR16" s="11">
        <v>0.12999999999999998</v>
      </c>
      <c r="AS16" s="7">
        <v>0</v>
      </c>
      <c r="AT16" s="1"/>
      <c r="AU16" s="103" t="s">
        <v>22</v>
      </c>
      <c r="AV16" s="104"/>
      <c r="AX16" s="103" t="s">
        <v>27</v>
      </c>
      <c r="AY16" s="104"/>
      <c r="BA16" s="103" t="s">
        <v>34</v>
      </c>
      <c r="BB16" s="104"/>
      <c r="BD16" s="25">
        <v>70</v>
      </c>
      <c r="BJ16" s="12">
        <v>0.3</v>
      </c>
      <c r="BK16" s="9">
        <v>0</v>
      </c>
      <c r="BM16" s="31">
        <v>0.14000000000000001</v>
      </c>
      <c r="BN16" s="31">
        <v>0.6</v>
      </c>
    </row>
    <row r="17" spans="1:66" x14ac:dyDescent="0.25">
      <c r="A17" s="71"/>
      <c r="B17" s="71"/>
      <c r="D17" s="11">
        <v>0.1</v>
      </c>
      <c r="E17" s="6">
        <v>0.25</v>
      </c>
      <c r="F17" s="7">
        <v>8.6602540378443879E-2</v>
      </c>
      <c r="G17" s="1"/>
      <c r="H17" s="11"/>
      <c r="I17" s="7"/>
      <c r="J17" s="1"/>
      <c r="K17" s="11"/>
      <c r="L17" s="7"/>
      <c r="M17" s="1"/>
      <c r="N17" s="11"/>
      <c r="O17" s="7"/>
      <c r="P17" s="1"/>
      <c r="Q17" s="11"/>
      <c r="R17" s="7"/>
      <c r="S17" s="1"/>
      <c r="T17" s="11"/>
      <c r="U17" s="7"/>
      <c r="V17" s="1"/>
      <c r="W17" s="11"/>
      <c r="X17" s="7"/>
      <c r="Y17" s="1"/>
      <c r="Z17" s="11"/>
      <c r="AA17" s="7"/>
      <c r="AC17" s="11"/>
      <c r="AD17" s="7"/>
      <c r="AF17" s="11"/>
      <c r="AG17" s="7"/>
      <c r="AI17" s="11"/>
      <c r="AJ17" s="7"/>
      <c r="AL17" s="11"/>
      <c r="AM17" s="7"/>
      <c r="AO17" s="11"/>
      <c r="AP17" s="7"/>
      <c r="AQ17" s="1"/>
      <c r="AR17" s="11">
        <v>0.13999999999999999</v>
      </c>
      <c r="AS17" s="7">
        <v>0</v>
      </c>
      <c r="AT17" s="1"/>
      <c r="AU17" s="16" t="s">
        <v>3</v>
      </c>
      <c r="AV17" s="16" t="s">
        <v>4</v>
      </c>
      <c r="AX17" s="20" t="s">
        <v>3</v>
      </c>
      <c r="AY17" s="20" t="s">
        <v>4</v>
      </c>
      <c r="BA17" s="20" t="s">
        <v>3</v>
      </c>
      <c r="BB17" s="20" t="s">
        <v>4</v>
      </c>
      <c r="BD17" s="25">
        <v>75</v>
      </c>
      <c r="BJ17" s="31"/>
      <c r="BK17" s="31"/>
      <c r="BM17" s="31">
        <v>0.14000000000000001</v>
      </c>
      <c r="BN17" s="31">
        <v>0.57499999999999996</v>
      </c>
    </row>
    <row r="18" spans="1:66" x14ac:dyDescent="0.25">
      <c r="A18" s="71"/>
      <c r="B18" s="71"/>
      <c r="D18" s="11">
        <v>0.1</v>
      </c>
      <c r="E18" s="6">
        <v>0.35</v>
      </c>
      <c r="F18" s="7">
        <v>8.6602540378443879E-2</v>
      </c>
      <c r="G18" s="1"/>
      <c r="H18" s="11">
        <v>0.25</v>
      </c>
      <c r="I18" s="7">
        <v>0.4330127018922193</v>
      </c>
      <c r="J18" s="1"/>
      <c r="K18" s="11">
        <v>0.5</v>
      </c>
      <c r="L18" s="7">
        <v>0</v>
      </c>
      <c r="M18" s="1"/>
      <c r="N18" s="11">
        <v>0.5</v>
      </c>
      <c r="O18" s="7">
        <v>0</v>
      </c>
      <c r="P18" s="1"/>
      <c r="Q18" s="11">
        <v>0.25</v>
      </c>
      <c r="R18" s="7">
        <v>0.4330127018922193</v>
      </c>
      <c r="S18" s="1"/>
      <c r="T18" s="11">
        <v>0.75</v>
      </c>
      <c r="U18" s="7">
        <v>0.4330127018922193</v>
      </c>
      <c r="V18" s="1"/>
      <c r="W18" s="11">
        <v>0.5</v>
      </c>
      <c r="X18" s="7">
        <v>0</v>
      </c>
      <c r="Y18" s="1"/>
      <c r="Z18" s="11">
        <v>0.12499999999999997</v>
      </c>
      <c r="AA18" s="7">
        <v>0.21650635094610965</v>
      </c>
      <c r="AC18" s="11">
        <v>0.25</v>
      </c>
      <c r="AD18" s="7">
        <v>0</v>
      </c>
      <c r="AF18" s="11">
        <v>0.75</v>
      </c>
      <c r="AG18" s="7">
        <v>0</v>
      </c>
      <c r="AI18" s="11">
        <v>0.125</v>
      </c>
      <c r="AJ18" s="7">
        <v>0.21650635094610965</v>
      </c>
      <c r="AL18" s="11">
        <v>0.625</v>
      </c>
      <c r="AM18" s="7">
        <v>0.649519052838329</v>
      </c>
      <c r="AO18" s="11">
        <v>0.75</v>
      </c>
      <c r="AP18" s="7">
        <v>0</v>
      </c>
      <c r="AQ18" s="1"/>
      <c r="AR18" s="11">
        <v>0.15</v>
      </c>
      <c r="AS18" s="7">
        <v>0</v>
      </c>
      <c r="AT18" s="1"/>
      <c r="AU18" s="10">
        <v>9.9999999999999992E-2</v>
      </c>
      <c r="AV18" s="5">
        <v>0.17320508075688776</v>
      </c>
      <c r="AX18" s="10">
        <v>0.7</v>
      </c>
      <c r="AY18" s="5">
        <v>0.51961524227066325</v>
      </c>
      <c r="BA18" s="10">
        <v>0.67500000000000038</v>
      </c>
      <c r="BB18" s="5">
        <v>0.30310889132455349</v>
      </c>
      <c r="BD18" s="25">
        <v>80</v>
      </c>
      <c r="BJ18" s="31"/>
      <c r="BK18" s="31"/>
      <c r="BM18" s="31">
        <v>0.08</v>
      </c>
      <c r="BN18" s="31">
        <v>0.57499999999999996</v>
      </c>
    </row>
    <row r="19" spans="1:66" x14ac:dyDescent="0.25">
      <c r="A19" s="71"/>
      <c r="B19" s="71"/>
      <c r="D19" s="11">
        <v>0.1</v>
      </c>
      <c r="E19" s="6">
        <v>0.45</v>
      </c>
      <c r="F19" s="7">
        <v>8.6602540378443879E-2</v>
      </c>
      <c r="G19" s="1"/>
      <c r="H19" s="11">
        <v>0.75</v>
      </c>
      <c r="I19" s="7">
        <v>0.4330127018922193</v>
      </c>
      <c r="J19" s="1"/>
      <c r="K19" s="11">
        <v>0.75</v>
      </c>
      <c r="L19" s="7">
        <v>0.4330127018922193</v>
      </c>
      <c r="M19" s="1"/>
      <c r="N19" s="11">
        <v>0.25</v>
      </c>
      <c r="O19" s="7">
        <v>0.4330127018922193</v>
      </c>
      <c r="P19" s="1"/>
      <c r="Q19" s="11">
        <v>0.22</v>
      </c>
      <c r="R19" s="7">
        <v>0.4330127018922193</v>
      </c>
      <c r="S19" s="1"/>
      <c r="T19" s="11">
        <f>T18+0.015</f>
        <v>0.76500000000000001</v>
      </c>
      <c r="U19" s="7">
        <f>U18+0.02598</f>
        <v>0.4589927018922193</v>
      </c>
      <c r="V19" s="1"/>
      <c r="W19" s="11">
        <f>W18+0.015</f>
        <v>0.51500000000000001</v>
      </c>
      <c r="X19" s="7">
        <f>X18-0.02598</f>
        <v>-2.598E-2</v>
      </c>
      <c r="Y19" s="1"/>
      <c r="Z19" s="11">
        <v>0.87500000000000056</v>
      </c>
      <c r="AA19" s="7">
        <v>0.21650635094610965</v>
      </c>
      <c r="AC19" s="11">
        <v>0.62500000000000033</v>
      </c>
      <c r="AD19" s="7">
        <v>0.649519052838329</v>
      </c>
      <c r="AF19" s="11">
        <v>0.37500000000000017</v>
      </c>
      <c r="AG19" s="7">
        <v>0.649519052838329</v>
      </c>
      <c r="AI19" s="11">
        <v>9.5000000000000001E-2</v>
      </c>
      <c r="AJ19" s="7">
        <v>0.21650635094610965</v>
      </c>
      <c r="AL19" s="11">
        <v>0.64</v>
      </c>
      <c r="AM19" s="7">
        <v>0.67549905283832901</v>
      </c>
      <c r="AO19" s="11">
        <v>0.76500000000000001</v>
      </c>
      <c r="AP19" s="7">
        <v>-2.598E-2</v>
      </c>
      <c r="AQ19" s="1"/>
      <c r="AR19" s="11">
        <v>0.16</v>
      </c>
      <c r="AS19" s="7">
        <v>0</v>
      </c>
      <c r="AT19" s="1"/>
      <c r="AU19" s="11">
        <v>0.38000000000000017</v>
      </c>
      <c r="AV19" s="7">
        <v>0.17320508075688776</v>
      </c>
      <c r="AX19" s="11">
        <v>0.8</v>
      </c>
      <c r="AY19" s="7">
        <v>0.34641016151377552</v>
      </c>
      <c r="BA19" s="11">
        <v>0.82500000000000051</v>
      </c>
      <c r="BB19" s="7">
        <v>0.30310889132455349</v>
      </c>
      <c r="BD19" s="25">
        <v>85</v>
      </c>
      <c r="BJ19" s="31"/>
      <c r="BK19" s="31"/>
      <c r="BM19" s="31">
        <v>0.08</v>
      </c>
      <c r="BN19" s="31">
        <v>0.6</v>
      </c>
    </row>
    <row r="20" spans="1:66" x14ac:dyDescent="0.25">
      <c r="A20" s="71"/>
      <c r="B20" s="71"/>
      <c r="D20" s="11">
        <v>0.1</v>
      </c>
      <c r="E20" s="6">
        <v>0.55000000000000004</v>
      </c>
      <c r="F20" s="7">
        <v>8.6602540378443879E-2</v>
      </c>
      <c r="G20" s="1"/>
      <c r="H20" s="11"/>
      <c r="I20" s="7"/>
      <c r="J20" s="1"/>
      <c r="K20" s="11"/>
      <c r="L20" s="7"/>
      <c r="M20" s="1"/>
      <c r="N20" s="11"/>
      <c r="O20" s="7"/>
      <c r="P20" s="1"/>
      <c r="Q20" s="11"/>
      <c r="R20" s="7"/>
      <c r="S20" s="1"/>
      <c r="T20" s="11"/>
      <c r="U20" s="7"/>
      <c r="V20" s="1"/>
      <c r="W20" s="11"/>
      <c r="X20" s="7"/>
      <c r="Y20" s="1"/>
      <c r="Z20" s="11"/>
      <c r="AA20" s="7"/>
      <c r="AC20" s="11"/>
      <c r="AD20" s="7"/>
      <c r="AF20" s="11"/>
      <c r="AG20" s="7"/>
      <c r="AI20" s="11"/>
      <c r="AJ20" s="7"/>
      <c r="AL20" s="11"/>
      <c r="AM20" s="7"/>
      <c r="AO20" s="11"/>
      <c r="AP20" s="7"/>
      <c r="AQ20" s="1"/>
      <c r="AR20" s="11">
        <v>0.17</v>
      </c>
      <c r="AS20" s="7">
        <v>0</v>
      </c>
      <c r="AT20" s="1"/>
      <c r="AU20" s="11">
        <v>0.44500000000000023</v>
      </c>
      <c r="AV20" s="7">
        <v>6.0621778264910706E-2</v>
      </c>
      <c r="AX20" s="11">
        <v>0.60000000000000031</v>
      </c>
      <c r="AY20" s="7">
        <v>0.34641016151377552</v>
      </c>
      <c r="BA20" s="11">
        <v>0.91000000000000059</v>
      </c>
      <c r="BB20" s="7">
        <v>0.15588457268119896</v>
      </c>
      <c r="BD20" s="25">
        <v>90</v>
      </c>
      <c r="BJ20" s="31"/>
      <c r="BK20" s="31"/>
      <c r="BM20" s="31"/>
      <c r="BN20" s="31"/>
    </row>
    <row r="21" spans="1:66" x14ac:dyDescent="0.25">
      <c r="A21" s="71"/>
      <c r="B21" s="71"/>
      <c r="D21" s="11">
        <v>0.1</v>
      </c>
      <c r="E21" s="6">
        <v>0.65</v>
      </c>
      <c r="F21" s="7">
        <v>8.6602540378443879E-2</v>
      </c>
      <c r="G21" s="1"/>
      <c r="H21" s="11">
        <v>0.3</v>
      </c>
      <c r="I21" s="7">
        <v>0.51961524227066325</v>
      </c>
      <c r="J21" s="1"/>
      <c r="K21" s="11">
        <v>0.6</v>
      </c>
      <c r="L21" s="7">
        <v>0</v>
      </c>
      <c r="M21" s="1"/>
      <c r="N21" s="11">
        <v>0.4</v>
      </c>
      <c r="O21" s="7">
        <v>0</v>
      </c>
      <c r="P21" s="1"/>
      <c r="Q21" s="11">
        <v>0.3</v>
      </c>
      <c r="R21" s="7">
        <v>0.51961524227066325</v>
      </c>
      <c r="S21" s="1"/>
      <c r="T21" s="11">
        <v>0.8</v>
      </c>
      <c r="U21" s="7">
        <v>0.34641016151377552</v>
      </c>
      <c r="V21" s="1"/>
      <c r="W21" s="11">
        <v>0.4</v>
      </c>
      <c r="X21" s="7">
        <v>0</v>
      </c>
      <c r="Y21" s="1"/>
      <c r="Z21" s="11">
        <v>0.15</v>
      </c>
      <c r="AA21" s="7">
        <v>0.25980762113533162</v>
      </c>
      <c r="AC21" s="11">
        <v>0.3</v>
      </c>
      <c r="AD21" s="7">
        <v>0</v>
      </c>
      <c r="AF21" s="11">
        <v>0.7</v>
      </c>
      <c r="AG21" s="7">
        <v>0</v>
      </c>
      <c r="AI21" s="11">
        <v>0.15</v>
      </c>
      <c r="AJ21" s="7">
        <v>0.25980762113533162</v>
      </c>
      <c r="AL21" s="11">
        <v>0.65</v>
      </c>
      <c r="AM21" s="7">
        <v>0.60621778264910697</v>
      </c>
      <c r="AO21" s="11">
        <v>0.7</v>
      </c>
      <c r="AP21" s="7">
        <v>0</v>
      </c>
      <c r="AQ21" s="1"/>
      <c r="AR21" s="11">
        <v>0.18000000000000002</v>
      </c>
      <c r="AS21" s="7">
        <v>0</v>
      </c>
      <c r="AT21" s="1"/>
      <c r="AU21" s="11">
        <v>0.53500000000000025</v>
      </c>
      <c r="AV21" s="7">
        <v>6.0621778264910706E-2</v>
      </c>
      <c r="AX21" s="12">
        <v>0.7</v>
      </c>
      <c r="AY21" s="9">
        <v>0.51961524227066325</v>
      </c>
      <c r="BA21" s="11">
        <v>0.76000000000000045</v>
      </c>
      <c r="BB21" s="7">
        <v>0.15588457268119896</v>
      </c>
      <c r="BD21" s="25">
        <v>95</v>
      </c>
      <c r="BJ21" s="31"/>
      <c r="BK21" s="31"/>
      <c r="BM21" s="31">
        <v>0.16</v>
      </c>
      <c r="BN21" s="31">
        <v>0.6</v>
      </c>
    </row>
    <row r="22" spans="1:66" x14ac:dyDescent="0.25">
      <c r="A22" s="71"/>
      <c r="B22" s="71"/>
      <c r="D22" s="11">
        <v>0.1</v>
      </c>
      <c r="E22" s="6">
        <v>0.75</v>
      </c>
      <c r="F22" s="7">
        <v>8.6602540378443879E-2</v>
      </c>
      <c r="G22" s="1"/>
      <c r="H22" s="11">
        <v>0.7</v>
      </c>
      <c r="I22" s="7">
        <v>0.51961524227066325</v>
      </c>
      <c r="J22" s="1"/>
      <c r="K22" s="11">
        <v>0.8</v>
      </c>
      <c r="L22" s="7">
        <v>0.34641016151377552</v>
      </c>
      <c r="M22" s="1"/>
      <c r="N22" s="11">
        <v>0.2</v>
      </c>
      <c r="O22" s="7">
        <v>0.34641016151377552</v>
      </c>
      <c r="P22" s="1"/>
      <c r="Q22" s="11">
        <v>0.27</v>
      </c>
      <c r="R22" s="7">
        <v>0.51961524227066325</v>
      </c>
      <c r="S22" s="1"/>
      <c r="T22" s="11">
        <f>T21+0.015</f>
        <v>0.81500000000000006</v>
      </c>
      <c r="U22" s="7">
        <f>U21+0.02598</f>
        <v>0.37239016151377552</v>
      </c>
      <c r="V22" s="1"/>
      <c r="W22" s="11">
        <f>W21+0.015</f>
        <v>0.41500000000000004</v>
      </c>
      <c r="X22" s="7">
        <f>X21-0.02598</f>
        <v>-2.598E-2</v>
      </c>
      <c r="Y22" s="1"/>
      <c r="Z22" s="11">
        <v>0.85</v>
      </c>
      <c r="AA22" s="7">
        <v>0.25980762113533162</v>
      </c>
      <c r="AC22" s="11">
        <v>0.65</v>
      </c>
      <c r="AD22" s="7">
        <v>0.60621778264910697</v>
      </c>
      <c r="AF22" s="11">
        <v>0.35</v>
      </c>
      <c r="AG22" s="7">
        <v>0.60621778264910697</v>
      </c>
      <c r="AI22" s="11">
        <v>0.12</v>
      </c>
      <c r="AJ22" s="7">
        <v>0.25980762113533162</v>
      </c>
      <c r="AL22" s="11">
        <v>0.66500000000000004</v>
      </c>
      <c r="AM22" s="7">
        <v>0.63219778264910698</v>
      </c>
      <c r="AO22" s="11">
        <v>0.71499999999999997</v>
      </c>
      <c r="AP22" s="7">
        <v>-2.598E-2</v>
      </c>
      <c r="AQ22" s="1"/>
      <c r="AR22" s="11">
        <v>0.19000000000000003</v>
      </c>
      <c r="AS22" s="7">
        <v>0</v>
      </c>
      <c r="AT22" s="1"/>
      <c r="AU22" s="11">
        <v>0.5</v>
      </c>
      <c r="AV22" s="7">
        <v>0</v>
      </c>
      <c r="BA22" s="12">
        <v>0.67500000000000038</v>
      </c>
      <c r="BB22" s="9">
        <v>0.30310889132455349</v>
      </c>
      <c r="BD22" s="29">
        <v>100</v>
      </c>
      <c r="BJ22" s="31"/>
      <c r="BK22" s="31"/>
      <c r="BM22" s="31">
        <v>0.22</v>
      </c>
      <c r="BN22" s="31">
        <v>0.6</v>
      </c>
    </row>
    <row r="23" spans="1:66" x14ac:dyDescent="0.25">
      <c r="A23" s="71"/>
      <c r="B23" s="71"/>
      <c r="D23" s="11">
        <v>0.1</v>
      </c>
      <c r="E23" s="6">
        <v>0.85</v>
      </c>
      <c r="F23" s="7">
        <v>8.6602540378443879E-2</v>
      </c>
      <c r="G23" s="1"/>
      <c r="H23" s="11"/>
      <c r="I23" s="7"/>
      <c r="J23" s="1"/>
      <c r="K23" s="11"/>
      <c r="L23" s="7"/>
      <c r="M23" s="1"/>
      <c r="N23" s="11"/>
      <c r="O23" s="7"/>
      <c r="P23" s="1"/>
      <c r="Q23" s="11"/>
      <c r="R23" s="7"/>
      <c r="S23" s="1"/>
      <c r="T23" s="11"/>
      <c r="U23" s="7"/>
      <c r="V23" s="1"/>
      <c r="W23" s="11"/>
      <c r="X23" s="7"/>
      <c r="Y23" s="1"/>
      <c r="Z23" s="11"/>
      <c r="AA23" s="7"/>
      <c r="AC23" s="11"/>
      <c r="AD23" s="7"/>
      <c r="AF23" s="11"/>
      <c r="AG23" s="7"/>
      <c r="AI23" s="11"/>
      <c r="AJ23" s="7"/>
      <c r="AL23" s="11"/>
      <c r="AM23" s="7"/>
      <c r="AO23" s="11"/>
      <c r="AP23" s="7"/>
      <c r="AQ23" s="1"/>
      <c r="AR23" s="11">
        <v>0.20000000000000004</v>
      </c>
      <c r="AS23" s="7">
        <v>0</v>
      </c>
      <c r="AT23" s="1"/>
      <c r="AU23" s="11">
        <v>0.3</v>
      </c>
      <c r="AV23" s="7">
        <v>0</v>
      </c>
      <c r="AX23" s="103" t="s">
        <v>28</v>
      </c>
      <c r="AY23" s="104"/>
      <c r="BJ23" s="31"/>
      <c r="BK23" s="31"/>
      <c r="BM23" s="31">
        <v>0.22</v>
      </c>
      <c r="BN23" s="31">
        <v>0.57499999999999996</v>
      </c>
    </row>
    <row r="24" spans="1:66" x14ac:dyDescent="0.25">
      <c r="A24" s="71"/>
      <c r="B24" s="71"/>
      <c r="D24" s="12">
        <v>0.1</v>
      </c>
      <c r="E24" s="8">
        <v>0.95</v>
      </c>
      <c r="F24" s="9">
        <v>8.6602540378443879E-2</v>
      </c>
      <c r="G24" s="1"/>
      <c r="H24" s="11">
        <v>0.35</v>
      </c>
      <c r="I24" s="7">
        <v>0.60621778264910697</v>
      </c>
      <c r="J24" s="1"/>
      <c r="K24" s="11">
        <v>0.7</v>
      </c>
      <c r="L24" s="7">
        <v>0</v>
      </c>
      <c r="M24" s="1"/>
      <c r="N24" s="11">
        <v>0.3</v>
      </c>
      <c r="O24" s="7">
        <v>0</v>
      </c>
      <c r="P24" s="1"/>
      <c r="Q24" s="11">
        <v>0.35</v>
      </c>
      <c r="R24" s="7">
        <v>0.60621778264910697</v>
      </c>
      <c r="S24" s="1"/>
      <c r="T24" s="11">
        <v>0.85</v>
      </c>
      <c r="U24" s="7">
        <v>0.25980762113533162</v>
      </c>
      <c r="V24" s="1"/>
      <c r="W24" s="11">
        <v>0.3</v>
      </c>
      <c r="X24" s="7">
        <v>0</v>
      </c>
      <c r="Y24" s="1"/>
      <c r="Z24" s="11">
        <v>0.17500000000000002</v>
      </c>
      <c r="AA24" s="7">
        <v>0.30310889132455349</v>
      </c>
      <c r="AC24" s="11">
        <v>0.35</v>
      </c>
      <c r="AD24" s="7">
        <v>0</v>
      </c>
      <c r="AF24" s="11">
        <v>0.65</v>
      </c>
      <c r="AG24" s="7">
        <v>0</v>
      </c>
      <c r="AI24" s="11">
        <v>0.17499999999999999</v>
      </c>
      <c r="AJ24" s="7">
        <v>0.30310889132455349</v>
      </c>
      <c r="AL24" s="11">
        <v>0.67500000000000004</v>
      </c>
      <c r="AM24" s="7">
        <v>0.56291651245988517</v>
      </c>
      <c r="AO24" s="11">
        <v>0.65</v>
      </c>
      <c r="AP24" s="7">
        <v>0</v>
      </c>
      <c r="AQ24" s="1"/>
      <c r="AR24" s="11">
        <v>0.21000000000000005</v>
      </c>
      <c r="AS24" s="7">
        <v>0</v>
      </c>
      <c r="AT24" s="1"/>
      <c r="AU24" s="11">
        <v>7.4999999999999997E-2</v>
      </c>
      <c r="AV24" s="7">
        <v>0.12990381056766581</v>
      </c>
      <c r="AX24" s="20" t="s">
        <v>3</v>
      </c>
      <c r="AY24" s="20" t="s">
        <v>4</v>
      </c>
      <c r="BA24" s="103" t="s">
        <v>35</v>
      </c>
      <c r="BB24" s="104"/>
      <c r="BJ24" s="31"/>
      <c r="BK24" s="31"/>
      <c r="BM24" s="31">
        <v>0.16</v>
      </c>
      <c r="BN24" s="31">
        <v>0.57499999999999996</v>
      </c>
    </row>
    <row r="25" spans="1:66" x14ac:dyDescent="0.25">
      <c r="A25" s="71"/>
      <c r="B25" s="71"/>
      <c r="D25" s="11"/>
      <c r="F25" s="7"/>
      <c r="G25" s="1"/>
      <c r="H25" s="11">
        <v>0.65</v>
      </c>
      <c r="I25" s="7">
        <v>0.60621778264910697</v>
      </c>
      <c r="J25" s="1"/>
      <c r="K25" s="11">
        <v>0.85</v>
      </c>
      <c r="L25" s="7">
        <v>0.25980762113533162</v>
      </c>
      <c r="M25" s="1"/>
      <c r="N25" s="11">
        <v>0.15</v>
      </c>
      <c r="O25" s="7">
        <v>0.25980762113533162</v>
      </c>
      <c r="P25" s="1"/>
      <c r="Q25" s="11">
        <v>0.31999999999999995</v>
      </c>
      <c r="R25" s="7">
        <v>0.60621778264910697</v>
      </c>
      <c r="S25" s="1"/>
      <c r="T25" s="11">
        <f>T24+0.015</f>
        <v>0.86499999999999999</v>
      </c>
      <c r="U25" s="7">
        <f>U24+0.02598</f>
        <v>0.28578762113533163</v>
      </c>
      <c r="V25" s="1"/>
      <c r="W25" s="11">
        <f>W24+0.015</f>
        <v>0.315</v>
      </c>
      <c r="X25" s="7">
        <f>X24-0.02598</f>
        <v>-2.598E-2</v>
      </c>
      <c r="Y25" s="1"/>
      <c r="Z25" s="11">
        <v>0.82500000000000051</v>
      </c>
      <c r="AA25" s="7">
        <v>0.30310889132455349</v>
      </c>
      <c r="AC25" s="11">
        <v>0.67500000000000038</v>
      </c>
      <c r="AD25" s="7">
        <v>0.56291651245988517</v>
      </c>
      <c r="AF25" s="11">
        <v>0.32500000000000012</v>
      </c>
      <c r="AG25" s="7">
        <v>0.56291651245988517</v>
      </c>
      <c r="AI25" s="11">
        <v>0.14499999999999999</v>
      </c>
      <c r="AJ25" s="7">
        <v>0.30310889132455349</v>
      </c>
      <c r="AL25" s="11">
        <v>0.69000000000000006</v>
      </c>
      <c r="AM25" s="7">
        <v>0.58889651245988517</v>
      </c>
      <c r="AO25" s="11">
        <v>0.66500000000000004</v>
      </c>
      <c r="AP25" s="7">
        <v>-2.598E-2</v>
      </c>
      <c r="AQ25" s="1"/>
      <c r="AR25" s="11">
        <v>0.22000000000000006</v>
      </c>
      <c r="AS25" s="7">
        <v>0</v>
      </c>
      <c r="AT25" s="1"/>
      <c r="AU25" s="12">
        <v>9.9999999999999992E-2</v>
      </c>
      <c r="AV25" s="9">
        <v>0.17320508075688776</v>
      </c>
      <c r="AX25" s="10">
        <v>0.60000000000000031</v>
      </c>
      <c r="AY25" s="5">
        <v>0.34641016151377552</v>
      </c>
      <c r="BA25" s="20" t="s">
        <v>3</v>
      </c>
      <c r="BB25" s="20" t="s">
        <v>4</v>
      </c>
      <c r="BJ25" s="31"/>
      <c r="BK25" s="31"/>
      <c r="BM25" s="31">
        <v>0.16</v>
      </c>
      <c r="BN25" s="31">
        <v>0.6</v>
      </c>
    </row>
    <row r="26" spans="1:66" x14ac:dyDescent="0.25">
      <c r="A26" s="71"/>
      <c r="B26" s="71"/>
      <c r="D26" s="10">
        <v>0.2</v>
      </c>
      <c r="E26" s="4">
        <v>9.9999999999999992E-2</v>
      </c>
      <c r="F26" s="5">
        <v>0.17320508075688776</v>
      </c>
      <c r="G26" s="1"/>
      <c r="H26" s="11"/>
      <c r="I26" s="7"/>
      <c r="J26" s="1"/>
      <c r="K26" s="11"/>
      <c r="L26" s="7"/>
      <c r="M26" s="1"/>
      <c r="N26" s="11"/>
      <c r="O26" s="7"/>
      <c r="P26" s="1"/>
      <c r="Q26" s="11"/>
      <c r="R26" s="7"/>
      <c r="S26" s="1"/>
      <c r="T26" s="11"/>
      <c r="U26" s="7"/>
      <c r="V26" s="1"/>
      <c r="W26" s="11"/>
      <c r="X26" s="7"/>
      <c r="Y26" s="1"/>
      <c r="Z26" s="11"/>
      <c r="AA26" s="7"/>
      <c r="AC26" s="11"/>
      <c r="AD26" s="7"/>
      <c r="AF26" s="11"/>
      <c r="AG26" s="7"/>
      <c r="AI26" s="11"/>
      <c r="AJ26" s="7"/>
      <c r="AL26" s="11"/>
      <c r="AM26" s="7"/>
      <c r="AO26" s="11"/>
      <c r="AP26" s="7"/>
      <c r="AQ26" s="1"/>
      <c r="AR26" s="11">
        <v>0.23000000000000007</v>
      </c>
      <c r="AS26" s="7">
        <v>0</v>
      </c>
      <c r="AT26" s="1"/>
      <c r="AX26" s="11">
        <v>0.8</v>
      </c>
      <c r="AY26" s="7">
        <v>0.34641016151377552</v>
      </c>
      <c r="BA26" s="10">
        <v>0.76000000000000045</v>
      </c>
      <c r="BB26" s="5">
        <v>0.15588457268119896</v>
      </c>
      <c r="BJ26" s="31"/>
      <c r="BK26" s="31"/>
      <c r="BM26" s="31"/>
      <c r="BN26" s="31"/>
    </row>
    <row r="27" spans="1:66" x14ac:dyDescent="0.25">
      <c r="A27" s="71"/>
      <c r="B27" s="71"/>
      <c r="D27" s="11">
        <v>0.2</v>
      </c>
      <c r="E27" s="6">
        <v>0.2</v>
      </c>
      <c r="F27" s="7">
        <v>0.17320508075688776</v>
      </c>
      <c r="G27" s="1"/>
      <c r="H27" s="11">
        <v>0.4</v>
      </c>
      <c r="I27" s="7">
        <v>0.69282032302755103</v>
      </c>
      <c r="J27" s="1"/>
      <c r="K27" s="11">
        <v>0.8</v>
      </c>
      <c r="L27" s="7">
        <v>0</v>
      </c>
      <c r="M27" s="1"/>
      <c r="N27" s="11">
        <v>0.2</v>
      </c>
      <c r="O27" s="7">
        <v>0</v>
      </c>
      <c r="P27" s="1"/>
      <c r="Q27" s="11">
        <v>0.4</v>
      </c>
      <c r="R27" s="7">
        <v>0.69282032302755103</v>
      </c>
      <c r="S27" s="1"/>
      <c r="T27" s="11">
        <v>0.89999999999999991</v>
      </c>
      <c r="U27" s="7">
        <v>0.17320508075688776</v>
      </c>
      <c r="V27" s="1"/>
      <c r="W27" s="11">
        <v>0.2</v>
      </c>
      <c r="X27" s="7">
        <v>0</v>
      </c>
      <c r="Y27" s="1"/>
      <c r="Z27" s="11">
        <v>0.2</v>
      </c>
      <c r="AA27" s="7">
        <v>0.34641016151377552</v>
      </c>
      <c r="AC27" s="11">
        <v>0.4</v>
      </c>
      <c r="AD27" s="7">
        <v>0</v>
      </c>
      <c r="AF27" s="11">
        <v>0.6</v>
      </c>
      <c r="AG27" s="7">
        <v>0</v>
      </c>
      <c r="AI27" s="11">
        <v>0.2</v>
      </c>
      <c r="AJ27" s="7">
        <v>0.34641016151377552</v>
      </c>
      <c r="AL27" s="11">
        <v>0.7</v>
      </c>
      <c r="AM27" s="7">
        <v>0.51961524227066325</v>
      </c>
      <c r="AO27" s="11">
        <v>0.6</v>
      </c>
      <c r="AP27" s="7">
        <v>0</v>
      </c>
      <c r="AQ27" s="1"/>
      <c r="AR27" s="11">
        <v>0.24000000000000007</v>
      </c>
      <c r="AS27" s="7">
        <v>0</v>
      </c>
      <c r="AT27" s="1"/>
      <c r="AU27" s="103" t="s">
        <v>23</v>
      </c>
      <c r="AV27" s="104"/>
      <c r="AX27" s="11">
        <v>0.86500000000000055</v>
      </c>
      <c r="AY27" s="7">
        <v>0.23382685902179845</v>
      </c>
      <c r="BA27" s="11">
        <v>0.91000000000000059</v>
      </c>
      <c r="BB27" s="7">
        <v>0.15588457268119896</v>
      </c>
      <c r="BJ27" s="31"/>
      <c r="BK27" s="31"/>
      <c r="BM27" s="31">
        <v>-0.08</v>
      </c>
      <c r="BN27" s="31">
        <v>0.55000000000000004</v>
      </c>
    </row>
    <row r="28" spans="1:66" x14ac:dyDescent="0.25">
      <c r="A28" s="71"/>
      <c r="B28" s="71"/>
      <c r="D28" s="11">
        <v>0.2</v>
      </c>
      <c r="E28" s="6">
        <v>0.30000000000000004</v>
      </c>
      <c r="F28" s="7">
        <v>0.17320508075688776</v>
      </c>
      <c r="G28" s="1"/>
      <c r="H28" s="11">
        <v>0.6</v>
      </c>
      <c r="I28" s="7">
        <v>0.69282032302755103</v>
      </c>
      <c r="J28" s="1"/>
      <c r="K28" s="11">
        <v>0.89999999999999991</v>
      </c>
      <c r="L28" s="7">
        <v>0.17320508075688776</v>
      </c>
      <c r="M28" s="1"/>
      <c r="N28" s="11">
        <v>9.9999999999999992E-2</v>
      </c>
      <c r="O28" s="7">
        <v>0.17320508075688776</v>
      </c>
      <c r="P28" s="1"/>
      <c r="Q28" s="11">
        <v>0.37</v>
      </c>
      <c r="R28" s="7">
        <v>0.69282032302755103</v>
      </c>
      <c r="S28" s="1"/>
      <c r="T28" s="11">
        <f>T27+0.015</f>
        <v>0.91499999999999992</v>
      </c>
      <c r="U28" s="7">
        <f>U27+0.02598</f>
        <v>0.19918508075688776</v>
      </c>
      <c r="V28" s="1"/>
      <c r="W28" s="11">
        <f>W27+0.015</f>
        <v>0.21500000000000002</v>
      </c>
      <c r="X28" s="7">
        <f>X27-0.02598</f>
        <v>-2.598E-2</v>
      </c>
      <c r="Y28" s="1"/>
      <c r="Z28" s="11">
        <v>0.8</v>
      </c>
      <c r="AA28" s="7">
        <v>0.34641016151377552</v>
      </c>
      <c r="AC28" s="11">
        <v>0.7</v>
      </c>
      <c r="AD28" s="7">
        <v>0.51961524227066325</v>
      </c>
      <c r="AF28" s="11">
        <v>0.3</v>
      </c>
      <c r="AG28" s="7">
        <v>0.51961524227066325</v>
      </c>
      <c r="AI28" s="11">
        <v>0.17</v>
      </c>
      <c r="AJ28" s="7">
        <v>0.34641016151377552</v>
      </c>
      <c r="AL28" s="11">
        <v>0.71499999999999997</v>
      </c>
      <c r="AM28" s="7">
        <v>0.54559524227066325</v>
      </c>
      <c r="AO28" s="11">
        <v>0.61499999999999999</v>
      </c>
      <c r="AP28" s="7">
        <v>-2.598E-2</v>
      </c>
      <c r="AQ28" s="1"/>
      <c r="AR28" s="11">
        <v>0.25000000000000006</v>
      </c>
      <c r="AS28" s="7">
        <v>0</v>
      </c>
      <c r="AT28" s="1"/>
      <c r="AU28" s="16" t="s">
        <v>3</v>
      </c>
      <c r="AV28" s="16" t="s">
        <v>4</v>
      </c>
      <c r="AX28" s="11">
        <v>0.66500000000000037</v>
      </c>
      <c r="AY28" s="7">
        <v>0.23382685902179845</v>
      </c>
      <c r="BA28" s="11">
        <v>1</v>
      </c>
      <c r="BB28" s="7">
        <v>0</v>
      </c>
      <c r="BJ28" s="31"/>
      <c r="BK28" s="31"/>
      <c r="BM28" s="31">
        <v>-0.02</v>
      </c>
      <c r="BN28" s="31">
        <v>0.55000000000000004</v>
      </c>
    </row>
    <row r="29" spans="1:66" x14ac:dyDescent="0.25">
      <c r="A29" s="71"/>
      <c r="B29" s="71"/>
      <c r="D29" s="11">
        <v>0.2</v>
      </c>
      <c r="E29" s="6">
        <v>0.4</v>
      </c>
      <c r="F29" s="7">
        <v>0.17320508075688776</v>
      </c>
      <c r="G29" s="1"/>
      <c r="H29" s="11"/>
      <c r="I29" s="7"/>
      <c r="J29" s="1"/>
      <c r="K29" s="11"/>
      <c r="L29" s="7"/>
      <c r="M29" s="1"/>
      <c r="N29" s="11"/>
      <c r="O29" s="7"/>
      <c r="P29" s="1"/>
      <c r="Q29" s="11"/>
      <c r="R29" s="7"/>
      <c r="S29" s="1"/>
      <c r="T29" s="11"/>
      <c r="U29" s="7"/>
      <c r="V29" s="1"/>
      <c r="W29" s="11"/>
      <c r="X29" s="7"/>
      <c r="Y29" s="1"/>
      <c r="Z29" s="11"/>
      <c r="AA29" s="7"/>
      <c r="AC29" s="11"/>
      <c r="AD29" s="7"/>
      <c r="AF29" s="11"/>
      <c r="AG29" s="7"/>
      <c r="AI29" s="11"/>
      <c r="AJ29" s="7"/>
      <c r="AL29" s="11"/>
      <c r="AM29" s="7"/>
      <c r="AO29" s="11"/>
      <c r="AP29" s="7"/>
      <c r="AQ29" s="1"/>
      <c r="AR29" s="11">
        <v>0.26000000000000006</v>
      </c>
      <c r="AS29" s="7">
        <v>0</v>
      </c>
      <c r="AT29" s="1"/>
      <c r="AU29" s="10">
        <v>0.17500000000000002</v>
      </c>
      <c r="AV29" s="5">
        <v>0.30310889132455349</v>
      </c>
      <c r="AX29" s="12">
        <v>0.60000000000000031</v>
      </c>
      <c r="AY29" s="9">
        <v>0.34641016151377552</v>
      </c>
      <c r="BA29" s="11">
        <v>0.85000000000000053</v>
      </c>
      <c r="BB29" s="7">
        <v>0</v>
      </c>
      <c r="BJ29" s="31"/>
      <c r="BK29" s="31"/>
      <c r="BM29" s="31">
        <v>-0.02</v>
      </c>
      <c r="BN29" s="31">
        <v>0.52500000000000002</v>
      </c>
    </row>
    <row r="30" spans="1:66" x14ac:dyDescent="0.25">
      <c r="A30" s="71"/>
      <c r="B30" s="71"/>
      <c r="D30" s="11">
        <v>0.2</v>
      </c>
      <c r="E30" s="6">
        <v>0.5</v>
      </c>
      <c r="F30" s="7">
        <v>0.17320508075688776</v>
      </c>
      <c r="G30" s="1"/>
      <c r="H30" s="11">
        <v>0.45</v>
      </c>
      <c r="I30" s="7">
        <v>0.77942286340599476</v>
      </c>
      <c r="J30" s="1"/>
      <c r="K30" s="11">
        <v>0.9</v>
      </c>
      <c r="L30" s="7">
        <v>0</v>
      </c>
      <c r="M30" s="1"/>
      <c r="N30" s="11">
        <v>0.1</v>
      </c>
      <c r="O30" s="7">
        <v>0</v>
      </c>
      <c r="P30" s="1"/>
      <c r="Q30" s="11">
        <v>0.45</v>
      </c>
      <c r="R30" s="7">
        <v>0.77942286340599476</v>
      </c>
      <c r="S30" s="1"/>
      <c r="T30" s="11">
        <v>0.95</v>
      </c>
      <c r="U30" s="7">
        <v>8.6602540378443879E-2</v>
      </c>
      <c r="V30" s="1"/>
      <c r="W30" s="11">
        <v>0.1</v>
      </c>
      <c r="X30" s="7">
        <v>0</v>
      </c>
      <c r="Y30" s="1"/>
      <c r="Z30" s="11">
        <v>0.22500000000000006</v>
      </c>
      <c r="AA30" s="7">
        <v>0.38971143170299738</v>
      </c>
      <c r="AC30" s="11">
        <v>0.45</v>
      </c>
      <c r="AD30" s="7">
        <v>0</v>
      </c>
      <c r="AF30" s="11">
        <v>0.55000000000000004</v>
      </c>
      <c r="AG30" s="7">
        <v>0</v>
      </c>
      <c r="AI30" s="11">
        <v>0.22500000000000001</v>
      </c>
      <c r="AJ30" s="7">
        <v>0.38971143170299738</v>
      </c>
      <c r="AL30" s="11">
        <v>0.72499999999999998</v>
      </c>
      <c r="AM30" s="7">
        <v>0.47631397208144133</v>
      </c>
      <c r="AO30" s="11">
        <v>0.55000000000000004</v>
      </c>
      <c r="AP30" s="7">
        <v>0</v>
      </c>
      <c r="AQ30" s="1"/>
      <c r="AR30" s="11">
        <v>0.27000000000000007</v>
      </c>
      <c r="AS30" s="7">
        <v>0</v>
      </c>
      <c r="AT30" s="1"/>
      <c r="AU30" s="11">
        <v>0.37500000000000017</v>
      </c>
      <c r="AV30" s="7">
        <v>0.30310889132455349</v>
      </c>
      <c r="BA30" s="12">
        <v>0.76000000000000045</v>
      </c>
      <c r="BB30" s="9">
        <v>0.15588457268119896</v>
      </c>
      <c r="BJ30" s="31"/>
      <c r="BK30" s="31"/>
      <c r="BM30" s="31">
        <v>-0.08</v>
      </c>
      <c r="BN30" s="31">
        <v>0.52500000000000002</v>
      </c>
    </row>
    <row r="31" spans="1:66" x14ac:dyDescent="0.25">
      <c r="A31" s="71"/>
      <c r="B31" s="71"/>
      <c r="D31" s="11">
        <v>0.2</v>
      </c>
      <c r="E31" s="6">
        <v>0.6</v>
      </c>
      <c r="F31" s="7">
        <v>0.17320508075688776</v>
      </c>
      <c r="G31" s="1"/>
      <c r="H31" s="11">
        <v>0.55000000000000004</v>
      </c>
      <c r="I31" s="7">
        <v>0.77942286340599476</v>
      </c>
      <c r="J31" s="1"/>
      <c r="K31" s="11">
        <v>0.95</v>
      </c>
      <c r="L31" s="7">
        <v>8.6602540378443879E-2</v>
      </c>
      <c r="M31" s="1"/>
      <c r="N31" s="11">
        <v>0.05</v>
      </c>
      <c r="O31" s="7">
        <v>8.6602540378443879E-2</v>
      </c>
      <c r="P31" s="1"/>
      <c r="Q31" s="11">
        <v>0.42000000000000004</v>
      </c>
      <c r="R31" s="7">
        <v>0.77942286340599476</v>
      </c>
      <c r="S31" s="1"/>
      <c r="T31" s="11">
        <f>T30+0.015</f>
        <v>0.96499999999999997</v>
      </c>
      <c r="U31" s="7">
        <f>U30+0.02598</f>
        <v>0.11258254037844388</v>
      </c>
      <c r="V31" s="1"/>
      <c r="W31" s="11">
        <f>W30+0.015</f>
        <v>0.115</v>
      </c>
      <c r="X31" s="7">
        <f>X30-0.02598</f>
        <v>-2.598E-2</v>
      </c>
      <c r="Y31" s="1"/>
      <c r="Z31" s="11">
        <v>0.77500000000000047</v>
      </c>
      <c r="AA31" s="7">
        <v>0.38971143170299738</v>
      </c>
      <c r="AC31" s="11">
        <v>0.72500000000000042</v>
      </c>
      <c r="AD31" s="7">
        <v>0.47631397208144133</v>
      </c>
      <c r="AF31" s="11">
        <v>0.27500000000000008</v>
      </c>
      <c r="AG31" s="7">
        <v>0.47631397208144133</v>
      </c>
      <c r="AI31" s="11">
        <v>0.19500000000000001</v>
      </c>
      <c r="AJ31" s="7">
        <v>0.38971143170299738</v>
      </c>
      <c r="AL31" s="11">
        <v>0.74</v>
      </c>
      <c r="AM31" s="7">
        <v>0.50229397208144133</v>
      </c>
      <c r="AO31" s="11">
        <v>0.56500000000000006</v>
      </c>
      <c r="AP31" s="7">
        <v>-2.598E-2</v>
      </c>
      <c r="AQ31" s="1"/>
      <c r="AR31" s="11">
        <v>0.28000000000000008</v>
      </c>
      <c r="AS31" s="7">
        <v>0</v>
      </c>
      <c r="AT31" s="1"/>
      <c r="AU31" s="11">
        <v>0.4150000000000002</v>
      </c>
      <c r="AV31" s="7">
        <v>0.23382685902179845</v>
      </c>
      <c r="AX31" s="103" t="s">
        <v>29</v>
      </c>
      <c r="AY31" s="104"/>
      <c r="BJ31" s="31"/>
      <c r="BK31" s="31"/>
      <c r="BM31" s="31">
        <v>-0.08</v>
      </c>
      <c r="BN31" s="31">
        <v>0.55000000000000004</v>
      </c>
    </row>
    <row r="32" spans="1:66" x14ac:dyDescent="0.25">
      <c r="A32" s="71"/>
      <c r="B32" s="71"/>
      <c r="D32" s="11">
        <v>0.2</v>
      </c>
      <c r="E32" s="6">
        <v>0.7</v>
      </c>
      <c r="F32" s="7">
        <v>0.17320508075688776</v>
      </c>
      <c r="G32" s="1"/>
      <c r="H32" s="11"/>
      <c r="I32" s="7"/>
      <c r="J32" s="1"/>
      <c r="K32" s="11"/>
      <c r="L32" s="7"/>
      <c r="M32" s="1"/>
      <c r="N32" s="11"/>
      <c r="O32" s="7"/>
      <c r="P32" s="1"/>
      <c r="Q32" s="11"/>
      <c r="R32" s="7"/>
      <c r="S32" s="1"/>
      <c r="T32" s="11"/>
      <c r="U32" s="7"/>
      <c r="V32" s="1"/>
      <c r="W32" s="11"/>
      <c r="X32" s="7"/>
      <c r="Y32" s="1"/>
      <c r="Z32" s="11"/>
      <c r="AA32" s="7"/>
      <c r="AC32" s="11"/>
      <c r="AD32" s="7"/>
      <c r="AF32" s="11"/>
      <c r="AG32" s="7"/>
      <c r="AI32" s="11"/>
      <c r="AJ32" s="7"/>
      <c r="AL32" s="11"/>
      <c r="AM32" s="7"/>
      <c r="AO32" s="11"/>
      <c r="AP32" s="7"/>
      <c r="AQ32" s="1"/>
      <c r="AR32" s="11">
        <v>0.29000000000000009</v>
      </c>
      <c r="AS32" s="7">
        <v>0</v>
      </c>
      <c r="AT32" s="1"/>
      <c r="AU32" s="11">
        <v>0.38000000000000017</v>
      </c>
      <c r="AV32" s="7">
        <v>0.17320508075688776</v>
      </c>
      <c r="AX32" s="20" t="s">
        <v>3</v>
      </c>
      <c r="AY32" s="20" t="s">
        <v>4</v>
      </c>
      <c r="BA32" s="103" t="s">
        <v>36</v>
      </c>
      <c r="BB32" s="104"/>
      <c r="BJ32" s="31"/>
      <c r="BK32" s="31"/>
      <c r="BM32" s="31"/>
      <c r="BN32" s="31"/>
    </row>
    <row r="33" spans="1:66" x14ac:dyDescent="0.25">
      <c r="A33" s="71"/>
      <c r="B33" s="71"/>
      <c r="D33" s="11">
        <v>0.2</v>
      </c>
      <c r="E33" s="6">
        <v>0.79999999999999993</v>
      </c>
      <c r="F33" s="7">
        <v>0.17320508075688776</v>
      </c>
      <c r="G33" s="1"/>
      <c r="H33" s="12">
        <v>0.5</v>
      </c>
      <c r="I33" s="9">
        <v>0.8660254037844386</v>
      </c>
      <c r="J33" s="1"/>
      <c r="K33" s="12">
        <v>1</v>
      </c>
      <c r="L33" s="9">
        <v>0</v>
      </c>
      <c r="M33" s="1"/>
      <c r="N33" s="12">
        <v>0</v>
      </c>
      <c r="O33" s="9">
        <v>0</v>
      </c>
      <c r="P33" s="1"/>
      <c r="Q33" s="11">
        <v>0.5</v>
      </c>
      <c r="R33" s="7">
        <v>0.8660254037844386</v>
      </c>
      <c r="S33" s="1"/>
      <c r="T33" s="11">
        <v>1</v>
      </c>
      <c r="U33" s="7">
        <v>0</v>
      </c>
      <c r="V33" s="1"/>
      <c r="W33" s="11">
        <v>0</v>
      </c>
      <c r="X33" s="7">
        <v>0</v>
      </c>
      <c r="Y33" s="1"/>
      <c r="Z33" s="11">
        <v>0.25</v>
      </c>
      <c r="AA33" s="7">
        <v>0.4330127018922193</v>
      </c>
      <c r="AC33" s="11">
        <v>0.5</v>
      </c>
      <c r="AD33" s="7">
        <v>0</v>
      </c>
      <c r="AF33" s="11">
        <v>0.5</v>
      </c>
      <c r="AG33" s="7">
        <v>0</v>
      </c>
      <c r="AI33" s="11">
        <v>0.25</v>
      </c>
      <c r="AJ33" s="7">
        <v>0.4330127018922193</v>
      </c>
      <c r="AL33" s="11">
        <v>0.75</v>
      </c>
      <c r="AM33" s="7">
        <v>0.4330127018922193</v>
      </c>
      <c r="AO33" s="11">
        <v>0.5</v>
      </c>
      <c r="AP33" s="7">
        <v>0</v>
      </c>
      <c r="AQ33" s="1"/>
      <c r="AR33" s="11">
        <v>0.3000000000000001</v>
      </c>
      <c r="AS33" s="7">
        <v>0</v>
      </c>
      <c r="AT33" s="1"/>
      <c r="AU33" s="11">
        <v>9.9999999999999992E-2</v>
      </c>
      <c r="AV33" s="7">
        <v>0.17320508075688776</v>
      </c>
      <c r="AX33" s="10">
        <v>0.63500000000000034</v>
      </c>
      <c r="AY33" s="5">
        <v>0.23382685902179845</v>
      </c>
      <c r="BA33" s="16" t="s">
        <v>3</v>
      </c>
      <c r="BB33" s="16" t="s">
        <v>4</v>
      </c>
      <c r="BJ33" s="31"/>
      <c r="BK33" s="31"/>
      <c r="BM33" s="31">
        <v>0</v>
      </c>
      <c r="BN33" s="31">
        <v>0.55000000000000004</v>
      </c>
    </row>
    <row r="34" spans="1:66" x14ac:dyDescent="0.25">
      <c r="A34" s="71"/>
      <c r="B34" s="71"/>
      <c r="D34" s="12">
        <v>0.2</v>
      </c>
      <c r="E34" s="8">
        <v>0.89999999999999991</v>
      </c>
      <c r="F34" s="9">
        <v>0.17320508075688776</v>
      </c>
      <c r="G34" s="1"/>
      <c r="J34" s="1"/>
      <c r="M34" s="1"/>
      <c r="N34" s="1"/>
      <c r="O34" s="1"/>
      <c r="P34" s="1"/>
      <c r="Q34" s="12">
        <v>0.47</v>
      </c>
      <c r="R34" s="9">
        <v>0.8660254037844386</v>
      </c>
      <c r="S34" s="1"/>
      <c r="T34" s="12">
        <f>T33+0.015</f>
        <v>1.0149999999999999</v>
      </c>
      <c r="U34" s="9">
        <f>U33+0.02598</f>
        <v>2.598E-2</v>
      </c>
      <c r="V34" s="1"/>
      <c r="W34" s="12">
        <f>W33+0.015</f>
        <v>1.4999999999999999E-2</v>
      </c>
      <c r="X34" s="9">
        <f>X33-0.02598</f>
        <v>-2.598E-2</v>
      </c>
      <c r="Y34" s="1"/>
      <c r="Z34" s="11">
        <v>0.75</v>
      </c>
      <c r="AA34" s="7">
        <v>0.4330127018922193</v>
      </c>
      <c r="AC34" s="11">
        <v>0.75</v>
      </c>
      <c r="AD34" s="7">
        <v>0.4330127018922193</v>
      </c>
      <c r="AF34" s="11">
        <v>0.25</v>
      </c>
      <c r="AG34" s="7">
        <v>0.4330127018922193</v>
      </c>
      <c r="AI34" s="11">
        <v>0.22</v>
      </c>
      <c r="AJ34" s="7">
        <v>0.4330127018922193</v>
      </c>
      <c r="AL34" s="11">
        <v>0.76500000000000001</v>
      </c>
      <c r="AM34" s="7">
        <v>0.4589927018922193</v>
      </c>
      <c r="AO34" s="11">
        <v>0.51500000000000001</v>
      </c>
      <c r="AP34" s="7">
        <v>-2.598E-2</v>
      </c>
      <c r="AQ34" s="1"/>
      <c r="AR34" s="11">
        <v>0.31000000000000011</v>
      </c>
      <c r="AS34" s="7">
        <v>0</v>
      </c>
      <c r="AT34" s="1"/>
      <c r="AU34" s="12">
        <v>0.17500000000000002</v>
      </c>
      <c r="AV34" s="9">
        <v>0.30310889132455349</v>
      </c>
      <c r="AX34" s="11">
        <v>0.86500000000000055</v>
      </c>
      <c r="AY34" s="7">
        <v>0.23382685902179845</v>
      </c>
      <c r="BA34" s="10">
        <v>0.17500000000000002</v>
      </c>
      <c r="BB34" s="5">
        <v>0.30310889132455349</v>
      </c>
      <c r="BJ34" s="31"/>
      <c r="BK34" s="31"/>
      <c r="BM34" s="31">
        <v>0.06</v>
      </c>
      <c r="BN34" s="31">
        <v>0.55000000000000004</v>
      </c>
    </row>
    <row r="35" spans="1:66" x14ac:dyDescent="0.25">
      <c r="A35" s="71"/>
      <c r="B35" s="71"/>
      <c r="D35" s="11"/>
      <c r="F35" s="7"/>
      <c r="G35" s="1"/>
      <c r="J35" s="1"/>
      <c r="M35" s="1"/>
      <c r="N35" s="1"/>
      <c r="O35" s="1"/>
      <c r="P35" s="1"/>
      <c r="Q35" s="1"/>
      <c r="R35" s="1"/>
      <c r="S35" s="1"/>
      <c r="T35" s="1"/>
      <c r="U35" s="1"/>
      <c r="V35" s="1"/>
      <c r="W35" s="1"/>
      <c r="X35" s="1"/>
      <c r="Y35" s="1"/>
      <c r="Z35" s="11"/>
      <c r="AA35" s="7"/>
      <c r="AC35" s="11"/>
      <c r="AD35" s="7"/>
      <c r="AF35" s="11"/>
      <c r="AG35" s="7"/>
      <c r="AI35" s="11"/>
      <c r="AJ35" s="7"/>
      <c r="AL35" s="11"/>
      <c r="AM35" s="7"/>
      <c r="AO35" s="11"/>
      <c r="AP35" s="7"/>
      <c r="AQ35" s="1"/>
      <c r="AR35" s="11">
        <v>0.32000000000000012</v>
      </c>
      <c r="AS35" s="7">
        <v>0</v>
      </c>
      <c r="AT35" s="1"/>
      <c r="AX35" s="11">
        <v>0.94000000000000061</v>
      </c>
      <c r="AY35" s="7">
        <v>0.10392304845413264</v>
      </c>
      <c r="BA35" s="11">
        <v>0.67500000000000038</v>
      </c>
      <c r="BB35" s="7">
        <v>0.30310889132455349</v>
      </c>
      <c r="BJ35" s="31"/>
      <c r="BK35" s="31"/>
      <c r="BM35" s="31">
        <v>0.06</v>
      </c>
      <c r="BN35" s="31">
        <v>0.52500000000000002</v>
      </c>
    </row>
    <row r="36" spans="1:66" x14ac:dyDescent="0.25">
      <c r="A36" s="71"/>
      <c r="B36" s="71"/>
      <c r="D36" s="10">
        <v>0.3</v>
      </c>
      <c r="E36" s="4">
        <v>0.15</v>
      </c>
      <c r="F36" s="5">
        <v>0.25980762113533162</v>
      </c>
      <c r="G36" s="1"/>
      <c r="J36" s="1"/>
      <c r="M36" s="1"/>
      <c r="N36" s="1"/>
      <c r="O36" s="1"/>
      <c r="P36" s="1"/>
      <c r="Q36" s="1"/>
      <c r="R36" s="1"/>
      <c r="S36" s="1"/>
      <c r="T36" s="1"/>
      <c r="U36" s="1"/>
      <c r="V36" s="1"/>
      <c r="W36" s="1"/>
      <c r="X36" s="1"/>
      <c r="Y36" s="1"/>
      <c r="Z36" s="11">
        <v>0.27500000000000008</v>
      </c>
      <c r="AA36" s="7">
        <v>0.47631397208144133</v>
      </c>
      <c r="AC36" s="11">
        <v>0.55000000000000004</v>
      </c>
      <c r="AD36" s="7">
        <v>0</v>
      </c>
      <c r="AF36" s="11">
        <v>0.45</v>
      </c>
      <c r="AG36" s="7">
        <v>0</v>
      </c>
      <c r="AI36" s="11">
        <v>0.27500000000000002</v>
      </c>
      <c r="AJ36" s="7">
        <v>0.47631397208144133</v>
      </c>
      <c r="AL36" s="11">
        <v>0.77500000000000002</v>
      </c>
      <c r="AM36" s="7">
        <v>0.38971143170299738</v>
      </c>
      <c r="AO36" s="11">
        <v>0.45</v>
      </c>
      <c r="AP36" s="7">
        <v>0</v>
      </c>
      <c r="AQ36" s="1"/>
      <c r="AR36" s="11">
        <v>0.33000000000000013</v>
      </c>
      <c r="AS36" s="7">
        <v>0</v>
      </c>
      <c r="AT36" s="1"/>
      <c r="AU36" s="103" t="s">
        <v>24</v>
      </c>
      <c r="AV36" s="104"/>
      <c r="AX36" s="11">
        <v>0.86000000000000054</v>
      </c>
      <c r="AY36" s="7">
        <v>0.10392304845413264</v>
      </c>
      <c r="BA36" s="11">
        <v>0.76000000000000045</v>
      </c>
      <c r="BB36" s="7">
        <v>0.15588457268119896</v>
      </c>
      <c r="BJ36" s="31"/>
      <c r="BK36" s="31"/>
      <c r="BM36" s="31">
        <v>0</v>
      </c>
      <c r="BN36" s="31">
        <v>0.52500000000000002</v>
      </c>
    </row>
    <row r="37" spans="1:66" x14ac:dyDescent="0.25">
      <c r="A37" s="71"/>
      <c r="B37" s="71"/>
      <c r="D37" s="11">
        <v>0.3</v>
      </c>
      <c r="E37" s="6">
        <v>0.25</v>
      </c>
      <c r="F37" s="7">
        <v>0.25980762113533162</v>
      </c>
      <c r="G37" s="1"/>
      <c r="J37" s="1"/>
      <c r="M37" s="1"/>
      <c r="N37" s="1"/>
      <c r="O37" s="1"/>
      <c r="P37" s="1"/>
      <c r="Q37" s="1"/>
      <c r="R37" s="1"/>
      <c r="S37" s="1"/>
      <c r="T37" s="1"/>
      <c r="U37" s="1"/>
      <c r="V37" s="1"/>
      <c r="W37" s="1"/>
      <c r="X37" s="1"/>
      <c r="Y37" s="1"/>
      <c r="Z37" s="11">
        <v>0.72500000000000042</v>
      </c>
      <c r="AA37" s="7">
        <v>0.47631397208144133</v>
      </c>
      <c r="AC37" s="11">
        <v>0.77500000000000047</v>
      </c>
      <c r="AD37" s="7">
        <v>0.38971143170299738</v>
      </c>
      <c r="AF37" s="11">
        <v>0.22500000000000006</v>
      </c>
      <c r="AG37" s="7">
        <v>0.38971143170299738</v>
      </c>
      <c r="AI37" s="11">
        <v>0.24500000000000002</v>
      </c>
      <c r="AJ37" s="7">
        <v>0.47631397208144133</v>
      </c>
      <c r="AL37" s="11">
        <v>0.79</v>
      </c>
      <c r="AM37" s="7">
        <v>0.41569143170299738</v>
      </c>
      <c r="AO37" s="11">
        <v>0.46500000000000002</v>
      </c>
      <c r="AP37" s="7">
        <v>-2.598E-2</v>
      </c>
      <c r="AQ37" s="1"/>
      <c r="AR37" s="11">
        <v>0.34000000000000014</v>
      </c>
      <c r="AS37" s="7">
        <v>0</v>
      </c>
      <c r="AT37" s="1"/>
      <c r="AU37" s="20" t="s">
        <v>3</v>
      </c>
      <c r="AV37" s="20" t="s">
        <v>4</v>
      </c>
      <c r="AX37" s="11">
        <v>0.80000000000000049</v>
      </c>
      <c r="AY37" s="7">
        <v>0</v>
      </c>
      <c r="BA37" s="11">
        <v>0.09</v>
      </c>
      <c r="BB37" s="7">
        <v>0.15588457268119896</v>
      </c>
      <c r="BJ37" s="31"/>
      <c r="BK37" s="31"/>
      <c r="BM37" s="31">
        <v>0</v>
      </c>
      <c r="BN37" s="31">
        <v>0.55000000000000004</v>
      </c>
    </row>
    <row r="38" spans="1:66" x14ac:dyDescent="0.25">
      <c r="A38" s="71"/>
      <c r="B38" s="71"/>
      <c r="D38" s="11">
        <v>0.3</v>
      </c>
      <c r="E38" s="6">
        <v>0.35</v>
      </c>
      <c r="F38" s="7">
        <v>0.25980762113533162</v>
      </c>
      <c r="G38" s="1"/>
      <c r="J38" s="1"/>
      <c r="M38" s="1"/>
      <c r="N38" s="1"/>
      <c r="O38" s="1"/>
      <c r="P38" s="1"/>
      <c r="Q38" s="1"/>
      <c r="R38" s="1"/>
      <c r="S38" s="1"/>
      <c r="T38" s="1"/>
      <c r="U38" s="1"/>
      <c r="V38" s="1"/>
      <c r="W38" s="1"/>
      <c r="X38" s="1"/>
      <c r="Y38" s="1"/>
      <c r="Z38" s="11"/>
      <c r="AA38" s="7"/>
      <c r="AC38" s="11"/>
      <c r="AD38" s="7"/>
      <c r="AF38" s="11"/>
      <c r="AG38" s="7"/>
      <c r="AI38" s="11"/>
      <c r="AJ38" s="7"/>
      <c r="AL38" s="11"/>
      <c r="AM38" s="7"/>
      <c r="AO38" s="11"/>
      <c r="AP38" s="7"/>
      <c r="AQ38" s="1"/>
      <c r="AR38" s="11">
        <v>0.35000000000000014</v>
      </c>
      <c r="AS38" s="7">
        <v>0</v>
      </c>
      <c r="AT38" s="1"/>
      <c r="AU38" s="10">
        <v>0.4150000000000002</v>
      </c>
      <c r="AV38" s="5">
        <v>0.23382685902179845</v>
      </c>
      <c r="AX38" s="11">
        <v>0.5</v>
      </c>
      <c r="AY38" s="7">
        <v>0</v>
      </c>
      <c r="BA38" s="12">
        <v>0.17500000000000002</v>
      </c>
      <c r="BB38" s="9">
        <v>0.30310889132455349</v>
      </c>
      <c r="BJ38" s="31"/>
      <c r="BK38" s="31"/>
      <c r="BM38" s="31"/>
      <c r="BN38" s="31"/>
    </row>
    <row r="39" spans="1:66" x14ac:dyDescent="0.25">
      <c r="A39" s="71"/>
      <c r="B39" s="71"/>
      <c r="D39" s="11">
        <v>0.3</v>
      </c>
      <c r="E39" s="6">
        <v>0.45</v>
      </c>
      <c r="F39" s="7">
        <v>0.25980762113533162</v>
      </c>
      <c r="G39" s="1"/>
      <c r="J39" s="1"/>
      <c r="M39" s="1"/>
      <c r="N39" s="1"/>
      <c r="O39" s="1"/>
      <c r="P39" s="1"/>
      <c r="Q39" s="1"/>
      <c r="R39" s="1"/>
      <c r="S39" s="1"/>
      <c r="T39" s="1"/>
      <c r="U39" s="1"/>
      <c r="V39" s="1"/>
      <c r="W39" s="1"/>
      <c r="X39" s="1"/>
      <c r="Y39" s="1"/>
      <c r="Z39" s="11">
        <v>0.3</v>
      </c>
      <c r="AA39" s="7">
        <v>0.51961524227066325</v>
      </c>
      <c r="AC39" s="11">
        <v>0.6</v>
      </c>
      <c r="AD39" s="7">
        <v>0</v>
      </c>
      <c r="AF39" s="11">
        <v>0.4</v>
      </c>
      <c r="AG39" s="7">
        <v>0</v>
      </c>
      <c r="AI39" s="11">
        <v>0.3</v>
      </c>
      <c r="AJ39" s="7">
        <v>0.51961524227066325</v>
      </c>
      <c r="AL39" s="11">
        <v>0.8</v>
      </c>
      <c r="AM39" s="7">
        <v>0.34641016151377552</v>
      </c>
      <c r="AO39" s="11">
        <v>0.4</v>
      </c>
      <c r="AP39" s="7">
        <v>0</v>
      </c>
      <c r="AQ39" s="1"/>
      <c r="AR39" s="11">
        <v>0.36000000000000015</v>
      </c>
      <c r="AS39" s="7">
        <v>0</v>
      </c>
      <c r="AT39" s="1"/>
      <c r="AU39" s="11">
        <v>0.63500000000000034</v>
      </c>
      <c r="AV39" s="7">
        <v>0.23382685902179845</v>
      </c>
      <c r="AX39" s="12">
        <v>0.63500000000000034</v>
      </c>
      <c r="AY39" s="9">
        <v>0.23382685902179845</v>
      </c>
      <c r="BJ39" s="31"/>
      <c r="BK39" s="31"/>
      <c r="BM39" s="31">
        <v>0.08</v>
      </c>
      <c r="BN39" s="31">
        <v>0.55000000000000004</v>
      </c>
    </row>
    <row r="40" spans="1:66" x14ac:dyDescent="0.25">
      <c r="A40" s="71"/>
      <c r="B40" s="71"/>
      <c r="D40" s="11">
        <v>0.3</v>
      </c>
      <c r="E40" s="6">
        <v>0.55000000000000004</v>
      </c>
      <c r="F40" s="7">
        <v>0.25980762113533162</v>
      </c>
      <c r="G40" s="1"/>
      <c r="J40" s="1"/>
      <c r="M40" s="1"/>
      <c r="N40" s="1"/>
      <c r="O40" s="1"/>
      <c r="P40" s="1"/>
      <c r="Q40" s="1"/>
      <c r="R40" s="1"/>
      <c r="S40" s="1"/>
      <c r="T40" s="1"/>
      <c r="U40" s="1"/>
      <c r="V40" s="1"/>
      <c r="W40" s="1"/>
      <c r="X40" s="1"/>
      <c r="Y40" s="1"/>
      <c r="Z40" s="11">
        <v>0.7</v>
      </c>
      <c r="AA40" s="7">
        <v>0.51961524227066325</v>
      </c>
      <c r="AC40" s="11">
        <v>0.8</v>
      </c>
      <c r="AD40" s="7">
        <v>0.34641016151377552</v>
      </c>
      <c r="AF40" s="11">
        <v>0.2</v>
      </c>
      <c r="AG40" s="7">
        <v>0.34641016151377552</v>
      </c>
      <c r="AI40" s="11">
        <v>0.27</v>
      </c>
      <c r="AJ40" s="7">
        <v>0.51961524227066325</v>
      </c>
      <c r="AL40" s="11">
        <v>0.81500000000000006</v>
      </c>
      <c r="AM40" s="7">
        <v>0.37239016151377552</v>
      </c>
      <c r="AO40" s="11">
        <v>0.41500000000000004</v>
      </c>
      <c r="AP40" s="7">
        <v>-2.598E-2</v>
      </c>
      <c r="AQ40" s="1"/>
      <c r="AR40" s="11">
        <v>0.37000000000000016</v>
      </c>
      <c r="AS40" s="7">
        <v>0</v>
      </c>
      <c r="AT40" s="1"/>
      <c r="AU40" s="11">
        <v>0.53500000000000025</v>
      </c>
      <c r="AV40" s="7">
        <v>6.0621778264910706E-2</v>
      </c>
      <c r="BA40" s="103" t="s">
        <v>37</v>
      </c>
      <c r="BB40" s="104"/>
      <c r="BJ40" s="31"/>
      <c r="BK40" s="31"/>
      <c r="BM40" s="31">
        <v>0.14000000000000001</v>
      </c>
      <c r="BN40" s="31">
        <v>0.55000000000000004</v>
      </c>
    </row>
    <row r="41" spans="1:66" x14ac:dyDescent="0.25">
      <c r="A41" s="71"/>
      <c r="B41" s="71"/>
      <c r="D41" s="11">
        <v>0.3</v>
      </c>
      <c r="E41" s="6">
        <v>0.65</v>
      </c>
      <c r="F41" s="7">
        <v>0.25980762113533162</v>
      </c>
      <c r="G41" s="1"/>
      <c r="J41" s="1"/>
      <c r="M41" s="1"/>
      <c r="N41" s="1"/>
      <c r="O41" s="1"/>
      <c r="P41" s="1"/>
      <c r="Q41" s="1"/>
      <c r="R41" s="1"/>
      <c r="S41" s="1"/>
      <c r="T41" s="1"/>
      <c r="U41" s="1"/>
      <c r="V41" s="1"/>
      <c r="W41" s="1"/>
      <c r="X41" s="1"/>
      <c r="Y41" s="1"/>
      <c r="Z41" s="11"/>
      <c r="AA41" s="7"/>
      <c r="AC41" s="11"/>
      <c r="AD41" s="7"/>
      <c r="AF41" s="11"/>
      <c r="AG41" s="7"/>
      <c r="AI41" s="11"/>
      <c r="AJ41" s="7"/>
      <c r="AL41" s="11"/>
      <c r="AM41" s="7"/>
      <c r="AO41" s="11"/>
      <c r="AP41" s="7"/>
      <c r="AQ41" s="1"/>
      <c r="AR41" s="11">
        <v>0.38000000000000017</v>
      </c>
      <c r="AS41" s="7">
        <v>0</v>
      </c>
      <c r="AT41" s="1"/>
      <c r="AU41" s="11">
        <v>0.44500000000000023</v>
      </c>
      <c r="AV41" s="7">
        <v>6.0621778264910706E-2</v>
      </c>
      <c r="AX41" s="103" t="s">
        <v>30</v>
      </c>
      <c r="AY41" s="104"/>
      <c r="BA41" s="16" t="s">
        <v>3</v>
      </c>
      <c r="BB41" s="16" t="s">
        <v>4</v>
      </c>
      <c r="BJ41" s="31"/>
      <c r="BK41" s="31"/>
      <c r="BM41" s="31">
        <v>0.14000000000000001</v>
      </c>
      <c r="BN41" s="31">
        <v>0.52500000000000002</v>
      </c>
    </row>
    <row r="42" spans="1:66" x14ac:dyDescent="0.25">
      <c r="A42" s="71"/>
      <c r="B42" s="71"/>
      <c r="D42" s="11">
        <v>0.3</v>
      </c>
      <c r="E42" s="6">
        <v>0.75</v>
      </c>
      <c r="F42" s="7">
        <v>0.25980762113533162</v>
      </c>
      <c r="G42" s="1"/>
      <c r="J42" s="1"/>
      <c r="M42" s="1"/>
      <c r="N42" s="1"/>
      <c r="O42" s="1"/>
      <c r="P42" s="1"/>
      <c r="Q42" s="1"/>
      <c r="R42" s="1"/>
      <c r="S42" s="1"/>
      <c r="T42" s="1"/>
      <c r="U42" s="1"/>
      <c r="V42" s="1"/>
      <c r="W42" s="1"/>
      <c r="X42" s="1"/>
      <c r="Y42" s="1"/>
      <c r="Z42" s="11">
        <v>0.32500000000000012</v>
      </c>
      <c r="AA42" s="7">
        <v>0.56291651245988517</v>
      </c>
      <c r="AC42" s="11">
        <v>0.65</v>
      </c>
      <c r="AD42" s="7">
        <v>0</v>
      </c>
      <c r="AF42" s="11">
        <v>0.35</v>
      </c>
      <c r="AG42" s="7">
        <v>0</v>
      </c>
      <c r="AI42" s="11">
        <v>0.32500000000000001</v>
      </c>
      <c r="AJ42" s="7">
        <v>0.56291651245988517</v>
      </c>
      <c r="AL42" s="11">
        <v>0.82499999999999996</v>
      </c>
      <c r="AM42" s="7">
        <v>0.30310889132455349</v>
      </c>
      <c r="AO42" s="11">
        <v>0.35</v>
      </c>
      <c r="AP42" s="7">
        <v>0</v>
      </c>
      <c r="AQ42" s="1"/>
      <c r="AR42" s="11">
        <v>0.39000000000000018</v>
      </c>
      <c r="AS42" s="7">
        <v>0</v>
      </c>
      <c r="AT42" s="1"/>
      <c r="AU42" s="11">
        <v>0.38000000000000017</v>
      </c>
      <c r="AV42" s="7">
        <v>0.17320508075688776</v>
      </c>
      <c r="AX42" s="20" t="s">
        <v>3</v>
      </c>
      <c r="AY42" s="20" t="s">
        <v>4</v>
      </c>
      <c r="BA42" s="10">
        <v>0.09</v>
      </c>
      <c r="BB42" s="5">
        <v>0.15588457268119896</v>
      </c>
      <c r="BJ42" s="31"/>
      <c r="BK42" s="31"/>
      <c r="BM42" s="31">
        <v>0.08</v>
      </c>
      <c r="BN42" s="31">
        <v>0.52500000000000002</v>
      </c>
    </row>
    <row r="43" spans="1:66" x14ac:dyDescent="0.25">
      <c r="A43" s="71"/>
      <c r="B43" s="71"/>
      <c r="D43" s="12">
        <v>0.3</v>
      </c>
      <c r="E43" s="8">
        <v>0.85</v>
      </c>
      <c r="F43" s="9">
        <v>0.25980762113533162</v>
      </c>
      <c r="G43" s="1"/>
      <c r="J43" s="1"/>
      <c r="M43" s="1"/>
      <c r="N43" s="1"/>
      <c r="O43" s="1"/>
      <c r="P43" s="1"/>
      <c r="Q43" s="1"/>
      <c r="R43" s="1"/>
      <c r="S43" s="1"/>
      <c r="T43" s="1"/>
      <c r="U43" s="1"/>
      <c r="V43" s="1"/>
      <c r="W43" s="1"/>
      <c r="X43" s="1"/>
      <c r="Y43" s="1"/>
      <c r="Z43" s="11">
        <v>0.67500000000000038</v>
      </c>
      <c r="AA43" s="7">
        <v>0.56291651245988517</v>
      </c>
      <c r="AC43" s="11">
        <v>0.82500000000000051</v>
      </c>
      <c r="AD43" s="7">
        <v>0.30310889132455349</v>
      </c>
      <c r="AF43" s="11">
        <v>0.17500000000000002</v>
      </c>
      <c r="AG43" s="7">
        <v>0.30310889132455349</v>
      </c>
      <c r="AI43" s="11">
        <v>0.29500000000000004</v>
      </c>
      <c r="AJ43" s="7">
        <v>0.56291651245988517</v>
      </c>
      <c r="AL43" s="11">
        <v>0.84</v>
      </c>
      <c r="AM43" s="7">
        <v>0.32908889132455349</v>
      </c>
      <c r="AO43" s="11">
        <v>0.36499999999999999</v>
      </c>
      <c r="AP43" s="7">
        <v>-2.598E-2</v>
      </c>
      <c r="AQ43" s="1"/>
      <c r="AR43" s="11">
        <v>0.40000000000000019</v>
      </c>
      <c r="AS43" s="7">
        <v>0</v>
      </c>
      <c r="AT43" s="1"/>
      <c r="AU43" s="12">
        <v>0.4150000000000002</v>
      </c>
      <c r="AV43" s="9">
        <v>0.23382685902179845</v>
      </c>
      <c r="AX43" s="10">
        <v>0.86000000000000054</v>
      </c>
      <c r="AY43" s="5">
        <v>0.10392304845413264</v>
      </c>
      <c r="BA43" s="11">
        <v>0.76000000000000045</v>
      </c>
      <c r="BB43" s="7">
        <v>0.15588457268119896</v>
      </c>
      <c r="BJ43" s="31"/>
      <c r="BK43" s="31"/>
      <c r="BM43" s="31">
        <v>0.08</v>
      </c>
      <c r="BN43" s="31">
        <v>0.55000000000000004</v>
      </c>
    </row>
    <row r="44" spans="1:66" x14ac:dyDescent="0.25">
      <c r="A44" s="71"/>
      <c r="B44" s="71"/>
      <c r="D44" s="11"/>
      <c r="F44" s="7"/>
      <c r="G44" s="1"/>
      <c r="J44" s="1"/>
      <c r="M44" s="1"/>
      <c r="N44" s="1"/>
      <c r="O44" s="1"/>
      <c r="P44" s="1"/>
      <c r="Q44" s="1"/>
      <c r="R44" s="1"/>
      <c r="S44" s="1"/>
      <c r="T44" s="1"/>
      <c r="U44" s="1"/>
      <c r="V44" s="1"/>
      <c r="W44" s="1"/>
      <c r="X44" s="1"/>
      <c r="Y44" s="1"/>
      <c r="Z44" s="11"/>
      <c r="AA44" s="7"/>
      <c r="AC44" s="11"/>
      <c r="AD44" s="7"/>
      <c r="AF44" s="11"/>
      <c r="AG44" s="7"/>
      <c r="AI44" s="11"/>
      <c r="AJ44" s="7"/>
      <c r="AL44" s="11"/>
      <c r="AM44" s="7"/>
      <c r="AO44" s="11"/>
      <c r="AP44" s="7"/>
      <c r="AQ44" s="1"/>
      <c r="AR44" s="11">
        <v>0.4100000000000002</v>
      </c>
      <c r="AS44" s="7">
        <v>0</v>
      </c>
      <c r="AT44" s="1"/>
      <c r="AX44" s="11">
        <v>0.94000000000000061</v>
      </c>
      <c r="AY44" s="7">
        <v>0.10392304845413264</v>
      </c>
      <c r="BA44" s="11">
        <v>0.85000000000000053</v>
      </c>
      <c r="BB44" s="7">
        <v>0</v>
      </c>
      <c r="BJ44" s="31"/>
      <c r="BK44" s="31"/>
      <c r="BM44" s="31"/>
      <c r="BN44" s="31"/>
    </row>
    <row r="45" spans="1:66" x14ac:dyDescent="0.25">
      <c r="A45" s="71"/>
      <c r="B45" s="71"/>
      <c r="D45" s="10">
        <v>0.4</v>
      </c>
      <c r="E45" s="4">
        <v>0.2</v>
      </c>
      <c r="F45" s="5">
        <v>0.34641016151377552</v>
      </c>
      <c r="G45" s="1"/>
      <c r="J45" s="1"/>
      <c r="M45" s="1"/>
      <c r="N45" s="1"/>
      <c r="O45" s="1"/>
      <c r="P45" s="1"/>
      <c r="Q45" s="1"/>
      <c r="R45" s="1"/>
      <c r="S45" s="1"/>
      <c r="T45" s="1"/>
      <c r="U45" s="1"/>
      <c r="V45" s="1"/>
      <c r="W45" s="1"/>
      <c r="X45" s="1"/>
      <c r="Y45" s="1"/>
      <c r="Z45" s="11">
        <v>0.35</v>
      </c>
      <c r="AA45" s="7">
        <v>0.60621778264910697</v>
      </c>
      <c r="AC45" s="11">
        <v>0.7</v>
      </c>
      <c r="AD45" s="7">
        <v>0</v>
      </c>
      <c r="AF45" s="11">
        <v>0.3</v>
      </c>
      <c r="AG45" s="7">
        <v>0</v>
      </c>
      <c r="AI45" s="11">
        <v>0.35</v>
      </c>
      <c r="AJ45" s="7">
        <v>0.60621778264910697</v>
      </c>
      <c r="AL45" s="11">
        <v>0.85</v>
      </c>
      <c r="AM45" s="7">
        <v>0.25980762113533162</v>
      </c>
      <c r="AO45" s="11">
        <v>0.3</v>
      </c>
      <c r="AP45" s="7">
        <v>0</v>
      </c>
      <c r="AQ45" s="1"/>
      <c r="AR45" s="11">
        <v>0.42000000000000021</v>
      </c>
      <c r="AS45" s="7">
        <v>0</v>
      </c>
      <c r="AT45" s="1"/>
      <c r="AU45" s="103" t="s">
        <v>31</v>
      </c>
      <c r="AV45" s="104"/>
      <c r="AX45" s="11">
        <v>1</v>
      </c>
      <c r="AY45" s="7">
        <v>0</v>
      </c>
      <c r="BA45" s="11">
        <v>0.3</v>
      </c>
      <c r="BB45" s="7">
        <v>0</v>
      </c>
      <c r="BJ45" s="31"/>
      <c r="BK45" s="31"/>
      <c r="BM45" s="31">
        <v>0.16</v>
      </c>
      <c r="BN45" s="31">
        <v>0.55000000000000004</v>
      </c>
    </row>
    <row r="46" spans="1:66" x14ac:dyDescent="0.25">
      <c r="A46" s="71"/>
      <c r="B46" s="71"/>
      <c r="D46" s="11">
        <v>0.4</v>
      </c>
      <c r="E46" s="6">
        <v>0.3</v>
      </c>
      <c r="F46" s="7">
        <v>0.34641016151377552</v>
      </c>
      <c r="G46" s="1"/>
      <c r="J46" s="1"/>
      <c r="M46" s="1"/>
      <c r="N46" s="1"/>
      <c r="O46" s="1"/>
      <c r="P46" s="1"/>
      <c r="Q46" s="1"/>
      <c r="R46" s="1"/>
      <c r="S46" s="1"/>
      <c r="T46" s="1"/>
      <c r="U46" s="1"/>
      <c r="V46" s="1"/>
      <c r="W46" s="1"/>
      <c r="X46" s="1"/>
      <c r="Y46" s="1"/>
      <c r="Z46" s="11">
        <v>0.65</v>
      </c>
      <c r="AA46" s="7">
        <v>0.60621778264910697</v>
      </c>
      <c r="AC46" s="11">
        <v>0.85</v>
      </c>
      <c r="AD46" s="7">
        <v>0.25980762113533162</v>
      </c>
      <c r="AF46" s="11">
        <v>0.15</v>
      </c>
      <c r="AG46" s="7">
        <v>0.25980762113533162</v>
      </c>
      <c r="AI46" s="11">
        <v>0.31999999999999995</v>
      </c>
      <c r="AJ46" s="7">
        <v>0.60621778264910697</v>
      </c>
      <c r="AL46" s="11">
        <v>0.86499999999999999</v>
      </c>
      <c r="AM46" s="7">
        <v>0.28578762113533163</v>
      </c>
      <c r="AO46" s="11">
        <v>0.315</v>
      </c>
      <c r="AP46" s="7">
        <v>-2.598E-2</v>
      </c>
      <c r="AQ46" s="1"/>
      <c r="AR46" s="11">
        <v>0.43000000000000022</v>
      </c>
      <c r="AS46" s="7">
        <v>0</v>
      </c>
      <c r="AT46" s="1"/>
      <c r="AU46" s="16" t="s">
        <v>3</v>
      </c>
      <c r="AV46" s="16" t="s">
        <v>4</v>
      </c>
      <c r="AX46" s="11">
        <v>0.80000000000000049</v>
      </c>
      <c r="AY46" s="7">
        <v>0</v>
      </c>
      <c r="BA46" s="11">
        <v>7.4999999999999997E-2</v>
      </c>
      <c r="BB46" s="7">
        <v>0.12990381056766581</v>
      </c>
      <c r="BJ46" s="31"/>
      <c r="BK46" s="31"/>
      <c r="BM46" s="31">
        <v>0.22</v>
      </c>
      <c r="BN46" s="31">
        <v>0.55000000000000004</v>
      </c>
    </row>
    <row r="47" spans="1:66" x14ac:dyDescent="0.25">
      <c r="A47" s="71"/>
      <c r="B47" s="71"/>
      <c r="D47" s="11">
        <v>0.4</v>
      </c>
      <c r="E47" s="6">
        <v>0.4</v>
      </c>
      <c r="F47" s="7">
        <v>0.34641016151377552</v>
      </c>
      <c r="G47" s="1"/>
      <c r="J47" s="1"/>
      <c r="M47" s="1"/>
      <c r="N47" s="1"/>
      <c r="O47" s="1"/>
      <c r="P47" s="1"/>
      <c r="Q47" s="1"/>
      <c r="R47" s="1"/>
      <c r="S47" s="1"/>
      <c r="T47" s="1"/>
      <c r="U47" s="1"/>
      <c r="V47" s="1"/>
      <c r="W47" s="1"/>
      <c r="X47" s="1"/>
      <c r="Y47" s="1"/>
      <c r="Z47" s="11"/>
      <c r="AA47" s="7"/>
      <c r="AC47" s="11"/>
      <c r="AD47" s="7"/>
      <c r="AF47" s="11"/>
      <c r="AG47" s="7"/>
      <c r="AI47" s="11"/>
      <c r="AJ47" s="7"/>
      <c r="AL47" s="11"/>
      <c r="AM47" s="7"/>
      <c r="AO47" s="11"/>
      <c r="AP47" s="7"/>
      <c r="AQ47" s="1"/>
      <c r="AR47" s="11">
        <v>0.44000000000000022</v>
      </c>
      <c r="AS47" s="7">
        <v>0</v>
      </c>
      <c r="AT47" s="1"/>
      <c r="AU47" s="10">
        <v>0.5</v>
      </c>
      <c r="AV47" s="5">
        <v>0.8660254037844386</v>
      </c>
      <c r="AX47" s="12">
        <v>0.86000000000000054</v>
      </c>
      <c r="AY47" s="9">
        <v>0.10392304845413264</v>
      </c>
      <c r="BA47" s="12">
        <v>0.09</v>
      </c>
      <c r="BB47" s="9">
        <v>0.15588457268119896</v>
      </c>
      <c r="BJ47" s="31"/>
      <c r="BK47" s="31"/>
      <c r="BM47" s="31">
        <v>0.22</v>
      </c>
      <c r="BN47" s="31">
        <v>0.52500000000000002</v>
      </c>
    </row>
    <row r="48" spans="1:66" x14ac:dyDescent="0.25">
      <c r="A48" s="71"/>
      <c r="B48" s="71"/>
      <c r="D48" s="11">
        <v>0.4</v>
      </c>
      <c r="E48" s="6">
        <v>0.5</v>
      </c>
      <c r="F48" s="7">
        <v>0.34641016151377552</v>
      </c>
      <c r="G48" s="1"/>
      <c r="J48" s="1"/>
      <c r="M48" s="1"/>
      <c r="N48" s="1"/>
      <c r="O48" s="1"/>
      <c r="P48" s="1"/>
      <c r="Q48" s="1"/>
      <c r="R48" s="1"/>
      <c r="S48" s="1"/>
      <c r="T48" s="1"/>
      <c r="U48" s="1"/>
      <c r="V48" s="1"/>
      <c r="W48" s="1"/>
      <c r="X48" s="1"/>
      <c r="Y48" s="1"/>
      <c r="Z48" s="11">
        <v>0.37500000000000017</v>
      </c>
      <c r="AA48" s="7">
        <v>0.649519052838329</v>
      </c>
      <c r="AC48" s="11">
        <v>0.75</v>
      </c>
      <c r="AD48" s="7">
        <v>0</v>
      </c>
      <c r="AF48" s="11">
        <v>0.25</v>
      </c>
      <c r="AG48" s="7">
        <v>0</v>
      </c>
      <c r="AI48" s="11">
        <v>0.375</v>
      </c>
      <c r="AJ48" s="7">
        <v>0.649519052838329</v>
      </c>
      <c r="AL48" s="11">
        <v>0.875</v>
      </c>
      <c r="AM48" s="7">
        <v>0.21650635094610965</v>
      </c>
      <c r="AO48" s="11">
        <v>0.25</v>
      </c>
      <c r="AP48" s="7">
        <v>0</v>
      </c>
      <c r="AQ48" s="1"/>
      <c r="AR48" s="11">
        <v>0.45000000000000023</v>
      </c>
      <c r="AS48" s="7">
        <v>0</v>
      </c>
      <c r="AT48" s="1"/>
      <c r="AU48" s="11">
        <v>0.7</v>
      </c>
      <c r="AV48" s="7">
        <v>0.51961524227066325</v>
      </c>
      <c r="BJ48" s="31"/>
      <c r="BK48" s="31"/>
      <c r="BM48" s="31">
        <v>0.16</v>
      </c>
      <c r="BN48" s="31">
        <v>0.52500000000000002</v>
      </c>
    </row>
    <row r="49" spans="1:66" x14ac:dyDescent="0.25">
      <c r="A49" s="71"/>
      <c r="B49" s="71"/>
      <c r="D49" s="11">
        <v>0.4</v>
      </c>
      <c r="E49" s="6">
        <v>0.6</v>
      </c>
      <c r="F49" s="7">
        <v>0.34641016151377552</v>
      </c>
      <c r="G49" s="1"/>
      <c r="J49" s="1"/>
      <c r="M49" s="1"/>
      <c r="N49" s="1"/>
      <c r="O49" s="1"/>
      <c r="P49" s="1"/>
      <c r="Q49" s="1"/>
      <c r="R49" s="1"/>
      <c r="S49" s="1"/>
      <c r="T49" s="1"/>
      <c r="U49" s="1"/>
      <c r="V49" s="1"/>
      <c r="W49" s="1"/>
      <c r="X49" s="1"/>
      <c r="Y49" s="1"/>
      <c r="Z49" s="11">
        <v>0.62500000000000033</v>
      </c>
      <c r="AA49" s="7">
        <v>0.649519052838329</v>
      </c>
      <c r="AC49" s="11">
        <v>0.87500000000000056</v>
      </c>
      <c r="AD49" s="7">
        <v>0.21650635094610965</v>
      </c>
      <c r="AF49" s="11">
        <v>0.12499999999999997</v>
      </c>
      <c r="AG49" s="7">
        <v>0.21650635094610965</v>
      </c>
      <c r="AI49" s="11">
        <v>0.34499999999999997</v>
      </c>
      <c r="AJ49" s="7">
        <v>0.649519052838329</v>
      </c>
      <c r="AL49" s="11">
        <v>0.89</v>
      </c>
      <c r="AM49" s="7">
        <v>0.24248635094610965</v>
      </c>
      <c r="AO49" s="11">
        <v>0.26500000000000001</v>
      </c>
      <c r="AP49" s="7">
        <v>-2.598E-2</v>
      </c>
      <c r="AQ49" s="1"/>
      <c r="AR49" s="11">
        <v>0.46000000000000024</v>
      </c>
      <c r="AS49" s="7">
        <v>0</v>
      </c>
      <c r="AT49" s="1"/>
      <c r="AU49" s="11">
        <v>0.60000000000000031</v>
      </c>
      <c r="AV49" s="7">
        <v>0.34641016151377552</v>
      </c>
      <c r="BA49" s="103" t="s">
        <v>38</v>
      </c>
      <c r="BB49" s="104"/>
      <c r="BJ49" s="31"/>
      <c r="BK49" s="31"/>
      <c r="BM49" s="31">
        <v>0.16</v>
      </c>
      <c r="BN49" s="31">
        <v>0.55000000000000004</v>
      </c>
    </row>
    <row r="50" spans="1:66" x14ac:dyDescent="0.25">
      <c r="A50" s="71"/>
      <c r="B50" s="71"/>
      <c r="D50" s="11">
        <v>0.4</v>
      </c>
      <c r="E50" s="6">
        <v>0.7</v>
      </c>
      <c r="F50" s="7">
        <v>0.34641016151377552</v>
      </c>
      <c r="G50" s="1"/>
      <c r="J50" s="1"/>
      <c r="M50" s="1"/>
      <c r="N50" s="1"/>
      <c r="O50" s="1"/>
      <c r="P50" s="1"/>
      <c r="Q50" s="1"/>
      <c r="R50" s="1"/>
      <c r="S50" s="1"/>
      <c r="T50" s="1"/>
      <c r="U50" s="1"/>
      <c r="V50" s="1"/>
      <c r="W50" s="1"/>
      <c r="X50" s="1"/>
      <c r="Y50" s="1"/>
      <c r="Z50" s="11"/>
      <c r="AA50" s="7"/>
      <c r="AC50" s="11"/>
      <c r="AD50" s="7"/>
      <c r="AF50" s="11"/>
      <c r="AG50" s="7"/>
      <c r="AI50" s="11"/>
      <c r="AJ50" s="7"/>
      <c r="AL50" s="11"/>
      <c r="AM50" s="7"/>
      <c r="AO50" s="11"/>
      <c r="AP50" s="7"/>
      <c r="AQ50" s="1"/>
      <c r="AR50" s="11">
        <v>0.47000000000000025</v>
      </c>
      <c r="AS50" s="7">
        <v>0</v>
      </c>
      <c r="AT50" s="1"/>
      <c r="AU50" s="11">
        <v>0.35000000000000014</v>
      </c>
      <c r="AV50" s="7">
        <v>0.34641016151377552</v>
      </c>
      <c r="BA50" s="16" t="s">
        <v>3</v>
      </c>
      <c r="BB50" s="16" t="s">
        <v>4</v>
      </c>
      <c r="BJ50" s="31"/>
      <c r="BK50" s="31"/>
      <c r="BM50" s="31"/>
      <c r="BN50" s="31"/>
    </row>
    <row r="51" spans="1:66" x14ac:dyDescent="0.25">
      <c r="A51" s="71"/>
      <c r="B51" s="71"/>
      <c r="D51" s="11">
        <v>0.4</v>
      </c>
      <c r="E51" s="6">
        <v>0.8</v>
      </c>
      <c r="F51" s="7">
        <v>0.34641016151377552</v>
      </c>
      <c r="G51" s="1"/>
      <c r="J51" s="1"/>
      <c r="M51" s="1"/>
      <c r="N51" s="1"/>
      <c r="O51" s="1"/>
      <c r="P51" s="1"/>
      <c r="Q51" s="1"/>
      <c r="R51" s="1"/>
      <c r="S51" s="1"/>
      <c r="T51" s="1"/>
      <c r="U51" s="1"/>
      <c r="V51" s="1"/>
      <c r="W51" s="1"/>
      <c r="X51" s="1"/>
      <c r="Y51" s="1"/>
      <c r="Z51" s="11">
        <v>0.4</v>
      </c>
      <c r="AA51" s="7">
        <v>0.69282032302755103</v>
      </c>
      <c r="AC51" s="11">
        <v>0.8</v>
      </c>
      <c r="AD51" s="7">
        <v>0</v>
      </c>
      <c r="AF51" s="11">
        <v>0.2</v>
      </c>
      <c r="AG51" s="7">
        <v>0</v>
      </c>
      <c r="AI51" s="11">
        <v>0.4</v>
      </c>
      <c r="AJ51" s="7">
        <v>0.69282032302755103</v>
      </c>
      <c r="AL51" s="11">
        <v>0.89999999999999991</v>
      </c>
      <c r="AM51" s="7">
        <v>0.17320508075688776</v>
      </c>
      <c r="AO51" s="11">
        <v>0.2</v>
      </c>
      <c r="AP51" s="7">
        <v>0</v>
      </c>
      <c r="AQ51" s="1"/>
      <c r="AR51" s="11">
        <v>0.48000000000000026</v>
      </c>
      <c r="AS51" s="7">
        <v>0</v>
      </c>
      <c r="AT51" s="1"/>
      <c r="AU51" s="11">
        <v>0.27500000000000008</v>
      </c>
      <c r="AV51" s="7">
        <v>0.47631397208144133</v>
      </c>
      <c r="BA51" s="10">
        <v>7.4999999999999997E-2</v>
      </c>
      <c r="BB51" s="5">
        <v>0.12990381056766581</v>
      </c>
      <c r="BJ51" s="31"/>
      <c r="BK51" s="31"/>
      <c r="BM51" s="31">
        <v>-0.08</v>
      </c>
      <c r="BN51" s="31">
        <v>0.5</v>
      </c>
    </row>
    <row r="52" spans="1:66" x14ac:dyDescent="0.25">
      <c r="A52" s="71"/>
      <c r="B52" s="71"/>
      <c r="D52" s="11"/>
      <c r="F52" s="7"/>
      <c r="G52" s="1"/>
      <c r="J52" s="1"/>
      <c r="M52" s="1"/>
      <c r="N52" s="1"/>
      <c r="O52" s="1"/>
      <c r="P52" s="1"/>
      <c r="Q52" s="1"/>
      <c r="R52" s="1"/>
      <c r="S52" s="1"/>
      <c r="T52" s="1"/>
      <c r="U52" s="1"/>
      <c r="V52" s="1"/>
      <c r="W52" s="1"/>
      <c r="X52" s="1"/>
      <c r="Y52" s="1"/>
      <c r="Z52" s="11">
        <v>0.6</v>
      </c>
      <c r="AA52" s="7">
        <v>0.69282032302755103</v>
      </c>
      <c r="AC52" s="11">
        <v>0.89999999999999991</v>
      </c>
      <c r="AD52" s="7">
        <v>0.17320508075688776</v>
      </c>
      <c r="AF52" s="11">
        <v>9.9999999999999992E-2</v>
      </c>
      <c r="AG52" s="7">
        <v>0.17320508075688776</v>
      </c>
      <c r="AI52" s="11">
        <v>0.37</v>
      </c>
      <c r="AJ52" s="7">
        <v>0.69282032302755103</v>
      </c>
      <c r="AL52" s="11">
        <v>0.91499999999999992</v>
      </c>
      <c r="AM52" s="7">
        <v>0.19918508075688776</v>
      </c>
      <c r="AO52" s="11">
        <v>0.21500000000000002</v>
      </c>
      <c r="AP52" s="7">
        <v>-2.598E-2</v>
      </c>
      <c r="AQ52" s="1"/>
      <c r="AR52" s="11">
        <v>0.49000000000000027</v>
      </c>
      <c r="AS52" s="7">
        <v>0</v>
      </c>
      <c r="AT52" s="1"/>
      <c r="AU52" s="12">
        <v>0.5</v>
      </c>
      <c r="AV52" s="9">
        <v>0.8660254037844386</v>
      </c>
      <c r="BA52" s="11">
        <v>0.3</v>
      </c>
      <c r="BB52" s="7">
        <v>0</v>
      </c>
      <c r="BJ52" s="31"/>
      <c r="BK52" s="31"/>
      <c r="BM52" s="31">
        <v>-0.02</v>
      </c>
      <c r="BN52" s="31">
        <v>0.5</v>
      </c>
    </row>
    <row r="53" spans="1:66" x14ac:dyDescent="0.25">
      <c r="A53" s="71"/>
      <c r="B53" s="71"/>
      <c r="D53" s="10">
        <v>0.5</v>
      </c>
      <c r="E53" s="4">
        <v>0.25</v>
      </c>
      <c r="F53" s="5">
        <v>0.4330127018922193</v>
      </c>
      <c r="G53" s="1"/>
      <c r="J53" s="1"/>
      <c r="M53" s="1"/>
      <c r="N53" s="1"/>
      <c r="O53" s="1"/>
      <c r="P53" s="1"/>
      <c r="Q53" s="1"/>
      <c r="R53" s="1"/>
      <c r="S53" s="1"/>
      <c r="T53" s="1"/>
      <c r="U53" s="1"/>
      <c r="V53" s="1"/>
      <c r="W53" s="1"/>
      <c r="X53" s="1"/>
      <c r="Y53" s="1"/>
      <c r="Z53" s="11"/>
      <c r="AA53" s="7"/>
      <c r="AC53" s="11"/>
      <c r="AD53" s="7"/>
      <c r="AF53" s="11"/>
      <c r="AG53" s="7"/>
      <c r="AI53" s="11"/>
      <c r="AJ53" s="7"/>
      <c r="AL53" s="11"/>
      <c r="AM53" s="7"/>
      <c r="AO53" s="11"/>
      <c r="AP53" s="7"/>
      <c r="AQ53" s="1"/>
      <c r="AR53" s="11">
        <v>0.50000000000000022</v>
      </c>
      <c r="AS53" s="7">
        <v>0</v>
      </c>
      <c r="AT53" s="1"/>
      <c r="BA53" s="11">
        <v>0</v>
      </c>
      <c r="BB53" s="7">
        <v>0</v>
      </c>
      <c r="BJ53" s="31"/>
      <c r="BK53" s="31"/>
      <c r="BM53" s="31">
        <v>-0.02</v>
      </c>
      <c r="BN53" s="31">
        <v>0.47499999999999998</v>
      </c>
    </row>
    <row r="54" spans="1:66" x14ac:dyDescent="0.25">
      <c r="A54" s="71"/>
      <c r="B54" s="71"/>
      <c r="D54" s="11">
        <v>0.5</v>
      </c>
      <c r="E54" s="6">
        <v>0.35</v>
      </c>
      <c r="F54" s="7">
        <v>0.4330127018922193</v>
      </c>
      <c r="G54" s="1"/>
      <c r="J54" s="1"/>
      <c r="M54" s="1"/>
      <c r="N54" s="1"/>
      <c r="O54" s="1"/>
      <c r="P54" s="1"/>
      <c r="Q54" s="1"/>
      <c r="R54" s="1"/>
      <c r="S54" s="1"/>
      <c r="T54" s="1"/>
      <c r="U54" s="1"/>
      <c r="V54" s="1"/>
      <c r="W54" s="1"/>
      <c r="X54" s="1"/>
      <c r="Y54" s="1"/>
      <c r="Z54" s="11">
        <v>0.42500000000000021</v>
      </c>
      <c r="AA54" s="7">
        <v>0.73612159321677273</v>
      </c>
      <c r="AC54" s="11">
        <v>0.85</v>
      </c>
      <c r="AD54" s="7">
        <v>0</v>
      </c>
      <c r="AF54" s="11">
        <v>0.15</v>
      </c>
      <c r="AG54" s="7">
        <v>0</v>
      </c>
      <c r="AI54" s="11">
        <v>0.42499999999999999</v>
      </c>
      <c r="AJ54" s="7">
        <v>0.73612159321677273</v>
      </c>
      <c r="AL54" s="11">
        <v>0.92500000000000004</v>
      </c>
      <c r="AM54" s="7">
        <v>0.12990381056766581</v>
      </c>
      <c r="AO54" s="11">
        <v>0.15</v>
      </c>
      <c r="AP54" s="7">
        <v>0</v>
      </c>
      <c r="AQ54" s="1"/>
      <c r="AR54" s="11">
        <v>0.51000000000000023</v>
      </c>
      <c r="AS54" s="7">
        <v>0</v>
      </c>
      <c r="AT54" s="1"/>
      <c r="BA54" s="12">
        <v>7.4999999999999997E-2</v>
      </c>
      <c r="BB54" s="9">
        <v>0.12990381056766581</v>
      </c>
      <c r="BJ54" s="31"/>
      <c r="BK54" s="31"/>
      <c r="BM54" s="31">
        <v>-0.08</v>
      </c>
      <c r="BN54" s="31">
        <v>0.47499999999999998</v>
      </c>
    </row>
    <row r="55" spans="1:66" x14ac:dyDescent="0.25">
      <c r="A55" s="71"/>
      <c r="B55" s="71"/>
      <c r="D55" s="11">
        <v>0.5</v>
      </c>
      <c r="E55" s="6">
        <v>0.45</v>
      </c>
      <c r="F55" s="7">
        <v>0.4330127018922193</v>
      </c>
      <c r="G55" s="1"/>
      <c r="J55" s="1"/>
      <c r="M55" s="1"/>
      <c r="N55" s="1"/>
      <c r="O55" s="1"/>
      <c r="P55" s="1"/>
      <c r="Q55" s="1"/>
      <c r="R55" s="1"/>
      <c r="S55" s="1"/>
      <c r="T55" s="1"/>
      <c r="U55" s="1"/>
      <c r="V55" s="1"/>
      <c r="W55" s="1"/>
      <c r="X55" s="1"/>
      <c r="Y55" s="1"/>
      <c r="Z55" s="11">
        <v>0.57500000000000029</v>
      </c>
      <c r="AA55" s="7">
        <v>0.73612159321677273</v>
      </c>
      <c r="AC55" s="11">
        <v>0.9250000000000006</v>
      </c>
      <c r="AD55" s="7">
        <v>0.12990381056766581</v>
      </c>
      <c r="AF55" s="11">
        <v>7.4999999999999997E-2</v>
      </c>
      <c r="AG55" s="7">
        <v>0.12990381056766581</v>
      </c>
      <c r="AI55" s="11">
        <v>0.39500000000000002</v>
      </c>
      <c r="AJ55" s="7">
        <v>0.73612159321677273</v>
      </c>
      <c r="AL55" s="11">
        <v>0.94000000000000006</v>
      </c>
      <c r="AM55" s="7">
        <v>0.15588381056766581</v>
      </c>
      <c r="AO55" s="11">
        <v>0.16499999999999998</v>
      </c>
      <c r="AP55" s="7">
        <v>-2.598E-2</v>
      </c>
      <c r="AQ55" s="1"/>
      <c r="AR55" s="11">
        <v>0.52000000000000024</v>
      </c>
      <c r="AS55" s="7">
        <v>0</v>
      </c>
      <c r="AT55" s="1"/>
      <c r="BM55" s="31">
        <v>-0.08</v>
      </c>
      <c r="BN55" s="31">
        <v>0.5</v>
      </c>
    </row>
    <row r="56" spans="1:66" x14ac:dyDescent="0.25">
      <c r="A56" s="71"/>
      <c r="B56" s="71"/>
      <c r="D56" s="11">
        <v>0.5</v>
      </c>
      <c r="E56" s="6">
        <v>0.55000000000000004</v>
      </c>
      <c r="F56" s="7">
        <v>0.4330127018922193</v>
      </c>
      <c r="G56" s="1"/>
      <c r="J56" s="1"/>
      <c r="M56" s="1"/>
      <c r="N56" s="1"/>
      <c r="O56" s="1"/>
      <c r="P56" s="1"/>
      <c r="Q56" s="1"/>
      <c r="R56" s="1"/>
      <c r="S56" s="1"/>
      <c r="T56" s="1"/>
      <c r="U56" s="1"/>
      <c r="V56" s="1"/>
      <c r="W56" s="1"/>
      <c r="X56" s="1"/>
      <c r="Y56" s="1"/>
      <c r="Z56" s="11"/>
      <c r="AA56" s="7"/>
      <c r="AC56" s="11"/>
      <c r="AD56" s="7"/>
      <c r="AF56" s="11"/>
      <c r="AG56" s="7"/>
      <c r="AI56" s="11"/>
      <c r="AJ56" s="7"/>
      <c r="AL56" s="11"/>
      <c r="AM56" s="7"/>
      <c r="AO56" s="11"/>
      <c r="AP56" s="7"/>
      <c r="AQ56" s="1"/>
      <c r="AR56" s="11">
        <v>0.53000000000000025</v>
      </c>
      <c r="AS56" s="7">
        <v>0</v>
      </c>
      <c r="AT56" s="1"/>
      <c r="BM56" s="31"/>
      <c r="BN56" s="31"/>
    </row>
    <row r="57" spans="1:66" x14ac:dyDescent="0.25">
      <c r="A57" s="71"/>
      <c r="B57" s="71"/>
      <c r="D57" s="11">
        <v>0.5</v>
      </c>
      <c r="E57" s="6">
        <v>0.65</v>
      </c>
      <c r="F57" s="7">
        <v>0.4330127018922193</v>
      </c>
      <c r="G57" s="1"/>
      <c r="J57" s="1"/>
      <c r="M57" s="1"/>
      <c r="N57" s="1"/>
      <c r="O57" s="1"/>
      <c r="P57" s="1"/>
      <c r="Q57" s="1"/>
      <c r="R57" s="1"/>
      <c r="S57" s="1"/>
      <c r="T57" s="1"/>
      <c r="U57" s="1"/>
      <c r="V57" s="1"/>
      <c r="W57" s="1"/>
      <c r="X57" s="1"/>
      <c r="Y57" s="1"/>
      <c r="Z57" s="11">
        <v>0.45</v>
      </c>
      <c r="AA57" s="7">
        <v>0.77942286340599476</v>
      </c>
      <c r="AC57" s="11">
        <v>0.9</v>
      </c>
      <c r="AD57" s="7">
        <v>0</v>
      </c>
      <c r="AF57" s="11">
        <v>0.1</v>
      </c>
      <c r="AG57" s="7">
        <v>0</v>
      </c>
      <c r="AI57" s="11">
        <v>0.45</v>
      </c>
      <c r="AJ57" s="7">
        <v>0.77942286340599476</v>
      </c>
      <c r="AL57" s="11">
        <v>0.95</v>
      </c>
      <c r="AM57" s="7">
        <v>8.6602540378443879E-2</v>
      </c>
      <c r="AO57" s="11">
        <v>0.1</v>
      </c>
      <c r="AP57" s="7">
        <v>0</v>
      </c>
      <c r="AQ57" s="1"/>
      <c r="AR57" s="11">
        <v>0.54000000000000026</v>
      </c>
      <c r="AS57" s="7">
        <v>0</v>
      </c>
      <c r="AT57" s="1"/>
      <c r="BM57" s="31">
        <v>0</v>
      </c>
      <c r="BN57" s="31">
        <v>0.5</v>
      </c>
    </row>
    <row r="58" spans="1:66" x14ac:dyDescent="0.25">
      <c r="A58" s="71"/>
      <c r="B58" s="71"/>
      <c r="D58" s="12">
        <v>0.5</v>
      </c>
      <c r="E58" s="8">
        <v>0.75</v>
      </c>
      <c r="F58" s="9">
        <v>0.4330127018922193</v>
      </c>
      <c r="G58" s="1"/>
      <c r="J58" s="1"/>
      <c r="M58" s="1"/>
      <c r="N58" s="1"/>
      <c r="O58" s="1"/>
      <c r="P58" s="1"/>
      <c r="Q58" s="1"/>
      <c r="R58" s="1"/>
      <c r="S58" s="1"/>
      <c r="T58" s="1"/>
      <c r="U58" s="1"/>
      <c r="V58" s="1"/>
      <c r="W58" s="1"/>
      <c r="X58" s="1"/>
      <c r="Y58" s="1"/>
      <c r="Z58" s="11">
        <v>0.55000000000000004</v>
      </c>
      <c r="AA58" s="7">
        <v>0.77942286340599476</v>
      </c>
      <c r="AC58" s="11">
        <v>0.95</v>
      </c>
      <c r="AD58" s="7">
        <v>8.6602540378443879E-2</v>
      </c>
      <c r="AF58" s="11">
        <v>0.05</v>
      </c>
      <c r="AG58" s="7">
        <v>8.6602540378443879E-2</v>
      </c>
      <c r="AI58" s="11">
        <v>0.42000000000000004</v>
      </c>
      <c r="AJ58" s="7">
        <v>0.77942286340599476</v>
      </c>
      <c r="AL58" s="11">
        <v>0.96499999999999997</v>
      </c>
      <c r="AM58" s="7">
        <v>0.11258254037844388</v>
      </c>
      <c r="AO58" s="11">
        <v>0.115</v>
      </c>
      <c r="AP58" s="7">
        <v>-2.598E-2</v>
      </c>
      <c r="AQ58" s="1"/>
      <c r="AR58" s="11">
        <v>0.55000000000000027</v>
      </c>
      <c r="AS58" s="7">
        <v>0</v>
      </c>
      <c r="AT58" s="1"/>
      <c r="BM58" s="31">
        <v>0.06</v>
      </c>
      <c r="BN58" s="31">
        <v>0.5</v>
      </c>
    </row>
    <row r="59" spans="1:66" x14ac:dyDescent="0.25">
      <c r="A59" s="71"/>
      <c r="B59" s="71"/>
      <c r="D59" s="11"/>
      <c r="F59" s="7"/>
      <c r="G59" s="1"/>
      <c r="J59" s="1"/>
      <c r="M59" s="1"/>
      <c r="N59" s="1"/>
      <c r="O59" s="1"/>
      <c r="P59" s="1"/>
      <c r="Q59" s="1"/>
      <c r="R59" s="1"/>
      <c r="S59" s="1"/>
      <c r="T59" s="1"/>
      <c r="U59" s="1"/>
      <c r="V59" s="1"/>
      <c r="W59" s="1"/>
      <c r="X59" s="1"/>
      <c r="Y59" s="1"/>
      <c r="Z59" s="11"/>
      <c r="AA59" s="7"/>
      <c r="AC59" s="11"/>
      <c r="AD59" s="7"/>
      <c r="AF59" s="11"/>
      <c r="AG59" s="7"/>
      <c r="AI59" s="11"/>
      <c r="AJ59" s="7"/>
      <c r="AL59" s="11"/>
      <c r="AM59" s="7"/>
      <c r="AO59" s="11"/>
      <c r="AP59" s="7"/>
      <c r="AQ59" s="1"/>
      <c r="AR59" s="11">
        <v>0.56000000000000028</v>
      </c>
      <c r="AS59" s="7">
        <v>0</v>
      </c>
      <c r="AT59" s="1"/>
      <c r="BM59" s="31">
        <v>0.06</v>
      </c>
      <c r="BN59" s="31">
        <v>0.47499999999999998</v>
      </c>
    </row>
    <row r="60" spans="1:66" x14ac:dyDescent="0.25">
      <c r="A60" s="71"/>
      <c r="B60" s="71"/>
      <c r="D60" s="10">
        <v>0.6</v>
      </c>
      <c r="E60" s="4">
        <v>0.3</v>
      </c>
      <c r="F60" s="5">
        <v>0.51961524227066325</v>
      </c>
      <c r="G60" s="1"/>
      <c r="J60" s="1"/>
      <c r="M60" s="1"/>
      <c r="N60" s="1"/>
      <c r="O60" s="1"/>
      <c r="P60" s="1"/>
      <c r="Q60" s="1"/>
      <c r="R60" s="1"/>
      <c r="S60" s="1"/>
      <c r="T60" s="1"/>
      <c r="U60" s="1"/>
      <c r="V60" s="1"/>
      <c r="W60" s="1"/>
      <c r="X60" s="1"/>
      <c r="Y60" s="1"/>
      <c r="Z60" s="11">
        <v>0.47500000000000026</v>
      </c>
      <c r="AA60" s="7">
        <v>0.82272413359521668</v>
      </c>
      <c r="AC60" s="11">
        <v>0.95</v>
      </c>
      <c r="AD60" s="7">
        <v>0</v>
      </c>
      <c r="AF60" s="11">
        <v>0.05</v>
      </c>
      <c r="AG60" s="7">
        <v>0</v>
      </c>
      <c r="AI60" s="11">
        <v>0.47499999999999998</v>
      </c>
      <c r="AJ60" s="7">
        <v>0.82272413359521668</v>
      </c>
      <c r="AL60" s="11">
        <v>0.97499999999999998</v>
      </c>
      <c r="AM60" s="7">
        <v>4.330127018922194E-2</v>
      </c>
      <c r="AO60" s="11">
        <v>0.05</v>
      </c>
      <c r="AP60" s="7">
        <v>0</v>
      </c>
      <c r="AQ60" s="1"/>
      <c r="AR60" s="11">
        <v>0.57000000000000028</v>
      </c>
      <c r="AS60" s="7">
        <v>0</v>
      </c>
      <c r="AT60" s="1"/>
      <c r="BM60" s="31">
        <v>0</v>
      </c>
      <c r="BN60" s="31">
        <v>0.47499999999999998</v>
      </c>
    </row>
    <row r="61" spans="1:66" x14ac:dyDescent="0.25">
      <c r="A61" s="71"/>
      <c r="B61" s="71"/>
      <c r="D61" s="11">
        <v>0.6</v>
      </c>
      <c r="E61" s="6">
        <v>0.4</v>
      </c>
      <c r="F61" s="7">
        <v>0.51961524227066325</v>
      </c>
      <c r="G61" s="1"/>
      <c r="J61" s="1"/>
      <c r="M61" s="1"/>
      <c r="N61" s="1"/>
      <c r="O61" s="1"/>
      <c r="P61" s="1"/>
      <c r="Q61" s="1"/>
      <c r="R61" s="1"/>
      <c r="S61" s="1"/>
      <c r="T61" s="1"/>
      <c r="U61" s="1"/>
      <c r="V61" s="1"/>
      <c r="W61" s="1"/>
      <c r="X61" s="1"/>
      <c r="Y61" s="1"/>
      <c r="Z61" s="11">
        <v>0.52500000000000024</v>
      </c>
      <c r="AA61" s="7">
        <v>0.82272413359521668</v>
      </c>
      <c r="AC61" s="11">
        <v>0.97500000000000064</v>
      </c>
      <c r="AD61" s="7">
        <v>4.330127018922194E-2</v>
      </c>
      <c r="AF61" s="11">
        <v>2.5000000000000001E-2</v>
      </c>
      <c r="AG61" s="7">
        <v>4.330127018922194E-2</v>
      </c>
      <c r="AI61" s="11">
        <v>0.44499999999999995</v>
      </c>
      <c r="AJ61" s="7">
        <v>0.82272413359521668</v>
      </c>
      <c r="AL61" s="11">
        <v>0.99</v>
      </c>
      <c r="AM61" s="7">
        <v>6.9281270189221936E-2</v>
      </c>
      <c r="AO61" s="11">
        <v>6.5000000000000002E-2</v>
      </c>
      <c r="AP61" s="7">
        <v>-2.598E-2</v>
      </c>
      <c r="AQ61" s="1"/>
      <c r="AR61" s="11">
        <v>0.58000000000000029</v>
      </c>
      <c r="AS61" s="7">
        <v>0</v>
      </c>
      <c r="AT61" s="1"/>
      <c r="BM61" s="31">
        <v>0</v>
      </c>
      <c r="BN61" s="31">
        <v>0.5</v>
      </c>
    </row>
    <row r="62" spans="1:66" x14ac:dyDescent="0.25">
      <c r="A62" s="71"/>
      <c r="B62" s="71"/>
      <c r="D62" s="11">
        <v>0.6</v>
      </c>
      <c r="E62" s="6">
        <v>0.5</v>
      </c>
      <c r="F62" s="7">
        <v>0.51961524227066325</v>
      </c>
      <c r="G62" s="1"/>
      <c r="J62" s="1"/>
      <c r="M62" s="1"/>
      <c r="N62" s="1"/>
      <c r="O62" s="1"/>
      <c r="P62" s="1"/>
      <c r="Q62" s="1"/>
      <c r="R62" s="1"/>
      <c r="S62" s="1"/>
      <c r="T62" s="1"/>
      <c r="U62" s="1"/>
      <c r="V62" s="1"/>
      <c r="W62" s="1"/>
      <c r="X62" s="1"/>
      <c r="Y62" s="1"/>
      <c r="Z62" s="11"/>
      <c r="AA62" s="7"/>
      <c r="AC62" s="11"/>
      <c r="AD62" s="7"/>
      <c r="AF62" s="11"/>
      <c r="AG62" s="7"/>
      <c r="AI62" s="11"/>
      <c r="AJ62" s="7"/>
      <c r="AL62" s="11"/>
      <c r="AM62" s="7"/>
      <c r="AO62" s="11"/>
      <c r="AP62" s="7"/>
      <c r="AQ62" s="1"/>
      <c r="AR62" s="11">
        <v>0.5900000000000003</v>
      </c>
      <c r="AS62" s="7">
        <v>0</v>
      </c>
      <c r="AT62" s="1"/>
      <c r="BM62" s="31"/>
      <c r="BN62" s="31"/>
    </row>
    <row r="63" spans="1:66" x14ac:dyDescent="0.25">
      <c r="A63" s="71"/>
      <c r="B63" s="71"/>
      <c r="D63" s="11">
        <v>0.6</v>
      </c>
      <c r="E63" s="6">
        <v>0.6</v>
      </c>
      <c r="F63" s="7">
        <v>0.51961524227066325</v>
      </c>
      <c r="G63" s="1"/>
      <c r="J63" s="1"/>
      <c r="M63" s="1"/>
      <c r="N63" s="1"/>
      <c r="O63" s="1"/>
      <c r="P63" s="1"/>
      <c r="Q63" s="1"/>
      <c r="R63" s="1"/>
      <c r="S63" s="1"/>
      <c r="T63" s="1"/>
      <c r="U63" s="1"/>
      <c r="V63" s="1"/>
      <c r="W63" s="1"/>
      <c r="X63" s="1"/>
      <c r="Y63" s="1"/>
      <c r="Z63" s="12">
        <v>0.5</v>
      </c>
      <c r="AA63" s="9">
        <v>0.8660254037844386</v>
      </c>
      <c r="AC63" s="12">
        <v>1</v>
      </c>
      <c r="AD63" s="9">
        <v>0</v>
      </c>
      <c r="AF63" s="12">
        <v>0</v>
      </c>
      <c r="AG63" s="9">
        <v>0</v>
      </c>
      <c r="AI63" s="11">
        <v>0.5</v>
      </c>
      <c r="AJ63" s="7">
        <v>0.8660254037844386</v>
      </c>
      <c r="AL63" s="11">
        <v>1</v>
      </c>
      <c r="AM63" s="7">
        <v>0</v>
      </c>
      <c r="AO63" s="11">
        <v>0</v>
      </c>
      <c r="AP63" s="7">
        <v>0</v>
      </c>
      <c r="AQ63" s="1"/>
      <c r="AR63" s="11">
        <v>0.60000000000000031</v>
      </c>
      <c r="AS63" s="7">
        <v>0</v>
      </c>
      <c r="AT63" s="1"/>
      <c r="BM63" s="31">
        <v>0.08</v>
      </c>
      <c r="BN63" s="31">
        <v>0.5</v>
      </c>
    </row>
    <row r="64" spans="1:66" x14ac:dyDescent="0.25">
      <c r="A64" s="71"/>
      <c r="B64" s="71"/>
      <c r="D64" s="12">
        <v>0.6</v>
      </c>
      <c r="E64" s="8">
        <v>0.7</v>
      </c>
      <c r="F64" s="9">
        <v>0.51961524227066325</v>
      </c>
      <c r="G64" s="1"/>
      <c r="J64" s="1"/>
      <c r="M64" s="1"/>
      <c r="N64" s="1"/>
      <c r="O64" s="1"/>
      <c r="P64" s="1"/>
      <c r="Q64" s="1"/>
      <c r="R64" s="1"/>
      <c r="S64" s="1"/>
      <c r="T64" s="1"/>
      <c r="U64" s="1"/>
      <c r="V64" s="1"/>
      <c r="W64" s="1"/>
      <c r="X64" s="1"/>
      <c r="Y64" s="1"/>
      <c r="AI64" s="12">
        <v>0.47</v>
      </c>
      <c r="AJ64" s="9">
        <v>0.8660254037844386</v>
      </c>
      <c r="AL64" s="12">
        <v>1.0149999999999999</v>
      </c>
      <c r="AM64" s="9">
        <v>2.598E-2</v>
      </c>
      <c r="AO64" s="12">
        <v>1.4999999999999999E-2</v>
      </c>
      <c r="AP64" s="9">
        <v>-2.598E-2</v>
      </c>
      <c r="AQ64" s="1"/>
      <c r="AR64" s="11">
        <v>0.61000000000000032</v>
      </c>
      <c r="AS64" s="7">
        <v>0</v>
      </c>
      <c r="AT64" s="1"/>
      <c r="BM64" s="31">
        <v>0.14000000000000001</v>
      </c>
      <c r="BN64" s="31">
        <v>0.5</v>
      </c>
    </row>
    <row r="65" spans="1:66" x14ac:dyDescent="0.25">
      <c r="A65" s="71"/>
      <c r="B65" s="71"/>
      <c r="D65" s="11"/>
      <c r="F65" s="7"/>
      <c r="G65" s="1"/>
      <c r="J65" s="1"/>
      <c r="M65" s="1"/>
      <c r="N65" s="1"/>
      <c r="O65" s="1"/>
      <c r="P65" s="1"/>
      <c r="Q65" s="1"/>
      <c r="R65" s="1"/>
      <c r="S65" s="1"/>
      <c r="T65" s="1"/>
      <c r="U65" s="1"/>
      <c r="V65" s="1"/>
      <c r="W65" s="1"/>
      <c r="X65" s="1"/>
      <c r="Y65" s="1"/>
      <c r="AQ65" s="1"/>
      <c r="AR65" s="11">
        <v>0.62000000000000033</v>
      </c>
      <c r="AS65" s="7">
        <v>0</v>
      </c>
      <c r="AT65" s="1"/>
      <c r="BM65" s="31">
        <v>0.14000000000000001</v>
      </c>
      <c r="BN65" s="31">
        <v>0.47499999999999998</v>
      </c>
    </row>
    <row r="66" spans="1:66" x14ac:dyDescent="0.25">
      <c r="A66" s="71"/>
      <c r="B66" s="71"/>
      <c r="D66" s="10">
        <v>0.7</v>
      </c>
      <c r="E66" s="4">
        <v>0.35</v>
      </c>
      <c r="F66" s="5">
        <v>0.60621778264910697</v>
      </c>
      <c r="G66" s="1"/>
      <c r="J66" s="1"/>
      <c r="M66" s="1"/>
      <c r="N66" s="1"/>
      <c r="O66" s="1"/>
      <c r="P66" s="1"/>
      <c r="Q66" s="1"/>
      <c r="R66" s="1"/>
      <c r="S66" s="1"/>
      <c r="T66" s="1"/>
      <c r="U66" s="1"/>
      <c r="V66" s="1"/>
      <c r="W66" s="1"/>
      <c r="X66" s="1"/>
      <c r="Y66" s="1"/>
      <c r="AQ66" s="1"/>
      <c r="AR66" s="11">
        <v>0.63000000000000034</v>
      </c>
      <c r="AS66" s="7">
        <v>0</v>
      </c>
      <c r="AT66" s="1"/>
      <c r="BM66" s="31">
        <v>0.08</v>
      </c>
      <c r="BN66" s="31">
        <v>0.47499999999999998</v>
      </c>
    </row>
    <row r="67" spans="1:66" x14ac:dyDescent="0.25">
      <c r="A67" s="71"/>
      <c r="B67" s="71"/>
      <c r="D67" s="11">
        <v>0.7</v>
      </c>
      <c r="E67" s="6">
        <v>0.45</v>
      </c>
      <c r="F67" s="7">
        <v>0.60621778264910697</v>
      </c>
      <c r="G67" s="1"/>
      <c r="J67" s="1"/>
      <c r="M67" s="1"/>
      <c r="N67" s="1"/>
      <c r="O67" s="1"/>
      <c r="P67" s="1"/>
      <c r="Q67" s="1"/>
      <c r="R67" s="1"/>
      <c r="S67" s="1"/>
      <c r="T67" s="1"/>
      <c r="U67" s="1"/>
      <c r="V67" s="1"/>
      <c r="W67" s="1"/>
      <c r="X67" s="1"/>
      <c r="Y67" s="1"/>
      <c r="AQ67" s="1"/>
      <c r="AR67" s="11">
        <v>0.64000000000000035</v>
      </c>
      <c r="AS67" s="7">
        <v>0</v>
      </c>
      <c r="AT67" s="1"/>
      <c r="BM67" s="31">
        <v>0.08</v>
      </c>
      <c r="BN67" s="31">
        <v>0.5</v>
      </c>
    </row>
    <row r="68" spans="1:66" x14ac:dyDescent="0.25">
      <c r="A68" s="71"/>
      <c r="B68" s="71"/>
      <c r="D68" s="11">
        <v>0.7</v>
      </c>
      <c r="E68" s="6">
        <v>0.55000000000000004</v>
      </c>
      <c r="F68" s="7">
        <v>0.60621778264910697</v>
      </c>
      <c r="G68" s="1"/>
      <c r="J68" s="1"/>
      <c r="M68" s="1"/>
      <c r="N68" s="1"/>
      <c r="O68" s="1"/>
      <c r="P68" s="1"/>
      <c r="Q68" s="1"/>
      <c r="R68" s="1"/>
      <c r="S68" s="1"/>
      <c r="T68" s="1"/>
      <c r="U68" s="1"/>
      <c r="V68" s="1"/>
      <c r="W68" s="1"/>
      <c r="X68" s="1"/>
      <c r="Y68" s="1"/>
      <c r="AQ68" s="1"/>
      <c r="AR68" s="11">
        <v>0.65000000000000036</v>
      </c>
      <c r="AS68" s="7">
        <v>0</v>
      </c>
      <c r="AT68" s="1"/>
      <c r="BM68" s="31"/>
      <c r="BN68" s="31"/>
    </row>
    <row r="69" spans="1:66" x14ac:dyDescent="0.25">
      <c r="A69" s="71"/>
      <c r="B69" s="71"/>
      <c r="D69" s="12">
        <v>0.7</v>
      </c>
      <c r="E69" s="8">
        <v>0.65</v>
      </c>
      <c r="F69" s="9">
        <v>0.60621778264910697</v>
      </c>
      <c r="G69" s="1"/>
      <c r="J69" s="1"/>
      <c r="M69" s="1"/>
      <c r="N69" s="1"/>
      <c r="O69" s="1"/>
      <c r="P69" s="1"/>
      <c r="Q69" s="1"/>
      <c r="R69" s="1"/>
      <c r="S69" s="1"/>
      <c r="T69" s="1"/>
      <c r="U69" s="1"/>
      <c r="V69" s="1"/>
      <c r="W69" s="1"/>
      <c r="X69" s="1"/>
      <c r="Y69" s="1"/>
      <c r="AQ69" s="1"/>
      <c r="AR69" s="11">
        <v>0.66000000000000036</v>
      </c>
      <c r="AS69" s="7">
        <v>0</v>
      </c>
      <c r="AT69" s="1"/>
      <c r="BM69" s="31">
        <v>0.16</v>
      </c>
      <c r="BN69" s="31">
        <v>0.5</v>
      </c>
    </row>
    <row r="70" spans="1:66" x14ac:dyDescent="0.25">
      <c r="A70" s="71"/>
      <c r="B70" s="71"/>
      <c r="D70" s="11"/>
      <c r="F70" s="7"/>
      <c r="G70" s="1"/>
      <c r="J70" s="1"/>
      <c r="M70" s="1"/>
      <c r="N70" s="1"/>
      <c r="O70" s="1"/>
      <c r="P70" s="1"/>
      <c r="Q70" s="1"/>
      <c r="R70" s="1"/>
      <c r="S70" s="1"/>
      <c r="T70" s="1"/>
      <c r="U70" s="1"/>
      <c r="V70" s="1"/>
      <c r="W70" s="1"/>
      <c r="X70" s="1"/>
      <c r="Y70" s="1"/>
      <c r="AQ70" s="1"/>
      <c r="AR70" s="11">
        <v>0.67000000000000037</v>
      </c>
      <c r="AS70" s="7">
        <v>0</v>
      </c>
      <c r="AT70" s="1"/>
      <c r="BM70" s="31">
        <v>0.22</v>
      </c>
      <c r="BN70" s="31">
        <v>0.5</v>
      </c>
    </row>
    <row r="71" spans="1:66" x14ac:dyDescent="0.25">
      <c r="A71" s="71"/>
      <c r="B71" s="71"/>
      <c r="D71" s="10">
        <v>0.8</v>
      </c>
      <c r="E71" s="4">
        <v>0.4</v>
      </c>
      <c r="F71" s="5">
        <v>0.69282032302755103</v>
      </c>
      <c r="G71" s="1"/>
      <c r="J71" s="1"/>
      <c r="M71" s="1"/>
      <c r="N71" s="1"/>
      <c r="O71" s="1"/>
      <c r="P71" s="1"/>
      <c r="Q71" s="1"/>
      <c r="R71" s="1"/>
      <c r="S71" s="1"/>
      <c r="T71" s="1"/>
      <c r="U71" s="1"/>
      <c r="V71" s="1"/>
      <c r="W71" s="1"/>
      <c r="X71" s="1"/>
      <c r="Y71" s="1"/>
      <c r="AQ71" s="1"/>
      <c r="AR71" s="11">
        <v>0.68000000000000038</v>
      </c>
      <c r="AS71" s="7">
        <v>0</v>
      </c>
      <c r="AT71" s="1"/>
      <c r="BM71" s="31">
        <v>0.22</v>
      </c>
      <c r="BN71" s="31">
        <v>0.47499999999999998</v>
      </c>
    </row>
    <row r="72" spans="1:66" x14ac:dyDescent="0.25">
      <c r="A72" s="71"/>
      <c r="B72" s="71"/>
      <c r="D72" s="11">
        <v>0.8</v>
      </c>
      <c r="E72" s="6">
        <v>0.5</v>
      </c>
      <c r="F72" s="7">
        <v>0.69282032302755103</v>
      </c>
      <c r="G72" s="1"/>
      <c r="J72" s="1"/>
      <c r="M72" s="1"/>
      <c r="N72" s="1"/>
      <c r="O72" s="1"/>
      <c r="P72" s="1"/>
      <c r="Q72" s="1"/>
      <c r="R72" s="1"/>
      <c r="S72" s="1"/>
      <c r="T72" s="1"/>
      <c r="U72" s="1"/>
      <c r="V72" s="1"/>
      <c r="W72" s="1"/>
      <c r="X72" s="1"/>
      <c r="Y72" s="1"/>
      <c r="AQ72" s="1"/>
      <c r="AR72" s="11">
        <v>0.69000000000000039</v>
      </c>
      <c r="AS72" s="7">
        <v>0</v>
      </c>
      <c r="AT72" s="1"/>
      <c r="BM72" s="31">
        <v>0.16</v>
      </c>
      <c r="BN72" s="31">
        <v>0.47499999999999998</v>
      </c>
    </row>
    <row r="73" spans="1:66" x14ac:dyDescent="0.25">
      <c r="A73" s="71"/>
      <c r="B73" s="71"/>
      <c r="D73" s="12">
        <v>0.8</v>
      </c>
      <c r="E73" s="8">
        <v>0.6</v>
      </c>
      <c r="F73" s="9">
        <v>0.69282032302755103</v>
      </c>
      <c r="G73" s="1"/>
      <c r="J73" s="1"/>
      <c r="M73" s="1"/>
      <c r="N73" s="1"/>
      <c r="O73" s="1"/>
      <c r="P73" s="1"/>
      <c r="Q73" s="1"/>
      <c r="R73" s="1"/>
      <c r="S73" s="1"/>
      <c r="T73" s="1"/>
      <c r="U73" s="1"/>
      <c r="V73" s="1"/>
      <c r="W73" s="1"/>
      <c r="X73" s="1"/>
      <c r="Y73" s="1"/>
      <c r="AQ73" s="1"/>
      <c r="AR73" s="11">
        <v>0.7000000000000004</v>
      </c>
      <c r="AS73" s="7">
        <v>0</v>
      </c>
      <c r="AT73" s="1"/>
      <c r="BM73" s="31">
        <v>0.16</v>
      </c>
      <c r="BN73" s="31">
        <v>0.5</v>
      </c>
    </row>
    <row r="74" spans="1:66" x14ac:dyDescent="0.25">
      <c r="A74" s="71"/>
      <c r="B74" s="71"/>
      <c r="D74" s="11"/>
      <c r="F74" s="7"/>
      <c r="G74" s="1"/>
      <c r="J74" s="1"/>
      <c r="M74" s="1"/>
      <c r="N74" s="1"/>
      <c r="O74" s="1"/>
      <c r="P74" s="1"/>
      <c r="Q74" s="1"/>
      <c r="R74" s="1"/>
      <c r="S74" s="1"/>
      <c r="T74" s="1"/>
      <c r="U74" s="1"/>
      <c r="V74" s="1"/>
      <c r="W74" s="1"/>
      <c r="X74" s="1"/>
      <c r="Y74" s="1"/>
      <c r="AQ74" s="1"/>
      <c r="AR74" s="11">
        <v>0.71000000000000041</v>
      </c>
      <c r="AS74" s="7">
        <v>0</v>
      </c>
      <c r="AT74" s="1"/>
      <c r="BM74" s="31"/>
      <c r="BN74" s="31"/>
    </row>
    <row r="75" spans="1:66" x14ac:dyDescent="0.25">
      <c r="A75" s="71"/>
      <c r="B75" s="71"/>
      <c r="D75" s="10">
        <v>0.9</v>
      </c>
      <c r="E75" s="4">
        <v>0.45</v>
      </c>
      <c r="F75" s="5">
        <v>0.77942286340599476</v>
      </c>
      <c r="G75" s="1"/>
      <c r="J75" s="1"/>
      <c r="M75" s="1"/>
      <c r="N75" s="1"/>
      <c r="O75" s="1"/>
      <c r="P75" s="1"/>
      <c r="Q75" s="1"/>
      <c r="R75" s="1"/>
      <c r="S75" s="1"/>
      <c r="T75" s="1"/>
      <c r="U75" s="1"/>
      <c r="V75" s="1"/>
      <c r="W75" s="1"/>
      <c r="X75" s="1"/>
      <c r="Y75" s="1"/>
      <c r="AQ75" s="1"/>
      <c r="AR75" s="11">
        <v>0.72000000000000042</v>
      </c>
      <c r="AS75" s="7">
        <v>0</v>
      </c>
      <c r="AT75" s="1"/>
      <c r="BM75" s="31"/>
      <c r="BN75" s="31"/>
    </row>
    <row r="76" spans="1:66" x14ac:dyDescent="0.25">
      <c r="A76" s="71"/>
      <c r="B76" s="71"/>
      <c r="D76" s="12">
        <v>0.9</v>
      </c>
      <c r="E76" s="8">
        <v>0.55000000000000004</v>
      </c>
      <c r="F76" s="9">
        <v>0.77942286340599476</v>
      </c>
      <c r="G76" s="1"/>
      <c r="J76" s="1"/>
      <c r="M76" s="1"/>
      <c r="N76" s="1"/>
      <c r="O76" s="1"/>
      <c r="P76" s="1"/>
      <c r="Q76" s="1"/>
      <c r="R76" s="1"/>
      <c r="S76" s="1"/>
      <c r="T76" s="1"/>
      <c r="U76" s="1"/>
      <c r="V76" s="1"/>
      <c r="W76" s="1"/>
      <c r="X76" s="1"/>
      <c r="Y76" s="1"/>
      <c r="AQ76" s="1"/>
      <c r="AR76" s="11">
        <v>0.73000000000000043</v>
      </c>
      <c r="AS76" s="7">
        <v>0</v>
      </c>
      <c r="AT76" s="1"/>
      <c r="BM76" s="31"/>
      <c r="BN76" s="31"/>
    </row>
    <row r="77" spans="1:66" x14ac:dyDescent="0.25">
      <c r="A77" s="71"/>
      <c r="B77" s="71"/>
      <c r="D77" s="12"/>
      <c r="E77" s="8"/>
      <c r="F77" s="9"/>
      <c r="G77" s="1"/>
      <c r="J77" s="1"/>
      <c r="M77" s="1"/>
      <c r="N77" s="1"/>
      <c r="O77" s="1"/>
      <c r="P77" s="1"/>
      <c r="Q77" s="1"/>
      <c r="R77" s="1"/>
      <c r="S77" s="1"/>
      <c r="T77" s="1"/>
      <c r="U77" s="1"/>
      <c r="V77" s="1"/>
      <c r="W77" s="1"/>
      <c r="X77" s="1"/>
      <c r="Y77" s="1"/>
      <c r="AQ77" s="1"/>
      <c r="AR77" s="11">
        <v>0.74000000000000044</v>
      </c>
      <c r="AS77" s="7">
        <v>0</v>
      </c>
      <c r="AT77" s="1"/>
      <c r="BM77" s="31"/>
      <c r="BN77" s="31"/>
    </row>
    <row r="78" spans="1:66" x14ac:dyDescent="0.25">
      <c r="A78" s="71"/>
      <c r="B78" s="71"/>
      <c r="D78" s="13">
        <v>1</v>
      </c>
      <c r="E78" s="14">
        <v>0.5</v>
      </c>
      <c r="F78" s="15">
        <v>0.8660254037844386</v>
      </c>
      <c r="G78" s="1"/>
      <c r="J78" s="1"/>
      <c r="M78" s="1"/>
      <c r="N78" s="1"/>
      <c r="O78" s="1"/>
      <c r="P78" s="1"/>
      <c r="Q78" s="1"/>
      <c r="R78" s="1"/>
      <c r="S78" s="1"/>
      <c r="T78" s="1"/>
      <c r="U78" s="1"/>
      <c r="V78" s="1"/>
      <c r="W78" s="1"/>
      <c r="X78" s="1"/>
      <c r="Y78" s="1"/>
      <c r="AQ78" s="1"/>
      <c r="AR78" s="11">
        <v>0.75000000000000044</v>
      </c>
      <c r="AS78" s="7">
        <v>0</v>
      </c>
      <c r="AT78" s="1"/>
      <c r="BM78" s="31"/>
      <c r="BN78" s="31"/>
    </row>
    <row r="79" spans="1:66" x14ac:dyDescent="0.25">
      <c r="A79" s="71"/>
      <c r="B79" s="71"/>
      <c r="G79" s="1"/>
      <c r="J79" s="1"/>
      <c r="M79" s="1"/>
      <c r="N79" s="1"/>
      <c r="O79" s="1"/>
      <c r="P79" s="1"/>
      <c r="Q79" s="1"/>
      <c r="R79" s="1"/>
      <c r="S79" s="1"/>
      <c r="T79" s="1"/>
      <c r="U79" s="1"/>
      <c r="V79" s="1"/>
      <c r="W79" s="1"/>
      <c r="X79" s="1"/>
      <c r="Y79" s="1"/>
      <c r="AQ79" s="1"/>
      <c r="AR79" s="11">
        <v>0.76000000000000045</v>
      </c>
      <c r="AS79" s="7">
        <v>0</v>
      </c>
      <c r="AT79" s="1"/>
      <c r="BM79" s="31"/>
      <c r="BN79" s="31"/>
    </row>
    <row r="80" spans="1:66" x14ac:dyDescent="0.25">
      <c r="A80" s="71"/>
      <c r="B80" s="71"/>
      <c r="G80" s="1"/>
      <c r="J80" s="1"/>
      <c r="M80" s="1"/>
      <c r="N80" s="1"/>
      <c r="O80" s="1"/>
      <c r="P80" s="1"/>
      <c r="Q80" s="1"/>
      <c r="R80" s="1"/>
      <c r="S80" s="1"/>
      <c r="T80" s="1"/>
      <c r="U80" s="1"/>
      <c r="V80" s="1"/>
      <c r="W80" s="1"/>
      <c r="X80" s="1"/>
      <c r="Y80" s="1"/>
      <c r="AQ80" s="1"/>
      <c r="AR80" s="11">
        <v>0.77000000000000046</v>
      </c>
      <c r="AS80" s="7">
        <v>0</v>
      </c>
      <c r="AT80" s="1"/>
      <c r="BM80" s="31"/>
      <c r="BN80" s="31"/>
    </row>
    <row r="81" spans="1:66" x14ac:dyDescent="0.25">
      <c r="A81" s="71"/>
      <c r="B81" s="71"/>
      <c r="G81" s="1"/>
      <c r="J81" s="1"/>
      <c r="M81" s="1"/>
      <c r="N81" s="1"/>
      <c r="O81" s="1"/>
      <c r="P81" s="1"/>
      <c r="Q81" s="1"/>
      <c r="R81" s="1"/>
      <c r="S81" s="1"/>
      <c r="T81" s="1"/>
      <c r="U81" s="1"/>
      <c r="V81" s="1"/>
      <c r="W81" s="1"/>
      <c r="X81" s="1"/>
      <c r="Y81" s="1"/>
      <c r="AQ81" s="1"/>
      <c r="AR81" s="11">
        <v>0.78000000000000047</v>
      </c>
      <c r="AS81" s="7">
        <v>0</v>
      </c>
      <c r="AT81" s="1"/>
      <c r="BM81" s="31"/>
      <c r="BN81" s="31"/>
    </row>
    <row r="82" spans="1:66" x14ac:dyDescent="0.25">
      <c r="A82" s="71"/>
      <c r="B82" s="71"/>
      <c r="G82" s="1"/>
      <c r="J82" s="1"/>
      <c r="M82" s="1"/>
      <c r="N82" s="1"/>
      <c r="O82" s="1"/>
      <c r="P82" s="1"/>
      <c r="Q82" s="1"/>
      <c r="R82" s="1"/>
      <c r="S82" s="1"/>
      <c r="T82" s="1"/>
      <c r="U82" s="1"/>
      <c r="V82" s="1"/>
      <c r="W82" s="1"/>
      <c r="X82" s="1"/>
      <c r="Y82" s="1"/>
      <c r="AQ82" s="1"/>
      <c r="AR82" s="11">
        <v>0.79000000000000048</v>
      </c>
      <c r="AS82" s="7">
        <v>0</v>
      </c>
      <c r="AT82" s="1"/>
      <c r="BM82" s="31"/>
      <c r="BN82" s="31"/>
    </row>
    <row r="83" spans="1:66" x14ac:dyDescent="0.25">
      <c r="A83" s="71"/>
      <c r="B83" s="71"/>
      <c r="G83" s="1"/>
      <c r="J83" s="1"/>
      <c r="M83" s="1"/>
      <c r="N83" s="1"/>
      <c r="O83" s="1"/>
      <c r="P83" s="1"/>
      <c r="Q83" s="1"/>
      <c r="R83" s="1"/>
      <c r="S83" s="1"/>
      <c r="T83" s="1"/>
      <c r="U83" s="1"/>
      <c r="V83" s="1"/>
      <c r="W83" s="1"/>
      <c r="X83" s="1"/>
      <c r="Y83" s="1"/>
      <c r="AQ83" s="1"/>
      <c r="AR83" s="11">
        <v>0.80000000000000049</v>
      </c>
      <c r="AS83" s="7">
        <v>0</v>
      </c>
      <c r="AT83" s="1"/>
      <c r="BM83" s="31"/>
      <c r="BN83" s="31"/>
    </row>
    <row r="84" spans="1:66" x14ac:dyDescent="0.25">
      <c r="A84" s="71"/>
      <c r="B84" s="71"/>
      <c r="G84" s="1"/>
      <c r="J84" s="1"/>
      <c r="M84" s="1"/>
      <c r="N84" s="1"/>
      <c r="O84" s="1"/>
      <c r="P84" s="1"/>
      <c r="Q84" s="1"/>
      <c r="R84" s="1"/>
      <c r="S84" s="1"/>
      <c r="T84" s="1"/>
      <c r="U84" s="1"/>
      <c r="V84" s="1"/>
      <c r="W84" s="1"/>
      <c r="X84" s="1"/>
      <c r="Y84" s="1"/>
      <c r="AQ84" s="1"/>
      <c r="AR84" s="11">
        <v>0.8100000000000005</v>
      </c>
      <c r="AS84" s="7">
        <v>0</v>
      </c>
      <c r="AT84" s="1"/>
      <c r="BM84" s="31"/>
      <c r="BN84" s="31"/>
    </row>
    <row r="85" spans="1:66" x14ac:dyDescent="0.25">
      <c r="A85" s="71"/>
      <c r="B85" s="71"/>
      <c r="G85" s="1"/>
      <c r="J85" s="1"/>
      <c r="M85" s="1"/>
      <c r="N85" s="1"/>
      <c r="O85" s="1"/>
      <c r="P85" s="1"/>
      <c r="Q85" s="1"/>
      <c r="R85" s="1"/>
      <c r="S85" s="1"/>
      <c r="T85" s="1"/>
      <c r="U85" s="1"/>
      <c r="V85" s="1"/>
      <c r="W85" s="1"/>
      <c r="X85" s="1"/>
      <c r="Y85" s="1"/>
      <c r="AQ85" s="1"/>
      <c r="AR85" s="11">
        <v>0.82000000000000051</v>
      </c>
      <c r="AS85" s="7">
        <v>0</v>
      </c>
      <c r="AT85" s="1"/>
    </row>
    <row r="86" spans="1:66" x14ac:dyDescent="0.25">
      <c r="A86" s="71"/>
      <c r="B86" s="71"/>
      <c r="G86" s="1"/>
      <c r="J86" s="1"/>
      <c r="M86" s="1"/>
      <c r="N86" s="1"/>
      <c r="O86" s="1"/>
      <c r="P86" s="1"/>
      <c r="Q86" s="1"/>
      <c r="R86" s="1"/>
      <c r="S86" s="1"/>
      <c r="T86" s="1"/>
      <c r="U86" s="1"/>
      <c r="V86" s="1"/>
      <c r="W86" s="1"/>
      <c r="X86" s="1"/>
      <c r="Y86" s="1"/>
      <c r="AQ86" s="1"/>
      <c r="AR86" s="11">
        <v>0.83000000000000052</v>
      </c>
      <c r="AS86" s="7">
        <v>0</v>
      </c>
      <c r="AT86" s="1"/>
    </row>
    <row r="87" spans="1:66" x14ac:dyDescent="0.25">
      <c r="A87" s="71"/>
      <c r="B87" s="71"/>
      <c r="G87" s="1"/>
      <c r="J87" s="1"/>
      <c r="M87" s="1"/>
      <c r="N87" s="1"/>
      <c r="O87" s="1"/>
      <c r="P87" s="1"/>
      <c r="Q87" s="1"/>
      <c r="R87" s="1"/>
      <c r="S87" s="1"/>
      <c r="T87" s="1"/>
      <c r="U87" s="1"/>
      <c r="V87" s="1"/>
      <c r="W87" s="1"/>
      <c r="X87" s="1"/>
      <c r="Y87" s="1"/>
      <c r="AQ87" s="1"/>
      <c r="AR87" s="11">
        <v>0.84000000000000052</v>
      </c>
      <c r="AS87" s="7">
        <v>0</v>
      </c>
      <c r="AT87" s="1"/>
    </row>
    <row r="88" spans="1:66" x14ac:dyDescent="0.25">
      <c r="A88" s="71"/>
      <c r="B88" s="71"/>
      <c r="G88" s="1"/>
      <c r="J88" s="1"/>
      <c r="M88" s="1"/>
      <c r="N88" s="1"/>
      <c r="O88" s="1"/>
      <c r="P88" s="1"/>
      <c r="Q88" s="1"/>
      <c r="R88" s="1"/>
      <c r="S88" s="1"/>
      <c r="T88" s="1"/>
      <c r="U88" s="1"/>
      <c r="V88" s="1"/>
      <c r="W88" s="1"/>
      <c r="X88" s="1"/>
      <c r="Y88" s="1"/>
      <c r="AQ88" s="1"/>
      <c r="AR88" s="11">
        <v>0.85000000000000053</v>
      </c>
      <c r="AS88" s="7">
        <v>0</v>
      </c>
      <c r="AT88" s="1"/>
    </row>
    <row r="89" spans="1:66" x14ac:dyDescent="0.25">
      <c r="A89" s="71"/>
      <c r="B89" s="71"/>
      <c r="G89" s="1"/>
      <c r="J89" s="1"/>
      <c r="M89" s="1"/>
      <c r="N89" s="1"/>
      <c r="O89" s="1"/>
      <c r="P89" s="1"/>
      <c r="Q89" s="1"/>
      <c r="R89" s="1"/>
      <c r="S89" s="1"/>
      <c r="T89" s="1"/>
      <c r="U89" s="1"/>
      <c r="V89" s="1"/>
      <c r="W89" s="1"/>
      <c r="X89" s="1"/>
      <c r="Y89" s="1"/>
      <c r="AQ89" s="1"/>
      <c r="AR89" s="11">
        <v>0.86000000000000054</v>
      </c>
      <c r="AS89" s="7">
        <v>0</v>
      </c>
      <c r="AT89" s="1"/>
    </row>
    <row r="90" spans="1:66" x14ac:dyDescent="0.25">
      <c r="A90" s="71"/>
      <c r="B90" s="71"/>
      <c r="G90" s="1"/>
      <c r="J90" s="1"/>
      <c r="M90" s="1"/>
      <c r="N90" s="1"/>
      <c r="O90" s="1"/>
      <c r="P90" s="1"/>
      <c r="Q90" s="1"/>
      <c r="R90" s="1"/>
      <c r="S90" s="1"/>
      <c r="T90" s="1"/>
      <c r="U90" s="1"/>
      <c r="V90" s="1"/>
      <c r="W90" s="1"/>
      <c r="X90" s="1"/>
      <c r="Y90" s="1"/>
      <c r="AQ90" s="1"/>
      <c r="AR90" s="11">
        <v>0.87000000000000055</v>
      </c>
      <c r="AS90" s="7">
        <v>0</v>
      </c>
      <c r="AT90" s="1"/>
    </row>
    <row r="91" spans="1:66" x14ac:dyDescent="0.25">
      <c r="A91" s="71"/>
      <c r="B91" s="71"/>
      <c r="G91" s="1"/>
      <c r="J91" s="1"/>
      <c r="M91" s="1"/>
      <c r="N91" s="1"/>
      <c r="O91" s="1"/>
      <c r="P91" s="1"/>
      <c r="Q91" s="1"/>
      <c r="R91" s="1"/>
      <c r="S91" s="1"/>
      <c r="T91" s="1"/>
      <c r="U91" s="1"/>
      <c r="V91" s="1"/>
      <c r="W91" s="1"/>
      <c r="X91" s="1"/>
      <c r="Y91" s="1"/>
      <c r="AQ91" s="1"/>
      <c r="AR91" s="11">
        <v>0.88000000000000056</v>
      </c>
      <c r="AS91" s="7">
        <v>0</v>
      </c>
      <c r="AT91" s="1"/>
    </row>
    <row r="92" spans="1:66" x14ac:dyDescent="0.25">
      <c r="A92" s="71"/>
      <c r="B92" s="71"/>
      <c r="G92" s="1"/>
      <c r="J92" s="1"/>
      <c r="M92" s="1"/>
      <c r="N92" s="1"/>
      <c r="O92" s="1"/>
      <c r="P92" s="1"/>
      <c r="Q92" s="1"/>
      <c r="R92" s="1"/>
      <c r="S92" s="1"/>
      <c r="T92" s="1"/>
      <c r="U92" s="1"/>
      <c r="V92" s="1"/>
      <c r="W92" s="1"/>
      <c r="X92" s="1"/>
      <c r="Y92" s="1"/>
      <c r="AQ92" s="1"/>
      <c r="AR92" s="11">
        <v>0.89000000000000057</v>
      </c>
      <c r="AS92" s="7">
        <v>0</v>
      </c>
      <c r="AT92" s="1"/>
    </row>
    <row r="93" spans="1:66" x14ac:dyDescent="0.25">
      <c r="A93" s="71"/>
      <c r="B93" s="71"/>
      <c r="G93" s="1"/>
      <c r="J93" s="1"/>
      <c r="M93" s="1"/>
      <c r="N93" s="1"/>
      <c r="O93" s="1"/>
      <c r="P93" s="1"/>
      <c r="Q93" s="1"/>
      <c r="R93" s="1"/>
      <c r="S93" s="1"/>
      <c r="T93" s="1"/>
      <c r="U93" s="1"/>
      <c r="V93" s="1"/>
      <c r="W93" s="1"/>
      <c r="X93" s="1"/>
      <c r="Y93" s="1"/>
      <c r="AQ93" s="1"/>
      <c r="AR93" s="11">
        <v>0.90000000000000058</v>
      </c>
      <c r="AS93" s="7">
        <v>0</v>
      </c>
      <c r="AT93" s="1"/>
    </row>
    <row r="94" spans="1:66" x14ac:dyDescent="0.25">
      <c r="A94" s="71"/>
      <c r="B94" s="71"/>
      <c r="G94" s="1"/>
      <c r="J94" s="1"/>
      <c r="M94" s="1"/>
      <c r="N94" s="1"/>
      <c r="O94" s="1"/>
      <c r="P94" s="1"/>
      <c r="Q94" s="1"/>
      <c r="R94" s="1"/>
      <c r="S94" s="1"/>
      <c r="T94" s="1"/>
      <c r="U94" s="1"/>
      <c r="V94" s="1"/>
      <c r="W94" s="1"/>
      <c r="X94" s="1"/>
      <c r="Y94" s="1"/>
      <c r="AQ94" s="1"/>
      <c r="AR94" s="11">
        <v>0.91000000000000059</v>
      </c>
      <c r="AS94" s="7">
        <v>0</v>
      </c>
      <c r="AT94" s="1"/>
    </row>
    <row r="95" spans="1:66" x14ac:dyDescent="0.25">
      <c r="A95" s="71"/>
      <c r="B95" s="71"/>
      <c r="G95" s="1"/>
      <c r="J95" s="1"/>
      <c r="M95" s="1"/>
      <c r="N95" s="1"/>
      <c r="O95" s="1"/>
      <c r="P95" s="1"/>
      <c r="Q95" s="1"/>
      <c r="R95" s="1"/>
      <c r="S95" s="1"/>
      <c r="T95" s="1"/>
      <c r="U95" s="1"/>
      <c r="V95" s="1"/>
      <c r="W95" s="1"/>
      <c r="X95" s="1"/>
      <c r="Y95" s="1"/>
      <c r="AQ95" s="1"/>
      <c r="AR95" s="11">
        <v>0.9200000000000006</v>
      </c>
      <c r="AS95" s="7">
        <v>0</v>
      </c>
      <c r="AT95" s="1"/>
    </row>
    <row r="96" spans="1:66" x14ac:dyDescent="0.25">
      <c r="A96" s="71"/>
      <c r="B96" s="71"/>
      <c r="G96" s="1"/>
      <c r="J96" s="1"/>
      <c r="M96" s="1"/>
      <c r="N96" s="1"/>
      <c r="O96" s="1"/>
      <c r="P96" s="1"/>
      <c r="Q96" s="1"/>
      <c r="R96" s="1"/>
      <c r="S96" s="1"/>
      <c r="T96" s="1"/>
      <c r="U96" s="1"/>
      <c r="V96" s="1"/>
      <c r="W96" s="1"/>
      <c r="X96" s="1"/>
      <c r="Y96" s="1"/>
      <c r="AQ96" s="1"/>
      <c r="AR96" s="11">
        <v>0.9300000000000006</v>
      </c>
      <c r="AS96" s="7">
        <v>0</v>
      </c>
      <c r="AT96" s="1"/>
    </row>
    <row r="97" spans="1:46" x14ac:dyDescent="0.25">
      <c r="A97" s="71"/>
      <c r="B97" s="71"/>
      <c r="G97" s="1"/>
      <c r="J97" s="1"/>
      <c r="M97" s="1"/>
      <c r="N97" s="1"/>
      <c r="O97" s="1"/>
      <c r="P97" s="1"/>
      <c r="Q97" s="1"/>
      <c r="R97" s="1"/>
      <c r="S97" s="1"/>
      <c r="T97" s="1"/>
      <c r="U97" s="1"/>
      <c r="V97" s="1"/>
      <c r="W97" s="1"/>
      <c r="X97" s="1"/>
      <c r="Y97" s="1"/>
      <c r="AQ97" s="1"/>
      <c r="AR97" s="11">
        <v>0.94000000000000061</v>
      </c>
      <c r="AS97" s="7">
        <v>0</v>
      </c>
      <c r="AT97" s="1"/>
    </row>
    <row r="98" spans="1:46" x14ac:dyDescent="0.25">
      <c r="A98" s="71"/>
      <c r="B98" s="71"/>
      <c r="G98" s="1"/>
      <c r="J98" s="1"/>
      <c r="M98" s="1"/>
      <c r="N98" s="1"/>
      <c r="O98" s="1"/>
      <c r="P98" s="1"/>
      <c r="Q98" s="1"/>
      <c r="R98" s="1"/>
      <c r="S98" s="1"/>
      <c r="T98" s="1"/>
      <c r="U98" s="1"/>
      <c r="V98" s="1"/>
      <c r="W98" s="1"/>
      <c r="X98" s="1"/>
      <c r="Y98" s="1"/>
      <c r="AQ98" s="1"/>
      <c r="AR98" s="11">
        <v>0.95000000000000062</v>
      </c>
      <c r="AS98" s="7">
        <v>0</v>
      </c>
      <c r="AT98" s="1"/>
    </row>
    <row r="99" spans="1:46" x14ac:dyDescent="0.25">
      <c r="A99" s="71"/>
      <c r="B99" s="71"/>
      <c r="G99" s="1"/>
      <c r="J99" s="1"/>
      <c r="M99" s="1"/>
      <c r="N99" s="1"/>
      <c r="O99" s="1"/>
      <c r="P99" s="1"/>
      <c r="Q99" s="1"/>
      <c r="R99" s="1"/>
      <c r="S99" s="1"/>
      <c r="T99" s="1"/>
      <c r="U99" s="1"/>
      <c r="V99" s="1"/>
      <c r="W99" s="1"/>
      <c r="X99" s="1"/>
      <c r="Y99" s="1"/>
      <c r="AQ99" s="1"/>
      <c r="AR99" s="11">
        <v>0.96000000000000063</v>
      </c>
      <c r="AS99" s="7">
        <v>0</v>
      </c>
      <c r="AT99" s="1"/>
    </row>
    <row r="100" spans="1:46" x14ac:dyDescent="0.25">
      <c r="A100" s="71"/>
      <c r="B100" s="71"/>
      <c r="G100" s="1"/>
      <c r="J100" s="1"/>
      <c r="M100" s="1"/>
      <c r="N100" s="1"/>
      <c r="O100" s="1"/>
      <c r="P100" s="1"/>
      <c r="Q100" s="1"/>
      <c r="R100" s="1"/>
      <c r="S100" s="1"/>
      <c r="T100" s="1"/>
      <c r="U100" s="1"/>
      <c r="V100" s="1"/>
      <c r="W100" s="1"/>
      <c r="X100" s="1"/>
      <c r="Y100" s="1"/>
      <c r="AQ100" s="1"/>
      <c r="AR100" s="11">
        <v>0.97000000000000064</v>
      </c>
      <c r="AS100" s="7">
        <v>0</v>
      </c>
      <c r="AT100" s="1"/>
    </row>
    <row r="101" spans="1:46" x14ac:dyDescent="0.25">
      <c r="A101" s="71"/>
      <c r="B101" s="71"/>
      <c r="G101" s="1"/>
      <c r="J101" s="1"/>
      <c r="M101" s="1"/>
      <c r="N101" s="1"/>
      <c r="O101" s="1"/>
      <c r="P101" s="1"/>
      <c r="Q101" s="1"/>
      <c r="R101" s="1"/>
      <c r="S101" s="1"/>
      <c r="T101" s="1"/>
      <c r="U101" s="1"/>
      <c r="V101" s="1"/>
      <c r="W101" s="1"/>
      <c r="X101" s="1"/>
      <c r="Y101" s="1"/>
      <c r="AQ101" s="1"/>
      <c r="AR101" s="11">
        <v>0.98000000000000065</v>
      </c>
      <c r="AS101" s="7">
        <v>0</v>
      </c>
      <c r="AT101" s="1"/>
    </row>
    <row r="102" spans="1:46" x14ac:dyDescent="0.25">
      <c r="A102" s="71"/>
      <c r="B102" s="71"/>
      <c r="G102" s="1"/>
      <c r="J102" s="1"/>
      <c r="M102" s="1"/>
      <c r="N102" s="1"/>
      <c r="O102" s="1"/>
      <c r="P102" s="1"/>
      <c r="Q102" s="1"/>
      <c r="R102" s="1"/>
      <c r="S102" s="1"/>
      <c r="T102" s="1"/>
      <c r="U102" s="1"/>
      <c r="V102" s="1"/>
      <c r="W102" s="1"/>
      <c r="X102" s="1"/>
      <c r="Y102" s="1"/>
      <c r="AQ102" s="1"/>
      <c r="AR102" s="11">
        <v>0.99000000000000066</v>
      </c>
      <c r="AS102" s="7">
        <v>0</v>
      </c>
      <c r="AT102" s="1"/>
    </row>
    <row r="103" spans="1:46" x14ac:dyDescent="0.25">
      <c r="A103" s="71"/>
      <c r="B103" s="71"/>
      <c r="G103" s="1"/>
      <c r="J103" s="1"/>
      <c r="M103" s="1"/>
      <c r="N103" s="1"/>
      <c r="O103" s="1"/>
      <c r="P103" s="1"/>
      <c r="Q103" s="1"/>
      <c r="R103" s="1"/>
      <c r="S103" s="1"/>
      <c r="T103" s="1"/>
      <c r="U103" s="1"/>
      <c r="V103" s="1"/>
      <c r="W103" s="1"/>
      <c r="X103" s="1"/>
      <c r="Y103" s="1"/>
      <c r="AQ103" s="1"/>
      <c r="AR103" s="11">
        <v>1.0000000000000007</v>
      </c>
      <c r="AS103" s="7">
        <v>0</v>
      </c>
      <c r="AT103" s="1"/>
    </row>
    <row r="104" spans="1:46" x14ac:dyDescent="0.25">
      <c r="A104" s="71"/>
      <c r="B104" s="71"/>
      <c r="G104" s="1"/>
      <c r="J104" s="1"/>
      <c r="M104" s="1"/>
      <c r="N104" s="1"/>
      <c r="O104" s="1"/>
      <c r="P104" s="1"/>
      <c r="Q104" s="1"/>
      <c r="R104" s="1"/>
      <c r="S104" s="1"/>
      <c r="T104" s="1"/>
      <c r="U104" s="1"/>
      <c r="V104" s="1"/>
      <c r="W104" s="1"/>
      <c r="X104" s="1"/>
      <c r="Y104" s="1"/>
      <c r="AQ104" s="1"/>
      <c r="AR104" s="11"/>
      <c r="AS104" s="7"/>
      <c r="AT104" s="1"/>
    </row>
    <row r="105" spans="1:46" x14ac:dyDescent="0.25">
      <c r="A105" s="71"/>
      <c r="B105" s="71"/>
      <c r="G105" s="1"/>
      <c r="J105" s="1"/>
      <c r="M105" s="1"/>
      <c r="N105" s="1"/>
      <c r="O105" s="1"/>
      <c r="P105" s="1"/>
      <c r="Q105" s="1"/>
      <c r="R105" s="1"/>
      <c r="S105" s="1"/>
      <c r="T105" s="1"/>
      <c r="U105" s="1"/>
      <c r="V105" s="1"/>
      <c r="W105" s="1"/>
      <c r="X105" s="1"/>
      <c r="Y105" s="1"/>
      <c r="AQ105" s="1"/>
      <c r="AR105" s="11">
        <v>5.0000000000000001E-3</v>
      </c>
      <c r="AS105" s="7">
        <v>8.6602540378443865E-3</v>
      </c>
      <c r="AT105" s="1"/>
    </row>
    <row r="106" spans="1:46" x14ac:dyDescent="0.25">
      <c r="A106" s="71"/>
      <c r="B106" s="71"/>
      <c r="G106" s="1"/>
      <c r="J106" s="1"/>
      <c r="M106" s="1"/>
      <c r="N106" s="1"/>
      <c r="O106" s="1"/>
      <c r="P106" s="1"/>
      <c r="Q106" s="1"/>
      <c r="R106" s="1"/>
      <c r="S106" s="1"/>
      <c r="T106" s="1"/>
      <c r="U106" s="1"/>
      <c r="V106" s="1"/>
      <c r="W106" s="1"/>
      <c r="X106" s="1"/>
      <c r="Y106" s="1"/>
      <c r="AQ106" s="1"/>
      <c r="AR106" s="11">
        <v>1.4999999999999999E-2</v>
      </c>
      <c r="AS106" s="7">
        <v>8.6602540378443865E-3</v>
      </c>
      <c r="AT106" s="1"/>
    </row>
    <row r="107" spans="1:46" x14ac:dyDescent="0.25">
      <c r="A107" s="71"/>
      <c r="B107" s="71"/>
      <c r="G107" s="1"/>
      <c r="J107" s="1"/>
      <c r="M107" s="1"/>
      <c r="N107" s="1"/>
      <c r="O107" s="1"/>
      <c r="P107" s="1"/>
      <c r="Q107" s="1"/>
      <c r="R107" s="1"/>
      <c r="S107" s="1"/>
      <c r="T107" s="1"/>
      <c r="U107" s="1"/>
      <c r="V107" s="1"/>
      <c r="W107" s="1"/>
      <c r="X107" s="1"/>
      <c r="Y107" s="1"/>
      <c r="AQ107" s="1"/>
      <c r="AR107" s="11">
        <v>2.5000000000000001E-2</v>
      </c>
      <c r="AS107" s="7">
        <v>8.6602540378443865E-3</v>
      </c>
      <c r="AT107" s="1"/>
    </row>
    <row r="108" spans="1:46" x14ac:dyDescent="0.25">
      <c r="A108" s="71"/>
      <c r="B108" s="71"/>
      <c r="G108" s="1"/>
      <c r="J108" s="1"/>
      <c r="M108" s="1"/>
      <c r="N108" s="1"/>
      <c r="O108" s="1"/>
      <c r="P108" s="1"/>
      <c r="Q108" s="1"/>
      <c r="R108" s="1"/>
      <c r="S108" s="1"/>
      <c r="T108" s="1"/>
      <c r="U108" s="1"/>
      <c r="V108" s="1"/>
      <c r="W108" s="1"/>
      <c r="X108" s="1"/>
      <c r="Y108" s="1"/>
      <c r="AQ108" s="1"/>
      <c r="AR108" s="11">
        <v>3.5000000000000003E-2</v>
      </c>
      <c r="AS108" s="7">
        <v>8.6602540378443865E-3</v>
      </c>
      <c r="AT108" s="1"/>
    </row>
    <row r="109" spans="1:46" x14ac:dyDescent="0.25">
      <c r="A109" s="71"/>
      <c r="B109" s="71"/>
      <c r="G109" s="1"/>
      <c r="J109" s="1"/>
      <c r="M109" s="1"/>
      <c r="N109" s="1"/>
      <c r="O109" s="1"/>
      <c r="P109" s="1"/>
      <c r="Q109" s="1"/>
      <c r="R109" s="1"/>
      <c r="S109" s="1"/>
      <c r="T109" s="1"/>
      <c r="U109" s="1"/>
      <c r="V109" s="1"/>
      <c r="W109" s="1"/>
      <c r="X109" s="1"/>
      <c r="Y109" s="1"/>
      <c r="AQ109" s="1"/>
      <c r="AR109" s="11">
        <v>4.5000000000000005E-2</v>
      </c>
      <c r="AS109" s="7">
        <v>8.6602540378443865E-3</v>
      </c>
      <c r="AT109" s="1"/>
    </row>
    <row r="110" spans="1:46" x14ac:dyDescent="0.25">
      <c r="G110" s="1"/>
      <c r="J110" s="1"/>
      <c r="M110" s="1"/>
      <c r="N110" s="1"/>
      <c r="O110" s="1"/>
      <c r="P110" s="1"/>
      <c r="Q110" s="1"/>
      <c r="R110" s="1"/>
      <c r="S110" s="1"/>
      <c r="T110" s="1"/>
      <c r="U110" s="1"/>
      <c r="V110" s="1"/>
      <c r="W110" s="1"/>
      <c r="X110" s="1"/>
      <c r="Y110" s="1"/>
      <c r="AQ110" s="1"/>
      <c r="AR110" s="11">
        <v>5.5000000000000007E-2</v>
      </c>
      <c r="AS110" s="7">
        <v>8.6602540378443865E-3</v>
      </c>
      <c r="AT110" s="1"/>
    </row>
    <row r="111" spans="1:46" x14ac:dyDescent="0.25">
      <c r="G111" s="1"/>
      <c r="J111" s="1"/>
      <c r="M111" s="1"/>
      <c r="N111" s="1"/>
      <c r="O111" s="1"/>
      <c r="P111" s="1"/>
      <c r="Q111" s="1"/>
      <c r="R111" s="1"/>
      <c r="S111" s="1"/>
      <c r="T111" s="1"/>
      <c r="U111" s="1"/>
      <c r="V111" s="1"/>
      <c r="W111" s="1"/>
      <c r="X111" s="1"/>
      <c r="Y111" s="1"/>
      <c r="AQ111" s="1"/>
      <c r="AR111" s="11">
        <v>6.5000000000000002E-2</v>
      </c>
      <c r="AS111" s="7">
        <v>8.6602540378443865E-3</v>
      </c>
      <c r="AT111" s="1"/>
    </row>
    <row r="112" spans="1:46" x14ac:dyDescent="0.25">
      <c r="G112" s="1"/>
      <c r="J112" s="1"/>
      <c r="M112" s="1"/>
      <c r="N112" s="1"/>
      <c r="O112" s="1"/>
      <c r="P112" s="1"/>
      <c r="Q112" s="1"/>
      <c r="R112" s="1"/>
      <c r="S112" s="1"/>
      <c r="T112" s="1"/>
      <c r="U112" s="1"/>
      <c r="V112" s="1"/>
      <c r="W112" s="1"/>
      <c r="X112" s="1"/>
      <c r="Y112" s="1"/>
      <c r="AQ112" s="1"/>
      <c r="AR112" s="11">
        <v>7.4999999999999997E-2</v>
      </c>
      <c r="AS112" s="7">
        <v>8.6602540378443865E-3</v>
      </c>
      <c r="AT112" s="1"/>
    </row>
    <row r="113" spans="44:45" x14ac:dyDescent="0.25">
      <c r="AR113" s="11">
        <v>8.4999999999999992E-2</v>
      </c>
      <c r="AS113" s="7">
        <v>8.6602540378443865E-3</v>
      </c>
    </row>
    <row r="114" spans="44:45" x14ac:dyDescent="0.25">
      <c r="AR114" s="11">
        <v>9.4999999999999987E-2</v>
      </c>
      <c r="AS114" s="7">
        <v>8.6602540378443865E-3</v>
      </c>
    </row>
    <row r="115" spans="44:45" x14ac:dyDescent="0.25">
      <c r="AR115" s="11">
        <v>0.10499999999999998</v>
      </c>
      <c r="AS115" s="7">
        <v>8.6602540378443865E-3</v>
      </c>
    </row>
    <row r="116" spans="44:45" x14ac:dyDescent="0.25">
      <c r="AR116" s="11">
        <v>0.11499999999999998</v>
      </c>
      <c r="AS116" s="7">
        <v>8.6602540378443865E-3</v>
      </c>
    </row>
    <row r="117" spans="44:45" x14ac:dyDescent="0.25">
      <c r="AR117" s="11">
        <v>0.12499999999999997</v>
      </c>
      <c r="AS117" s="7">
        <v>8.6602540378443865E-3</v>
      </c>
    </row>
    <row r="118" spans="44:45" x14ac:dyDescent="0.25">
      <c r="AR118" s="11">
        <v>0.13499999999999998</v>
      </c>
      <c r="AS118" s="7">
        <v>8.6602540378443865E-3</v>
      </c>
    </row>
    <row r="119" spans="44:45" x14ac:dyDescent="0.25">
      <c r="AR119" s="11">
        <v>0.14499999999999999</v>
      </c>
      <c r="AS119" s="7">
        <v>8.6602540378443865E-3</v>
      </c>
    </row>
    <row r="120" spans="44:45" x14ac:dyDescent="0.25">
      <c r="AR120" s="11">
        <v>0.155</v>
      </c>
      <c r="AS120" s="7">
        <v>8.6602540378443865E-3</v>
      </c>
    </row>
    <row r="121" spans="44:45" x14ac:dyDescent="0.25">
      <c r="AR121" s="11">
        <v>0.16500000000000001</v>
      </c>
      <c r="AS121" s="7">
        <v>8.6602540378443865E-3</v>
      </c>
    </row>
    <row r="122" spans="44:45" x14ac:dyDescent="0.25">
      <c r="AR122" s="11">
        <v>0.17500000000000002</v>
      </c>
      <c r="AS122" s="7">
        <v>8.6602540378443865E-3</v>
      </c>
    </row>
    <row r="123" spans="44:45" x14ac:dyDescent="0.25">
      <c r="AR123" s="11">
        <v>0.18500000000000003</v>
      </c>
      <c r="AS123" s="7">
        <v>8.6602540378443865E-3</v>
      </c>
    </row>
    <row r="124" spans="44:45" x14ac:dyDescent="0.25">
      <c r="AR124" s="11">
        <v>0.19500000000000003</v>
      </c>
      <c r="AS124" s="7">
        <v>8.6602540378443865E-3</v>
      </c>
    </row>
    <row r="125" spans="44:45" x14ac:dyDescent="0.25">
      <c r="AR125" s="11">
        <v>0.20500000000000004</v>
      </c>
      <c r="AS125" s="7">
        <v>8.6602540378443865E-3</v>
      </c>
    </row>
    <row r="126" spans="44:45" x14ac:dyDescent="0.25">
      <c r="AR126" s="11">
        <v>0.21500000000000005</v>
      </c>
      <c r="AS126" s="7">
        <v>8.6602540378443865E-3</v>
      </c>
    </row>
    <row r="127" spans="44:45" x14ac:dyDescent="0.25">
      <c r="AR127" s="11">
        <v>0.22500000000000006</v>
      </c>
      <c r="AS127" s="7">
        <v>8.6602540378443865E-3</v>
      </c>
    </row>
    <row r="128" spans="44:45" x14ac:dyDescent="0.25">
      <c r="AR128" s="11">
        <v>0.23500000000000007</v>
      </c>
      <c r="AS128" s="7">
        <v>8.6602540378443865E-3</v>
      </c>
    </row>
    <row r="129" spans="44:45" x14ac:dyDescent="0.25">
      <c r="AR129" s="11">
        <v>0.24500000000000008</v>
      </c>
      <c r="AS129" s="7">
        <v>8.6602540378443865E-3</v>
      </c>
    </row>
    <row r="130" spans="44:45" x14ac:dyDescent="0.25">
      <c r="AR130" s="11">
        <v>0.25500000000000006</v>
      </c>
      <c r="AS130" s="7">
        <v>8.6602540378443865E-3</v>
      </c>
    </row>
    <row r="131" spans="44:45" x14ac:dyDescent="0.25">
      <c r="AR131" s="11">
        <v>0.26500000000000007</v>
      </c>
      <c r="AS131" s="7">
        <v>8.6602540378443865E-3</v>
      </c>
    </row>
    <row r="132" spans="44:45" x14ac:dyDescent="0.25">
      <c r="AR132" s="11">
        <v>0.27500000000000008</v>
      </c>
      <c r="AS132" s="7">
        <v>8.6602540378443865E-3</v>
      </c>
    </row>
    <row r="133" spans="44:45" x14ac:dyDescent="0.25">
      <c r="AR133" s="11">
        <v>0.28500000000000009</v>
      </c>
      <c r="AS133" s="7">
        <v>8.6602540378443865E-3</v>
      </c>
    </row>
    <row r="134" spans="44:45" x14ac:dyDescent="0.25">
      <c r="AR134" s="11">
        <v>0.2950000000000001</v>
      </c>
      <c r="AS134" s="7">
        <v>8.6602540378443865E-3</v>
      </c>
    </row>
    <row r="135" spans="44:45" x14ac:dyDescent="0.25">
      <c r="AR135" s="11">
        <v>0.3050000000000001</v>
      </c>
      <c r="AS135" s="7">
        <v>8.6602540378443865E-3</v>
      </c>
    </row>
    <row r="136" spans="44:45" x14ac:dyDescent="0.25">
      <c r="AR136" s="11">
        <v>0.31500000000000011</v>
      </c>
      <c r="AS136" s="7">
        <v>8.6602540378443865E-3</v>
      </c>
    </row>
    <row r="137" spans="44:45" x14ac:dyDescent="0.25">
      <c r="AR137" s="11">
        <v>0.32500000000000012</v>
      </c>
      <c r="AS137" s="7">
        <v>8.6602540378443865E-3</v>
      </c>
    </row>
    <row r="138" spans="44:45" x14ac:dyDescent="0.25">
      <c r="AR138" s="11">
        <v>0.33500000000000013</v>
      </c>
      <c r="AS138" s="7">
        <v>8.6602540378443865E-3</v>
      </c>
    </row>
    <row r="139" spans="44:45" x14ac:dyDescent="0.25">
      <c r="AR139" s="11">
        <v>0.34500000000000014</v>
      </c>
      <c r="AS139" s="7">
        <v>8.6602540378443865E-3</v>
      </c>
    </row>
    <row r="140" spans="44:45" x14ac:dyDescent="0.25">
      <c r="AR140" s="11">
        <v>0.35500000000000015</v>
      </c>
      <c r="AS140" s="7">
        <v>8.6602540378443865E-3</v>
      </c>
    </row>
    <row r="141" spans="44:45" x14ac:dyDescent="0.25">
      <c r="AR141" s="11">
        <v>0.36500000000000016</v>
      </c>
      <c r="AS141" s="7">
        <v>8.6602540378443865E-3</v>
      </c>
    </row>
    <row r="142" spans="44:45" x14ac:dyDescent="0.25">
      <c r="AR142" s="11">
        <v>0.37500000000000017</v>
      </c>
      <c r="AS142" s="7">
        <v>8.6602540378443865E-3</v>
      </c>
    </row>
    <row r="143" spans="44:45" x14ac:dyDescent="0.25">
      <c r="AR143" s="11">
        <v>0.38500000000000018</v>
      </c>
      <c r="AS143" s="7">
        <v>8.6602540378443865E-3</v>
      </c>
    </row>
    <row r="144" spans="44:45" x14ac:dyDescent="0.25">
      <c r="AR144" s="11">
        <v>0.39500000000000018</v>
      </c>
      <c r="AS144" s="7">
        <v>8.6602540378443865E-3</v>
      </c>
    </row>
    <row r="145" spans="44:45" x14ac:dyDescent="0.25">
      <c r="AR145" s="11">
        <v>0.40500000000000019</v>
      </c>
      <c r="AS145" s="7">
        <v>8.6602540378443865E-3</v>
      </c>
    </row>
    <row r="146" spans="44:45" x14ac:dyDescent="0.25">
      <c r="AR146" s="11">
        <v>0.4150000000000002</v>
      </c>
      <c r="AS146" s="7">
        <v>8.6602540378443865E-3</v>
      </c>
    </row>
    <row r="147" spans="44:45" x14ac:dyDescent="0.25">
      <c r="AR147" s="11">
        <v>0.42500000000000021</v>
      </c>
      <c r="AS147" s="7">
        <v>8.6602540378443865E-3</v>
      </c>
    </row>
    <row r="148" spans="44:45" x14ac:dyDescent="0.25">
      <c r="AR148" s="11">
        <v>0.43500000000000022</v>
      </c>
      <c r="AS148" s="7">
        <v>8.6602540378443865E-3</v>
      </c>
    </row>
    <row r="149" spans="44:45" x14ac:dyDescent="0.25">
      <c r="AR149" s="11">
        <v>0.44500000000000023</v>
      </c>
      <c r="AS149" s="7">
        <v>8.6602540378443865E-3</v>
      </c>
    </row>
    <row r="150" spans="44:45" x14ac:dyDescent="0.25">
      <c r="AR150" s="11">
        <v>0.45500000000000024</v>
      </c>
      <c r="AS150" s="7">
        <v>8.6602540378443865E-3</v>
      </c>
    </row>
    <row r="151" spans="44:45" x14ac:dyDescent="0.25">
      <c r="AR151" s="11">
        <v>0.46500000000000025</v>
      </c>
      <c r="AS151" s="7">
        <v>8.6602540378443865E-3</v>
      </c>
    </row>
    <row r="152" spans="44:45" x14ac:dyDescent="0.25">
      <c r="AR152" s="11">
        <v>0.47500000000000026</v>
      </c>
      <c r="AS152" s="7">
        <v>8.6602540378443865E-3</v>
      </c>
    </row>
    <row r="153" spans="44:45" x14ac:dyDescent="0.25">
      <c r="AR153" s="11">
        <v>0.48500000000000026</v>
      </c>
      <c r="AS153" s="7">
        <v>8.6602540378443865E-3</v>
      </c>
    </row>
    <row r="154" spans="44:45" x14ac:dyDescent="0.25">
      <c r="AR154" s="11">
        <v>0.49500000000000027</v>
      </c>
      <c r="AS154" s="7">
        <v>8.6602540378443865E-3</v>
      </c>
    </row>
    <row r="155" spans="44:45" x14ac:dyDescent="0.25">
      <c r="AR155" s="11">
        <v>0.50500000000000023</v>
      </c>
      <c r="AS155" s="7">
        <v>8.6602540378443865E-3</v>
      </c>
    </row>
    <row r="156" spans="44:45" x14ac:dyDescent="0.25">
      <c r="AR156" s="11">
        <v>0.51500000000000024</v>
      </c>
      <c r="AS156" s="7">
        <v>8.6602540378443865E-3</v>
      </c>
    </row>
    <row r="157" spans="44:45" x14ac:dyDescent="0.25">
      <c r="AR157" s="11">
        <v>0.52500000000000024</v>
      </c>
      <c r="AS157" s="7">
        <v>8.6602540378443865E-3</v>
      </c>
    </row>
    <row r="158" spans="44:45" x14ac:dyDescent="0.25">
      <c r="AR158" s="11">
        <v>0.53500000000000025</v>
      </c>
      <c r="AS158" s="7">
        <v>8.6602540378443865E-3</v>
      </c>
    </row>
    <row r="159" spans="44:45" x14ac:dyDescent="0.25">
      <c r="AR159" s="11">
        <v>0.54500000000000026</v>
      </c>
      <c r="AS159" s="7">
        <v>8.6602540378443865E-3</v>
      </c>
    </row>
    <row r="160" spans="44:45" x14ac:dyDescent="0.25">
      <c r="AR160" s="11">
        <v>0.55500000000000027</v>
      </c>
      <c r="AS160" s="7">
        <v>8.6602540378443865E-3</v>
      </c>
    </row>
    <row r="161" spans="44:45" x14ac:dyDescent="0.25">
      <c r="AR161" s="11">
        <v>0.56500000000000028</v>
      </c>
      <c r="AS161" s="7">
        <v>8.6602540378443865E-3</v>
      </c>
    </row>
    <row r="162" spans="44:45" x14ac:dyDescent="0.25">
      <c r="AR162" s="11">
        <v>0.57500000000000029</v>
      </c>
      <c r="AS162" s="7">
        <v>8.6602540378443865E-3</v>
      </c>
    </row>
    <row r="163" spans="44:45" x14ac:dyDescent="0.25">
      <c r="AR163" s="11">
        <v>0.5850000000000003</v>
      </c>
      <c r="AS163" s="7">
        <v>8.6602540378443865E-3</v>
      </c>
    </row>
    <row r="164" spans="44:45" x14ac:dyDescent="0.25">
      <c r="AR164" s="11">
        <v>0.59500000000000031</v>
      </c>
      <c r="AS164" s="7">
        <v>8.6602540378443865E-3</v>
      </c>
    </row>
    <row r="165" spans="44:45" x14ac:dyDescent="0.25">
      <c r="AR165" s="11">
        <v>0.60500000000000032</v>
      </c>
      <c r="AS165" s="7">
        <v>8.6602540378443865E-3</v>
      </c>
    </row>
    <row r="166" spans="44:45" x14ac:dyDescent="0.25">
      <c r="AR166" s="11">
        <v>0.61500000000000032</v>
      </c>
      <c r="AS166" s="7">
        <v>8.6602540378443865E-3</v>
      </c>
    </row>
    <row r="167" spans="44:45" x14ac:dyDescent="0.25">
      <c r="AR167" s="11">
        <v>0.62500000000000033</v>
      </c>
      <c r="AS167" s="7">
        <v>8.6602540378443865E-3</v>
      </c>
    </row>
    <row r="168" spans="44:45" x14ac:dyDescent="0.25">
      <c r="AR168" s="11">
        <v>0.63500000000000034</v>
      </c>
      <c r="AS168" s="7">
        <v>8.6602540378443865E-3</v>
      </c>
    </row>
    <row r="169" spans="44:45" x14ac:dyDescent="0.25">
      <c r="AR169" s="11">
        <v>0.64500000000000035</v>
      </c>
      <c r="AS169" s="7">
        <v>8.6602540378443865E-3</v>
      </c>
    </row>
    <row r="170" spans="44:45" x14ac:dyDescent="0.25">
      <c r="AR170" s="11">
        <v>0.65500000000000036</v>
      </c>
      <c r="AS170" s="7">
        <v>8.6602540378443865E-3</v>
      </c>
    </row>
    <row r="171" spans="44:45" x14ac:dyDescent="0.25">
      <c r="AR171" s="11">
        <v>0.66500000000000037</v>
      </c>
      <c r="AS171" s="7">
        <v>8.6602540378443865E-3</v>
      </c>
    </row>
    <row r="172" spans="44:45" x14ac:dyDescent="0.25">
      <c r="AR172" s="11">
        <v>0.67500000000000038</v>
      </c>
      <c r="AS172" s="7">
        <v>8.6602540378443865E-3</v>
      </c>
    </row>
    <row r="173" spans="44:45" x14ac:dyDescent="0.25">
      <c r="AR173" s="11">
        <v>0.68500000000000039</v>
      </c>
      <c r="AS173" s="7">
        <v>8.6602540378443865E-3</v>
      </c>
    </row>
    <row r="174" spans="44:45" x14ac:dyDescent="0.25">
      <c r="AR174" s="11">
        <v>0.6950000000000004</v>
      </c>
      <c r="AS174" s="7">
        <v>8.6602540378443865E-3</v>
      </c>
    </row>
    <row r="175" spans="44:45" x14ac:dyDescent="0.25">
      <c r="AR175" s="11">
        <v>0.7050000000000004</v>
      </c>
      <c r="AS175" s="7">
        <v>8.6602540378443865E-3</v>
      </c>
    </row>
    <row r="176" spans="44:45" x14ac:dyDescent="0.25">
      <c r="AR176" s="11">
        <v>0.71500000000000041</v>
      </c>
      <c r="AS176" s="7">
        <v>8.6602540378443865E-3</v>
      </c>
    </row>
    <row r="177" spans="44:45" x14ac:dyDescent="0.25">
      <c r="AR177" s="11">
        <v>0.72500000000000042</v>
      </c>
      <c r="AS177" s="7">
        <v>8.6602540378443865E-3</v>
      </c>
    </row>
    <row r="178" spans="44:45" x14ac:dyDescent="0.25">
      <c r="AR178" s="11">
        <v>0.73500000000000043</v>
      </c>
      <c r="AS178" s="7">
        <v>8.6602540378443865E-3</v>
      </c>
    </row>
    <row r="179" spans="44:45" x14ac:dyDescent="0.25">
      <c r="AR179" s="11">
        <v>0.74500000000000044</v>
      </c>
      <c r="AS179" s="7">
        <v>8.6602540378443865E-3</v>
      </c>
    </row>
    <row r="180" spans="44:45" x14ac:dyDescent="0.25">
      <c r="AR180" s="11">
        <v>0.75500000000000045</v>
      </c>
      <c r="AS180" s="7">
        <v>8.6602540378443865E-3</v>
      </c>
    </row>
    <row r="181" spans="44:45" x14ac:dyDescent="0.25">
      <c r="AR181" s="11">
        <v>0.76500000000000046</v>
      </c>
      <c r="AS181" s="7">
        <v>8.6602540378443865E-3</v>
      </c>
    </row>
    <row r="182" spans="44:45" x14ac:dyDescent="0.25">
      <c r="AR182" s="11">
        <v>0.77500000000000047</v>
      </c>
      <c r="AS182" s="7">
        <v>8.6602540378443865E-3</v>
      </c>
    </row>
    <row r="183" spans="44:45" x14ac:dyDescent="0.25">
      <c r="AR183" s="11">
        <v>0.78500000000000048</v>
      </c>
      <c r="AS183" s="7">
        <v>8.6602540378443865E-3</v>
      </c>
    </row>
    <row r="184" spans="44:45" x14ac:dyDescent="0.25">
      <c r="AR184" s="11">
        <v>0.79500000000000048</v>
      </c>
      <c r="AS184" s="7">
        <v>8.6602540378443865E-3</v>
      </c>
    </row>
    <row r="185" spans="44:45" x14ac:dyDescent="0.25">
      <c r="AR185" s="11">
        <v>0.80500000000000049</v>
      </c>
      <c r="AS185" s="7">
        <v>8.6602540378443865E-3</v>
      </c>
    </row>
    <row r="186" spans="44:45" x14ac:dyDescent="0.25">
      <c r="AR186" s="11">
        <v>0.8150000000000005</v>
      </c>
      <c r="AS186" s="7">
        <v>8.6602540378443865E-3</v>
      </c>
    </row>
    <row r="187" spans="44:45" x14ac:dyDescent="0.25">
      <c r="AR187" s="11">
        <v>0.82500000000000051</v>
      </c>
      <c r="AS187" s="7">
        <v>8.6602540378443865E-3</v>
      </c>
    </row>
    <row r="188" spans="44:45" x14ac:dyDescent="0.25">
      <c r="AR188" s="11">
        <v>0.83500000000000052</v>
      </c>
      <c r="AS188" s="7">
        <v>8.6602540378443865E-3</v>
      </c>
    </row>
    <row r="189" spans="44:45" x14ac:dyDescent="0.25">
      <c r="AR189" s="11">
        <v>0.84500000000000053</v>
      </c>
      <c r="AS189" s="7">
        <v>8.6602540378443865E-3</v>
      </c>
    </row>
    <row r="190" spans="44:45" x14ac:dyDescent="0.25">
      <c r="AR190" s="11">
        <v>0.85500000000000054</v>
      </c>
      <c r="AS190" s="7">
        <v>8.6602540378443865E-3</v>
      </c>
    </row>
    <row r="191" spans="44:45" x14ac:dyDescent="0.25">
      <c r="AR191" s="11">
        <v>0.86500000000000055</v>
      </c>
      <c r="AS191" s="7">
        <v>8.6602540378443865E-3</v>
      </c>
    </row>
    <row r="192" spans="44:45" x14ac:dyDescent="0.25">
      <c r="AR192" s="11">
        <v>0.87500000000000056</v>
      </c>
      <c r="AS192" s="7">
        <v>8.6602540378443865E-3</v>
      </c>
    </row>
    <row r="193" spans="44:45" x14ac:dyDescent="0.25">
      <c r="AR193" s="11">
        <v>0.88500000000000056</v>
      </c>
      <c r="AS193" s="7">
        <v>8.6602540378443865E-3</v>
      </c>
    </row>
    <row r="194" spans="44:45" x14ac:dyDescent="0.25">
      <c r="AR194" s="11">
        <v>0.89500000000000057</v>
      </c>
      <c r="AS194" s="7">
        <v>8.6602540378443865E-3</v>
      </c>
    </row>
    <row r="195" spans="44:45" x14ac:dyDescent="0.25">
      <c r="AR195" s="11">
        <v>0.90500000000000058</v>
      </c>
      <c r="AS195" s="7">
        <v>8.6602540378443865E-3</v>
      </c>
    </row>
    <row r="196" spans="44:45" x14ac:dyDescent="0.25">
      <c r="AR196" s="11">
        <v>0.91500000000000059</v>
      </c>
      <c r="AS196" s="7">
        <v>8.6602540378443865E-3</v>
      </c>
    </row>
    <row r="197" spans="44:45" x14ac:dyDescent="0.25">
      <c r="AR197" s="11">
        <v>0.9250000000000006</v>
      </c>
      <c r="AS197" s="7">
        <v>8.6602540378443865E-3</v>
      </c>
    </row>
    <row r="198" spans="44:45" x14ac:dyDescent="0.25">
      <c r="AR198" s="11">
        <v>0.93500000000000061</v>
      </c>
      <c r="AS198" s="7">
        <v>8.6602540378443865E-3</v>
      </c>
    </row>
    <row r="199" spans="44:45" x14ac:dyDescent="0.25">
      <c r="AR199" s="11">
        <v>0.94500000000000062</v>
      </c>
      <c r="AS199" s="7">
        <v>8.6602540378443865E-3</v>
      </c>
    </row>
    <row r="200" spans="44:45" x14ac:dyDescent="0.25">
      <c r="AR200" s="11">
        <v>0.95500000000000063</v>
      </c>
      <c r="AS200" s="7">
        <v>8.6602540378443865E-3</v>
      </c>
    </row>
    <row r="201" spans="44:45" x14ac:dyDescent="0.25">
      <c r="AR201" s="11">
        <v>0.96500000000000064</v>
      </c>
      <c r="AS201" s="7">
        <v>8.6602540378443865E-3</v>
      </c>
    </row>
    <row r="202" spans="44:45" x14ac:dyDescent="0.25">
      <c r="AR202" s="11">
        <v>0.97500000000000064</v>
      </c>
      <c r="AS202" s="7">
        <v>8.6602540378443865E-3</v>
      </c>
    </row>
    <row r="203" spans="44:45" x14ac:dyDescent="0.25">
      <c r="AR203" s="11">
        <v>0.98500000000000065</v>
      </c>
      <c r="AS203" s="7">
        <v>8.6602540378443865E-3</v>
      </c>
    </row>
    <row r="204" spans="44:45" x14ac:dyDescent="0.25">
      <c r="AR204" s="11">
        <v>0.99500000000000066</v>
      </c>
      <c r="AS204" s="7">
        <v>8.6602540378443865E-3</v>
      </c>
    </row>
    <row r="205" spans="44:45" x14ac:dyDescent="0.25">
      <c r="AR205" s="11"/>
      <c r="AS205" s="7"/>
    </row>
    <row r="206" spans="44:45" x14ac:dyDescent="0.25">
      <c r="AR206" s="11">
        <v>0.01</v>
      </c>
      <c r="AS206" s="7">
        <v>1.7320508075688773E-2</v>
      </c>
    </row>
    <row r="207" spans="44:45" x14ac:dyDescent="0.25">
      <c r="AR207" s="11">
        <v>0.02</v>
      </c>
      <c r="AS207" s="7">
        <v>1.7320508075688773E-2</v>
      </c>
    </row>
    <row r="208" spans="44:45" x14ac:dyDescent="0.25">
      <c r="AR208" s="11">
        <v>0.03</v>
      </c>
      <c r="AS208" s="7">
        <v>1.7320508075688773E-2</v>
      </c>
    </row>
    <row r="209" spans="44:45" x14ac:dyDescent="0.25">
      <c r="AR209" s="11">
        <v>0.04</v>
      </c>
      <c r="AS209" s="7">
        <v>1.7320508075688773E-2</v>
      </c>
    </row>
    <row r="210" spans="44:45" x14ac:dyDescent="0.25">
      <c r="AR210" s="11">
        <v>0.05</v>
      </c>
      <c r="AS210" s="7">
        <v>1.7320508075688773E-2</v>
      </c>
    </row>
    <row r="211" spans="44:45" x14ac:dyDescent="0.25">
      <c r="AR211" s="11">
        <v>6.0000000000000005E-2</v>
      </c>
      <c r="AS211" s="7">
        <v>1.7320508075688773E-2</v>
      </c>
    </row>
    <row r="212" spans="44:45" x14ac:dyDescent="0.25">
      <c r="AR212" s="11">
        <v>7.0000000000000007E-2</v>
      </c>
      <c r="AS212" s="7">
        <v>1.7320508075688773E-2</v>
      </c>
    </row>
    <row r="213" spans="44:45" x14ac:dyDescent="0.25">
      <c r="AR213" s="11">
        <v>0.08</v>
      </c>
      <c r="AS213" s="7">
        <v>1.7320508075688773E-2</v>
      </c>
    </row>
    <row r="214" spans="44:45" x14ac:dyDescent="0.25">
      <c r="AR214" s="11">
        <v>0.09</v>
      </c>
      <c r="AS214" s="7">
        <v>1.7320508075688773E-2</v>
      </c>
    </row>
    <row r="215" spans="44:45" x14ac:dyDescent="0.25">
      <c r="AR215" s="11">
        <v>9.9999999999999992E-2</v>
      </c>
      <c r="AS215" s="7">
        <v>1.7320508075688773E-2</v>
      </c>
    </row>
    <row r="216" spans="44:45" x14ac:dyDescent="0.25">
      <c r="AR216" s="11">
        <v>0.10999999999999999</v>
      </c>
      <c r="AS216" s="7">
        <v>1.7320508075688773E-2</v>
      </c>
    </row>
    <row r="217" spans="44:45" x14ac:dyDescent="0.25">
      <c r="AR217" s="11">
        <v>0.11999999999999998</v>
      </c>
      <c r="AS217" s="7">
        <v>1.7320508075688773E-2</v>
      </c>
    </row>
    <row r="218" spans="44:45" x14ac:dyDescent="0.25">
      <c r="AR218" s="11">
        <v>0.12999999999999998</v>
      </c>
      <c r="AS218" s="7">
        <v>1.7320508075688773E-2</v>
      </c>
    </row>
    <row r="219" spans="44:45" x14ac:dyDescent="0.25">
      <c r="AR219" s="11">
        <v>0.13999999999999999</v>
      </c>
      <c r="AS219" s="7">
        <v>1.7320508075688773E-2</v>
      </c>
    </row>
    <row r="220" spans="44:45" x14ac:dyDescent="0.25">
      <c r="AR220" s="11">
        <v>0.15</v>
      </c>
      <c r="AS220" s="7">
        <v>1.7320508075688773E-2</v>
      </c>
    </row>
    <row r="221" spans="44:45" x14ac:dyDescent="0.25">
      <c r="AR221" s="11">
        <v>0.16</v>
      </c>
      <c r="AS221" s="7">
        <v>1.7320508075688773E-2</v>
      </c>
    </row>
    <row r="222" spans="44:45" x14ac:dyDescent="0.25">
      <c r="AR222" s="11">
        <v>0.17</v>
      </c>
      <c r="AS222" s="7">
        <v>1.7320508075688773E-2</v>
      </c>
    </row>
    <row r="223" spans="44:45" x14ac:dyDescent="0.25">
      <c r="AR223" s="11">
        <v>0.18000000000000002</v>
      </c>
      <c r="AS223" s="7">
        <v>1.7320508075688773E-2</v>
      </c>
    </row>
    <row r="224" spans="44:45" x14ac:dyDescent="0.25">
      <c r="AR224" s="11">
        <v>0.19000000000000003</v>
      </c>
      <c r="AS224" s="7">
        <v>1.7320508075688773E-2</v>
      </c>
    </row>
    <row r="225" spans="44:45" x14ac:dyDescent="0.25">
      <c r="AR225" s="11">
        <v>0.20000000000000004</v>
      </c>
      <c r="AS225" s="7">
        <v>1.7320508075688773E-2</v>
      </c>
    </row>
    <row r="226" spans="44:45" x14ac:dyDescent="0.25">
      <c r="AR226" s="11">
        <v>0.21000000000000005</v>
      </c>
      <c r="AS226" s="7">
        <v>1.7320508075688773E-2</v>
      </c>
    </row>
    <row r="227" spans="44:45" x14ac:dyDescent="0.25">
      <c r="AR227" s="11">
        <v>0.22000000000000006</v>
      </c>
      <c r="AS227" s="7">
        <v>1.7320508075688773E-2</v>
      </c>
    </row>
    <row r="228" spans="44:45" x14ac:dyDescent="0.25">
      <c r="AR228" s="11">
        <v>0.23000000000000007</v>
      </c>
      <c r="AS228" s="7">
        <v>1.7320508075688773E-2</v>
      </c>
    </row>
    <row r="229" spans="44:45" x14ac:dyDescent="0.25">
      <c r="AR229" s="11">
        <v>0.24000000000000007</v>
      </c>
      <c r="AS229" s="7">
        <v>1.7320508075688773E-2</v>
      </c>
    </row>
    <row r="230" spans="44:45" x14ac:dyDescent="0.25">
      <c r="AR230" s="11">
        <v>0.25000000000000006</v>
      </c>
      <c r="AS230" s="7">
        <v>1.7320508075688773E-2</v>
      </c>
    </row>
    <row r="231" spans="44:45" x14ac:dyDescent="0.25">
      <c r="AR231" s="11">
        <v>0.26000000000000006</v>
      </c>
      <c r="AS231" s="7">
        <v>1.7320508075688773E-2</v>
      </c>
    </row>
    <row r="232" spans="44:45" x14ac:dyDescent="0.25">
      <c r="AR232" s="11">
        <v>0.27000000000000007</v>
      </c>
      <c r="AS232" s="7">
        <v>1.7320508075688773E-2</v>
      </c>
    </row>
    <row r="233" spans="44:45" x14ac:dyDescent="0.25">
      <c r="AR233" s="11">
        <v>0.28000000000000008</v>
      </c>
      <c r="AS233" s="7">
        <v>1.7320508075688773E-2</v>
      </c>
    </row>
    <row r="234" spans="44:45" x14ac:dyDescent="0.25">
      <c r="AR234" s="11">
        <v>0.29000000000000009</v>
      </c>
      <c r="AS234" s="7">
        <v>1.7320508075688773E-2</v>
      </c>
    </row>
    <row r="235" spans="44:45" x14ac:dyDescent="0.25">
      <c r="AR235" s="11">
        <v>0.3000000000000001</v>
      </c>
      <c r="AS235" s="7">
        <v>1.7320508075688773E-2</v>
      </c>
    </row>
    <row r="236" spans="44:45" x14ac:dyDescent="0.25">
      <c r="AR236" s="11">
        <v>0.31000000000000011</v>
      </c>
      <c r="AS236" s="7">
        <v>1.7320508075688773E-2</v>
      </c>
    </row>
    <row r="237" spans="44:45" x14ac:dyDescent="0.25">
      <c r="AR237" s="11">
        <v>0.32000000000000012</v>
      </c>
      <c r="AS237" s="7">
        <v>1.7320508075688773E-2</v>
      </c>
    </row>
    <row r="238" spans="44:45" x14ac:dyDescent="0.25">
      <c r="AR238" s="11">
        <v>0.33000000000000013</v>
      </c>
      <c r="AS238" s="7">
        <v>1.7320508075688773E-2</v>
      </c>
    </row>
    <row r="239" spans="44:45" x14ac:dyDescent="0.25">
      <c r="AR239" s="11">
        <v>0.34000000000000014</v>
      </c>
      <c r="AS239" s="7">
        <v>1.7320508075688773E-2</v>
      </c>
    </row>
    <row r="240" spans="44:45" x14ac:dyDescent="0.25">
      <c r="AR240" s="11">
        <v>0.35000000000000014</v>
      </c>
      <c r="AS240" s="7">
        <v>1.7320508075688773E-2</v>
      </c>
    </row>
    <row r="241" spans="44:45" x14ac:dyDescent="0.25">
      <c r="AR241" s="11">
        <v>0.36000000000000015</v>
      </c>
      <c r="AS241" s="7">
        <v>1.7320508075688773E-2</v>
      </c>
    </row>
    <row r="242" spans="44:45" x14ac:dyDescent="0.25">
      <c r="AR242" s="11">
        <v>0.37000000000000016</v>
      </c>
      <c r="AS242" s="7">
        <v>1.7320508075688773E-2</v>
      </c>
    </row>
    <row r="243" spans="44:45" x14ac:dyDescent="0.25">
      <c r="AR243" s="11">
        <v>0.38000000000000017</v>
      </c>
      <c r="AS243" s="7">
        <v>1.7320508075688773E-2</v>
      </c>
    </row>
    <row r="244" spans="44:45" x14ac:dyDescent="0.25">
      <c r="AR244" s="11">
        <v>0.39000000000000018</v>
      </c>
      <c r="AS244" s="7">
        <v>1.7320508075688773E-2</v>
      </c>
    </row>
    <row r="245" spans="44:45" x14ac:dyDescent="0.25">
      <c r="AR245" s="11">
        <v>0.40000000000000019</v>
      </c>
      <c r="AS245" s="7">
        <v>1.7320508075688773E-2</v>
      </c>
    </row>
    <row r="246" spans="44:45" x14ac:dyDescent="0.25">
      <c r="AR246" s="11">
        <v>0.4100000000000002</v>
      </c>
      <c r="AS246" s="7">
        <v>1.7320508075688773E-2</v>
      </c>
    </row>
    <row r="247" spans="44:45" x14ac:dyDescent="0.25">
      <c r="AR247" s="11">
        <v>0.42000000000000021</v>
      </c>
      <c r="AS247" s="7">
        <v>1.7320508075688773E-2</v>
      </c>
    </row>
    <row r="248" spans="44:45" x14ac:dyDescent="0.25">
      <c r="AR248" s="11">
        <v>0.43000000000000022</v>
      </c>
      <c r="AS248" s="7">
        <v>1.7320508075688773E-2</v>
      </c>
    </row>
    <row r="249" spans="44:45" x14ac:dyDescent="0.25">
      <c r="AR249" s="11">
        <v>0.44000000000000022</v>
      </c>
      <c r="AS249" s="7">
        <v>1.7320508075688773E-2</v>
      </c>
    </row>
    <row r="250" spans="44:45" x14ac:dyDescent="0.25">
      <c r="AR250" s="11">
        <v>0.45000000000000023</v>
      </c>
      <c r="AS250" s="7">
        <v>1.7320508075688773E-2</v>
      </c>
    </row>
    <row r="251" spans="44:45" x14ac:dyDescent="0.25">
      <c r="AR251" s="11">
        <v>0.46000000000000024</v>
      </c>
      <c r="AS251" s="7">
        <v>1.7320508075688773E-2</v>
      </c>
    </row>
    <row r="252" spans="44:45" x14ac:dyDescent="0.25">
      <c r="AR252" s="11">
        <v>0.47000000000000025</v>
      </c>
      <c r="AS252" s="7">
        <v>1.7320508075688773E-2</v>
      </c>
    </row>
    <row r="253" spans="44:45" x14ac:dyDescent="0.25">
      <c r="AR253" s="11">
        <v>0.48000000000000026</v>
      </c>
      <c r="AS253" s="7">
        <v>1.7320508075688773E-2</v>
      </c>
    </row>
    <row r="254" spans="44:45" x14ac:dyDescent="0.25">
      <c r="AR254" s="11">
        <v>0.49000000000000027</v>
      </c>
      <c r="AS254" s="7">
        <v>1.7320508075688773E-2</v>
      </c>
    </row>
    <row r="255" spans="44:45" x14ac:dyDescent="0.25">
      <c r="AR255" s="11">
        <v>0.50000000000000022</v>
      </c>
      <c r="AS255" s="7">
        <v>1.7320508075688773E-2</v>
      </c>
    </row>
    <row r="256" spans="44:45" x14ac:dyDescent="0.25">
      <c r="AR256" s="11">
        <v>0.51000000000000023</v>
      </c>
      <c r="AS256" s="7">
        <v>1.7320508075688773E-2</v>
      </c>
    </row>
    <row r="257" spans="44:45" x14ac:dyDescent="0.25">
      <c r="AR257" s="11">
        <v>0.52000000000000024</v>
      </c>
      <c r="AS257" s="7">
        <v>1.7320508075688773E-2</v>
      </c>
    </row>
    <row r="258" spans="44:45" x14ac:dyDescent="0.25">
      <c r="AR258" s="11">
        <v>0.53000000000000025</v>
      </c>
      <c r="AS258" s="7">
        <v>1.7320508075688773E-2</v>
      </c>
    </row>
    <row r="259" spans="44:45" x14ac:dyDescent="0.25">
      <c r="AR259" s="11">
        <v>0.54000000000000026</v>
      </c>
      <c r="AS259" s="7">
        <v>1.7320508075688773E-2</v>
      </c>
    </row>
    <row r="260" spans="44:45" x14ac:dyDescent="0.25">
      <c r="AR260" s="11">
        <v>0.55000000000000027</v>
      </c>
      <c r="AS260" s="7">
        <v>1.7320508075688773E-2</v>
      </c>
    </row>
    <row r="261" spans="44:45" x14ac:dyDescent="0.25">
      <c r="AR261" s="11">
        <v>0.56000000000000028</v>
      </c>
      <c r="AS261" s="7">
        <v>1.7320508075688773E-2</v>
      </c>
    </row>
    <row r="262" spans="44:45" x14ac:dyDescent="0.25">
      <c r="AR262" s="11">
        <v>0.57000000000000028</v>
      </c>
      <c r="AS262" s="7">
        <v>1.7320508075688773E-2</v>
      </c>
    </row>
    <row r="263" spans="44:45" x14ac:dyDescent="0.25">
      <c r="AR263" s="11">
        <v>0.58000000000000029</v>
      </c>
      <c r="AS263" s="7">
        <v>1.7320508075688773E-2</v>
      </c>
    </row>
    <row r="264" spans="44:45" x14ac:dyDescent="0.25">
      <c r="AR264" s="11">
        <v>0.5900000000000003</v>
      </c>
      <c r="AS264" s="7">
        <v>1.7320508075688773E-2</v>
      </c>
    </row>
    <row r="265" spans="44:45" x14ac:dyDescent="0.25">
      <c r="AR265" s="11">
        <v>0.60000000000000031</v>
      </c>
      <c r="AS265" s="7">
        <v>1.7320508075688773E-2</v>
      </c>
    </row>
    <row r="266" spans="44:45" x14ac:dyDescent="0.25">
      <c r="AR266" s="11">
        <v>0.61000000000000032</v>
      </c>
      <c r="AS266" s="7">
        <v>1.7320508075688773E-2</v>
      </c>
    </row>
    <row r="267" spans="44:45" x14ac:dyDescent="0.25">
      <c r="AR267" s="11">
        <v>0.62000000000000033</v>
      </c>
      <c r="AS267" s="7">
        <v>1.7320508075688773E-2</v>
      </c>
    </row>
    <row r="268" spans="44:45" x14ac:dyDescent="0.25">
      <c r="AR268" s="11">
        <v>0.63000000000000034</v>
      </c>
      <c r="AS268" s="7">
        <v>1.7320508075688773E-2</v>
      </c>
    </row>
    <row r="269" spans="44:45" x14ac:dyDescent="0.25">
      <c r="AR269" s="11">
        <v>0.64000000000000035</v>
      </c>
      <c r="AS269" s="7">
        <v>1.7320508075688773E-2</v>
      </c>
    </row>
    <row r="270" spans="44:45" x14ac:dyDescent="0.25">
      <c r="AR270" s="11">
        <v>0.65000000000000036</v>
      </c>
      <c r="AS270" s="7">
        <v>1.7320508075688773E-2</v>
      </c>
    </row>
    <row r="271" spans="44:45" x14ac:dyDescent="0.25">
      <c r="AR271" s="11">
        <v>0.66000000000000036</v>
      </c>
      <c r="AS271" s="7">
        <v>1.7320508075688773E-2</v>
      </c>
    </row>
    <row r="272" spans="44:45" x14ac:dyDescent="0.25">
      <c r="AR272" s="11">
        <v>0.67000000000000037</v>
      </c>
      <c r="AS272" s="7">
        <v>1.7320508075688773E-2</v>
      </c>
    </row>
    <row r="273" spans="44:45" x14ac:dyDescent="0.25">
      <c r="AR273" s="11">
        <v>0.68000000000000038</v>
      </c>
      <c r="AS273" s="7">
        <v>1.7320508075688773E-2</v>
      </c>
    </row>
    <row r="274" spans="44:45" x14ac:dyDescent="0.25">
      <c r="AR274" s="11">
        <v>0.69000000000000039</v>
      </c>
      <c r="AS274" s="7">
        <v>1.7320508075688773E-2</v>
      </c>
    </row>
    <row r="275" spans="44:45" x14ac:dyDescent="0.25">
      <c r="AR275" s="11">
        <v>0.7000000000000004</v>
      </c>
      <c r="AS275" s="7">
        <v>1.7320508075688773E-2</v>
      </c>
    </row>
    <row r="276" spans="44:45" x14ac:dyDescent="0.25">
      <c r="AR276" s="11">
        <v>0.71000000000000041</v>
      </c>
      <c r="AS276" s="7">
        <v>1.7320508075688773E-2</v>
      </c>
    </row>
    <row r="277" spans="44:45" x14ac:dyDescent="0.25">
      <c r="AR277" s="11">
        <v>0.72000000000000042</v>
      </c>
      <c r="AS277" s="7">
        <v>1.7320508075688773E-2</v>
      </c>
    </row>
    <row r="278" spans="44:45" x14ac:dyDescent="0.25">
      <c r="AR278" s="11">
        <v>0.73000000000000043</v>
      </c>
      <c r="AS278" s="7">
        <v>1.7320508075688773E-2</v>
      </c>
    </row>
    <row r="279" spans="44:45" x14ac:dyDescent="0.25">
      <c r="AR279" s="11">
        <v>0.74000000000000044</v>
      </c>
      <c r="AS279" s="7">
        <v>1.7320508075688773E-2</v>
      </c>
    </row>
    <row r="280" spans="44:45" x14ac:dyDescent="0.25">
      <c r="AR280" s="11">
        <v>0.75000000000000044</v>
      </c>
      <c r="AS280" s="7">
        <v>1.7320508075688773E-2</v>
      </c>
    </row>
    <row r="281" spans="44:45" x14ac:dyDescent="0.25">
      <c r="AR281" s="11">
        <v>0.76000000000000045</v>
      </c>
      <c r="AS281" s="7">
        <v>1.7320508075688773E-2</v>
      </c>
    </row>
    <row r="282" spans="44:45" x14ac:dyDescent="0.25">
      <c r="AR282" s="11">
        <v>0.77000000000000046</v>
      </c>
      <c r="AS282" s="7">
        <v>1.7320508075688773E-2</v>
      </c>
    </row>
    <row r="283" spans="44:45" x14ac:dyDescent="0.25">
      <c r="AR283" s="11">
        <v>0.78000000000000047</v>
      </c>
      <c r="AS283" s="7">
        <v>1.7320508075688773E-2</v>
      </c>
    </row>
    <row r="284" spans="44:45" x14ac:dyDescent="0.25">
      <c r="AR284" s="11">
        <v>0.79000000000000048</v>
      </c>
      <c r="AS284" s="7">
        <v>1.7320508075688773E-2</v>
      </c>
    </row>
    <row r="285" spans="44:45" x14ac:dyDescent="0.25">
      <c r="AR285" s="11">
        <v>0.80000000000000049</v>
      </c>
      <c r="AS285" s="7">
        <v>1.7320508075688773E-2</v>
      </c>
    </row>
    <row r="286" spans="44:45" x14ac:dyDescent="0.25">
      <c r="AR286" s="11">
        <v>0.8100000000000005</v>
      </c>
      <c r="AS286" s="7">
        <v>1.7320508075688773E-2</v>
      </c>
    </row>
    <row r="287" spans="44:45" x14ac:dyDescent="0.25">
      <c r="AR287" s="11">
        <v>0.82000000000000051</v>
      </c>
      <c r="AS287" s="7">
        <v>1.7320508075688773E-2</v>
      </c>
    </row>
    <row r="288" spans="44:45" x14ac:dyDescent="0.25">
      <c r="AR288" s="11">
        <v>0.83000000000000052</v>
      </c>
      <c r="AS288" s="7">
        <v>1.7320508075688773E-2</v>
      </c>
    </row>
    <row r="289" spans="44:45" x14ac:dyDescent="0.25">
      <c r="AR289" s="11">
        <v>0.84000000000000052</v>
      </c>
      <c r="AS289" s="7">
        <v>1.7320508075688773E-2</v>
      </c>
    </row>
    <row r="290" spans="44:45" x14ac:dyDescent="0.25">
      <c r="AR290" s="11">
        <v>0.85000000000000053</v>
      </c>
      <c r="AS290" s="7">
        <v>1.7320508075688773E-2</v>
      </c>
    </row>
    <row r="291" spans="44:45" x14ac:dyDescent="0.25">
      <c r="AR291" s="11">
        <v>0.86000000000000054</v>
      </c>
      <c r="AS291" s="7">
        <v>1.7320508075688773E-2</v>
      </c>
    </row>
    <row r="292" spans="44:45" x14ac:dyDescent="0.25">
      <c r="AR292" s="11">
        <v>0.87000000000000055</v>
      </c>
      <c r="AS292" s="7">
        <v>1.7320508075688773E-2</v>
      </c>
    </row>
    <row r="293" spans="44:45" x14ac:dyDescent="0.25">
      <c r="AR293" s="11">
        <v>0.88000000000000056</v>
      </c>
      <c r="AS293" s="7">
        <v>1.7320508075688773E-2</v>
      </c>
    </row>
    <row r="294" spans="44:45" x14ac:dyDescent="0.25">
      <c r="AR294" s="11">
        <v>0.89000000000000057</v>
      </c>
      <c r="AS294" s="7">
        <v>1.7320508075688773E-2</v>
      </c>
    </row>
    <row r="295" spans="44:45" x14ac:dyDescent="0.25">
      <c r="AR295" s="11">
        <v>0.90000000000000058</v>
      </c>
      <c r="AS295" s="7">
        <v>1.7320508075688773E-2</v>
      </c>
    </row>
    <row r="296" spans="44:45" x14ac:dyDescent="0.25">
      <c r="AR296" s="11">
        <v>0.91000000000000059</v>
      </c>
      <c r="AS296" s="7">
        <v>1.7320508075688773E-2</v>
      </c>
    </row>
    <row r="297" spans="44:45" x14ac:dyDescent="0.25">
      <c r="AR297" s="11">
        <v>0.9200000000000006</v>
      </c>
      <c r="AS297" s="7">
        <v>1.7320508075688773E-2</v>
      </c>
    </row>
    <row r="298" spans="44:45" x14ac:dyDescent="0.25">
      <c r="AR298" s="11">
        <v>0.9300000000000006</v>
      </c>
      <c r="AS298" s="7">
        <v>1.7320508075688773E-2</v>
      </c>
    </row>
    <row r="299" spans="44:45" x14ac:dyDescent="0.25">
      <c r="AR299" s="11">
        <v>0.94000000000000061</v>
      </c>
      <c r="AS299" s="7">
        <v>1.7320508075688773E-2</v>
      </c>
    </row>
    <row r="300" spans="44:45" x14ac:dyDescent="0.25">
      <c r="AR300" s="11">
        <v>0.95000000000000062</v>
      </c>
      <c r="AS300" s="7">
        <v>1.7320508075688773E-2</v>
      </c>
    </row>
    <row r="301" spans="44:45" x14ac:dyDescent="0.25">
      <c r="AR301" s="11">
        <v>0.96000000000000063</v>
      </c>
      <c r="AS301" s="7">
        <v>1.7320508075688773E-2</v>
      </c>
    </row>
    <row r="302" spans="44:45" x14ac:dyDescent="0.25">
      <c r="AR302" s="11">
        <v>0.97000000000000064</v>
      </c>
      <c r="AS302" s="7">
        <v>1.7320508075688773E-2</v>
      </c>
    </row>
    <row r="303" spans="44:45" x14ac:dyDescent="0.25">
      <c r="AR303" s="11">
        <v>0.98000000000000065</v>
      </c>
      <c r="AS303" s="7">
        <v>1.7320508075688773E-2</v>
      </c>
    </row>
    <row r="304" spans="44:45" x14ac:dyDescent="0.25">
      <c r="AR304" s="11">
        <v>0.99000000000000066</v>
      </c>
      <c r="AS304" s="7">
        <v>1.7320508075688773E-2</v>
      </c>
    </row>
    <row r="305" spans="44:45" x14ac:dyDescent="0.25">
      <c r="AR305" s="11"/>
      <c r="AS305" s="7"/>
    </row>
    <row r="306" spans="44:45" x14ac:dyDescent="0.25">
      <c r="AR306" s="11">
        <v>1.4999999999999999E-2</v>
      </c>
      <c r="AS306" s="7">
        <v>2.598076211353316E-2</v>
      </c>
    </row>
    <row r="307" spans="44:45" x14ac:dyDescent="0.25">
      <c r="AR307" s="11">
        <v>2.5000000000000001E-2</v>
      </c>
      <c r="AS307" s="7">
        <v>2.598076211353316E-2</v>
      </c>
    </row>
    <row r="308" spans="44:45" x14ac:dyDescent="0.25">
      <c r="AR308" s="11">
        <v>3.5000000000000003E-2</v>
      </c>
      <c r="AS308" s="7">
        <v>2.598076211353316E-2</v>
      </c>
    </row>
    <row r="309" spans="44:45" x14ac:dyDescent="0.25">
      <c r="AR309" s="11">
        <v>4.5000000000000005E-2</v>
      </c>
      <c r="AS309" s="7">
        <v>2.598076211353316E-2</v>
      </c>
    </row>
    <row r="310" spans="44:45" x14ac:dyDescent="0.25">
      <c r="AR310" s="11">
        <v>5.5000000000000007E-2</v>
      </c>
      <c r="AS310" s="7">
        <v>2.598076211353316E-2</v>
      </c>
    </row>
    <row r="311" spans="44:45" x14ac:dyDescent="0.25">
      <c r="AR311" s="11">
        <v>6.5000000000000002E-2</v>
      </c>
      <c r="AS311" s="7">
        <v>2.598076211353316E-2</v>
      </c>
    </row>
    <row r="312" spans="44:45" x14ac:dyDescent="0.25">
      <c r="AR312" s="11">
        <v>7.4999999999999997E-2</v>
      </c>
      <c r="AS312" s="7">
        <v>2.598076211353316E-2</v>
      </c>
    </row>
    <row r="313" spans="44:45" x14ac:dyDescent="0.25">
      <c r="AR313" s="11">
        <v>8.4999999999999992E-2</v>
      </c>
      <c r="AS313" s="7">
        <v>2.598076211353316E-2</v>
      </c>
    </row>
    <row r="314" spans="44:45" x14ac:dyDescent="0.25">
      <c r="AR314" s="11">
        <v>9.4999999999999987E-2</v>
      </c>
      <c r="AS314" s="7">
        <v>2.598076211353316E-2</v>
      </c>
    </row>
    <row r="315" spans="44:45" x14ac:dyDescent="0.25">
      <c r="AR315" s="11">
        <v>0.10499999999999998</v>
      </c>
      <c r="AS315" s="7">
        <v>2.598076211353316E-2</v>
      </c>
    </row>
    <row r="316" spans="44:45" x14ac:dyDescent="0.25">
      <c r="AR316" s="11">
        <v>0.11499999999999998</v>
      </c>
      <c r="AS316" s="7">
        <v>2.598076211353316E-2</v>
      </c>
    </row>
    <row r="317" spans="44:45" x14ac:dyDescent="0.25">
      <c r="AR317" s="11">
        <v>0.12499999999999997</v>
      </c>
      <c r="AS317" s="7">
        <v>2.598076211353316E-2</v>
      </c>
    </row>
    <row r="318" spans="44:45" x14ac:dyDescent="0.25">
      <c r="AR318" s="11">
        <v>0.13499999999999998</v>
      </c>
      <c r="AS318" s="7">
        <v>2.598076211353316E-2</v>
      </c>
    </row>
    <row r="319" spans="44:45" x14ac:dyDescent="0.25">
      <c r="AR319" s="11">
        <v>0.14499999999999999</v>
      </c>
      <c r="AS319" s="7">
        <v>2.598076211353316E-2</v>
      </c>
    </row>
    <row r="320" spans="44:45" x14ac:dyDescent="0.25">
      <c r="AR320" s="11">
        <v>0.155</v>
      </c>
      <c r="AS320" s="7">
        <v>2.598076211353316E-2</v>
      </c>
    </row>
    <row r="321" spans="44:45" x14ac:dyDescent="0.25">
      <c r="AR321" s="11">
        <v>0.16500000000000001</v>
      </c>
      <c r="AS321" s="7">
        <v>2.598076211353316E-2</v>
      </c>
    </row>
    <row r="322" spans="44:45" x14ac:dyDescent="0.25">
      <c r="AR322" s="11">
        <v>0.17500000000000002</v>
      </c>
      <c r="AS322" s="7">
        <v>2.598076211353316E-2</v>
      </c>
    </row>
    <row r="323" spans="44:45" x14ac:dyDescent="0.25">
      <c r="AR323" s="11">
        <v>0.18500000000000003</v>
      </c>
      <c r="AS323" s="7">
        <v>2.598076211353316E-2</v>
      </c>
    </row>
    <row r="324" spans="44:45" x14ac:dyDescent="0.25">
      <c r="AR324" s="11">
        <v>0.19500000000000003</v>
      </c>
      <c r="AS324" s="7">
        <v>2.598076211353316E-2</v>
      </c>
    </row>
    <row r="325" spans="44:45" x14ac:dyDescent="0.25">
      <c r="AR325" s="11">
        <v>0.20500000000000004</v>
      </c>
      <c r="AS325" s="7">
        <v>2.598076211353316E-2</v>
      </c>
    </row>
    <row r="326" spans="44:45" x14ac:dyDescent="0.25">
      <c r="AR326" s="11">
        <v>0.21500000000000005</v>
      </c>
      <c r="AS326" s="7">
        <v>2.598076211353316E-2</v>
      </c>
    </row>
    <row r="327" spans="44:45" x14ac:dyDescent="0.25">
      <c r="AR327" s="11">
        <v>0.22500000000000006</v>
      </c>
      <c r="AS327" s="7">
        <v>2.598076211353316E-2</v>
      </c>
    </row>
    <row r="328" spans="44:45" x14ac:dyDescent="0.25">
      <c r="AR328" s="11">
        <v>0.23500000000000007</v>
      </c>
      <c r="AS328" s="7">
        <v>2.598076211353316E-2</v>
      </c>
    </row>
    <row r="329" spans="44:45" x14ac:dyDescent="0.25">
      <c r="AR329" s="11">
        <v>0.24500000000000008</v>
      </c>
      <c r="AS329" s="7">
        <v>2.598076211353316E-2</v>
      </c>
    </row>
    <row r="330" spans="44:45" x14ac:dyDescent="0.25">
      <c r="AR330" s="11">
        <v>0.25500000000000006</v>
      </c>
      <c r="AS330" s="7">
        <v>2.598076211353316E-2</v>
      </c>
    </row>
    <row r="331" spans="44:45" x14ac:dyDescent="0.25">
      <c r="AR331" s="11">
        <v>0.26500000000000007</v>
      </c>
      <c r="AS331" s="7">
        <v>2.598076211353316E-2</v>
      </c>
    </row>
    <row r="332" spans="44:45" x14ac:dyDescent="0.25">
      <c r="AR332" s="11">
        <v>0.27500000000000008</v>
      </c>
      <c r="AS332" s="7">
        <v>2.598076211353316E-2</v>
      </c>
    </row>
    <row r="333" spans="44:45" x14ac:dyDescent="0.25">
      <c r="AR333" s="11">
        <v>0.28500000000000009</v>
      </c>
      <c r="AS333" s="7">
        <v>2.598076211353316E-2</v>
      </c>
    </row>
    <row r="334" spans="44:45" x14ac:dyDescent="0.25">
      <c r="AR334" s="11">
        <v>0.2950000000000001</v>
      </c>
      <c r="AS334" s="7">
        <v>2.598076211353316E-2</v>
      </c>
    </row>
    <row r="335" spans="44:45" x14ac:dyDescent="0.25">
      <c r="AR335" s="11">
        <v>0.3050000000000001</v>
      </c>
      <c r="AS335" s="7">
        <v>2.598076211353316E-2</v>
      </c>
    </row>
    <row r="336" spans="44:45" x14ac:dyDescent="0.25">
      <c r="AR336" s="11">
        <v>0.31500000000000011</v>
      </c>
      <c r="AS336" s="7">
        <v>2.598076211353316E-2</v>
      </c>
    </row>
    <row r="337" spans="44:45" x14ac:dyDescent="0.25">
      <c r="AR337" s="11">
        <v>0.32500000000000012</v>
      </c>
      <c r="AS337" s="7">
        <v>2.598076211353316E-2</v>
      </c>
    </row>
    <row r="338" spans="44:45" x14ac:dyDescent="0.25">
      <c r="AR338" s="11">
        <v>0.33500000000000013</v>
      </c>
      <c r="AS338" s="7">
        <v>2.598076211353316E-2</v>
      </c>
    </row>
    <row r="339" spans="44:45" x14ac:dyDescent="0.25">
      <c r="AR339" s="11">
        <v>0.34500000000000014</v>
      </c>
      <c r="AS339" s="7">
        <v>2.598076211353316E-2</v>
      </c>
    </row>
    <row r="340" spans="44:45" x14ac:dyDescent="0.25">
      <c r="AR340" s="11">
        <v>0.35500000000000015</v>
      </c>
      <c r="AS340" s="7">
        <v>2.598076211353316E-2</v>
      </c>
    </row>
    <row r="341" spans="44:45" x14ac:dyDescent="0.25">
      <c r="AR341" s="11">
        <v>0.36500000000000016</v>
      </c>
      <c r="AS341" s="7">
        <v>2.598076211353316E-2</v>
      </c>
    </row>
    <row r="342" spans="44:45" x14ac:dyDescent="0.25">
      <c r="AR342" s="11">
        <v>0.37500000000000017</v>
      </c>
      <c r="AS342" s="7">
        <v>2.598076211353316E-2</v>
      </c>
    </row>
    <row r="343" spans="44:45" x14ac:dyDescent="0.25">
      <c r="AR343" s="11">
        <v>0.38500000000000018</v>
      </c>
      <c r="AS343" s="7">
        <v>2.598076211353316E-2</v>
      </c>
    </row>
    <row r="344" spans="44:45" x14ac:dyDescent="0.25">
      <c r="AR344" s="11">
        <v>0.39500000000000018</v>
      </c>
      <c r="AS344" s="7">
        <v>2.598076211353316E-2</v>
      </c>
    </row>
    <row r="345" spans="44:45" x14ac:dyDescent="0.25">
      <c r="AR345" s="11">
        <v>0.40500000000000019</v>
      </c>
      <c r="AS345" s="7">
        <v>2.598076211353316E-2</v>
      </c>
    </row>
    <row r="346" spans="44:45" x14ac:dyDescent="0.25">
      <c r="AR346" s="11">
        <v>0.4150000000000002</v>
      </c>
      <c r="AS346" s="7">
        <v>2.598076211353316E-2</v>
      </c>
    </row>
    <row r="347" spans="44:45" x14ac:dyDescent="0.25">
      <c r="AR347" s="11">
        <v>0.42500000000000021</v>
      </c>
      <c r="AS347" s="7">
        <v>2.598076211353316E-2</v>
      </c>
    </row>
    <row r="348" spans="44:45" x14ac:dyDescent="0.25">
      <c r="AR348" s="11">
        <v>0.43500000000000022</v>
      </c>
      <c r="AS348" s="7">
        <v>2.598076211353316E-2</v>
      </c>
    </row>
    <row r="349" spans="44:45" x14ac:dyDescent="0.25">
      <c r="AR349" s="11">
        <v>0.44500000000000023</v>
      </c>
      <c r="AS349" s="7">
        <v>2.598076211353316E-2</v>
      </c>
    </row>
    <row r="350" spans="44:45" x14ac:dyDescent="0.25">
      <c r="AR350" s="11">
        <v>0.45500000000000024</v>
      </c>
      <c r="AS350" s="7">
        <v>2.598076211353316E-2</v>
      </c>
    </row>
    <row r="351" spans="44:45" x14ac:dyDescent="0.25">
      <c r="AR351" s="11">
        <v>0.46500000000000025</v>
      </c>
      <c r="AS351" s="7">
        <v>2.598076211353316E-2</v>
      </c>
    </row>
    <row r="352" spans="44:45" x14ac:dyDescent="0.25">
      <c r="AR352" s="11">
        <v>0.47500000000000026</v>
      </c>
      <c r="AS352" s="7">
        <v>2.598076211353316E-2</v>
      </c>
    </row>
    <row r="353" spans="44:45" x14ac:dyDescent="0.25">
      <c r="AR353" s="11">
        <v>0.48500000000000026</v>
      </c>
      <c r="AS353" s="7">
        <v>2.598076211353316E-2</v>
      </c>
    </row>
    <row r="354" spans="44:45" x14ac:dyDescent="0.25">
      <c r="AR354" s="11">
        <v>0.49500000000000027</v>
      </c>
      <c r="AS354" s="7">
        <v>2.598076211353316E-2</v>
      </c>
    </row>
    <row r="355" spans="44:45" x14ac:dyDescent="0.25">
      <c r="AR355" s="11">
        <v>0.50500000000000023</v>
      </c>
      <c r="AS355" s="7">
        <v>2.598076211353316E-2</v>
      </c>
    </row>
    <row r="356" spans="44:45" x14ac:dyDescent="0.25">
      <c r="AR356" s="11">
        <v>0.51500000000000024</v>
      </c>
      <c r="AS356" s="7">
        <v>2.598076211353316E-2</v>
      </c>
    </row>
    <row r="357" spans="44:45" x14ac:dyDescent="0.25">
      <c r="AR357" s="11">
        <v>0.52500000000000024</v>
      </c>
      <c r="AS357" s="7">
        <v>2.598076211353316E-2</v>
      </c>
    </row>
    <row r="358" spans="44:45" x14ac:dyDescent="0.25">
      <c r="AR358" s="11">
        <v>0.53500000000000025</v>
      </c>
      <c r="AS358" s="7">
        <v>2.598076211353316E-2</v>
      </c>
    </row>
    <row r="359" spans="44:45" x14ac:dyDescent="0.25">
      <c r="AR359" s="11">
        <v>0.54500000000000026</v>
      </c>
      <c r="AS359" s="7">
        <v>2.598076211353316E-2</v>
      </c>
    </row>
    <row r="360" spans="44:45" x14ac:dyDescent="0.25">
      <c r="AR360" s="11">
        <v>0.55500000000000027</v>
      </c>
      <c r="AS360" s="7">
        <v>2.598076211353316E-2</v>
      </c>
    </row>
    <row r="361" spans="44:45" x14ac:dyDescent="0.25">
      <c r="AR361" s="11">
        <v>0.56500000000000028</v>
      </c>
      <c r="AS361" s="7">
        <v>2.598076211353316E-2</v>
      </c>
    </row>
    <row r="362" spans="44:45" x14ac:dyDescent="0.25">
      <c r="AR362" s="11">
        <v>0.57500000000000029</v>
      </c>
      <c r="AS362" s="7">
        <v>2.598076211353316E-2</v>
      </c>
    </row>
    <row r="363" spans="44:45" x14ac:dyDescent="0.25">
      <c r="AR363" s="11">
        <v>0.5850000000000003</v>
      </c>
      <c r="AS363" s="7">
        <v>2.598076211353316E-2</v>
      </c>
    </row>
    <row r="364" spans="44:45" x14ac:dyDescent="0.25">
      <c r="AR364" s="11">
        <v>0.59500000000000031</v>
      </c>
      <c r="AS364" s="7">
        <v>2.598076211353316E-2</v>
      </c>
    </row>
    <row r="365" spans="44:45" x14ac:dyDescent="0.25">
      <c r="AR365" s="11">
        <v>0.60500000000000032</v>
      </c>
      <c r="AS365" s="7">
        <v>2.598076211353316E-2</v>
      </c>
    </row>
    <row r="366" spans="44:45" x14ac:dyDescent="0.25">
      <c r="AR366" s="11">
        <v>0.61500000000000032</v>
      </c>
      <c r="AS366" s="7">
        <v>2.598076211353316E-2</v>
      </c>
    </row>
    <row r="367" spans="44:45" x14ac:dyDescent="0.25">
      <c r="AR367" s="11">
        <v>0.62500000000000033</v>
      </c>
      <c r="AS367" s="7">
        <v>2.598076211353316E-2</v>
      </c>
    </row>
    <row r="368" spans="44:45" x14ac:dyDescent="0.25">
      <c r="AR368" s="11">
        <v>0.63500000000000034</v>
      </c>
      <c r="AS368" s="7">
        <v>2.598076211353316E-2</v>
      </c>
    </row>
    <row r="369" spans="44:45" x14ac:dyDescent="0.25">
      <c r="AR369" s="11">
        <v>0.64500000000000035</v>
      </c>
      <c r="AS369" s="7">
        <v>2.598076211353316E-2</v>
      </c>
    </row>
    <row r="370" spans="44:45" x14ac:dyDescent="0.25">
      <c r="AR370" s="11">
        <v>0.65500000000000036</v>
      </c>
      <c r="AS370" s="7">
        <v>2.598076211353316E-2</v>
      </c>
    </row>
    <row r="371" spans="44:45" x14ac:dyDescent="0.25">
      <c r="AR371" s="11">
        <v>0.66500000000000037</v>
      </c>
      <c r="AS371" s="7">
        <v>2.598076211353316E-2</v>
      </c>
    </row>
    <row r="372" spans="44:45" x14ac:dyDescent="0.25">
      <c r="AR372" s="11">
        <v>0.67500000000000038</v>
      </c>
      <c r="AS372" s="7">
        <v>2.598076211353316E-2</v>
      </c>
    </row>
    <row r="373" spans="44:45" x14ac:dyDescent="0.25">
      <c r="AR373" s="11">
        <v>0.68500000000000039</v>
      </c>
      <c r="AS373" s="7">
        <v>2.598076211353316E-2</v>
      </c>
    </row>
    <row r="374" spans="44:45" x14ac:dyDescent="0.25">
      <c r="AR374" s="11">
        <v>0.6950000000000004</v>
      </c>
      <c r="AS374" s="7">
        <v>2.598076211353316E-2</v>
      </c>
    </row>
    <row r="375" spans="44:45" x14ac:dyDescent="0.25">
      <c r="AR375" s="11">
        <v>0.7050000000000004</v>
      </c>
      <c r="AS375" s="7">
        <v>2.598076211353316E-2</v>
      </c>
    </row>
    <row r="376" spans="44:45" x14ac:dyDescent="0.25">
      <c r="AR376" s="11">
        <v>0.71500000000000041</v>
      </c>
      <c r="AS376" s="7">
        <v>2.598076211353316E-2</v>
      </c>
    </row>
    <row r="377" spans="44:45" x14ac:dyDescent="0.25">
      <c r="AR377" s="11">
        <v>0.72500000000000042</v>
      </c>
      <c r="AS377" s="7">
        <v>2.598076211353316E-2</v>
      </c>
    </row>
    <row r="378" spans="44:45" x14ac:dyDescent="0.25">
      <c r="AR378" s="11">
        <v>0.73500000000000043</v>
      </c>
      <c r="AS378" s="7">
        <v>2.598076211353316E-2</v>
      </c>
    </row>
    <row r="379" spans="44:45" x14ac:dyDescent="0.25">
      <c r="AR379" s="11">
        <v>0.74500000000000044</v>
      </c>
      <c r="AS379" s="7">
        <v>2.598076211353316E-2</v>
      </c>
    </row>
    <row r="380" spans="44:45" x14ac:dyDescent="0.25">
      <c r="AR380" s="11">
        <v>0.75500000000000045</v>
      </c>
      <c r="AS380" s="7">
        <v>2.598076211353316E-2</v>
      </c>
    </row>
    <row r="381" spans="44:45" x14ac:dyDescent="0.25">
      <c r="AR381" s="11">
        <v>0.76500000000000046</v>
      </c>
      <c r="AS381" s="7">
        <v>2.598076211353316E-2</v>
      </c>
    </row>
    <row r="382" spans="44:45" x14ac:dyDescent="0.25">
      <c r="AR382" s="11">
        <v>0.77500000000000047</v>
      </c>
      <c r="AS382" s="7">
        <v>2.598076211353316E-2</v>
      </c>
    </row>
    <row r="383" spans="44:45" x14ac:dyDescent="0.25">
      <c r="AR383" s="11">
        <v>0.78500000000000048</v>
      </c>
      <c r="AS383" s="7">
        <v>2.598076211353316E-2</v>
      </c>
    </row>
    <row r="384" spans="44:45" x14ac:dyDescent="0.25">
      <c r="AR384" s="11">
        <v>0.79500000000000048</v>
      </c>
      <c r="AS384" s="7">
        <v>2.598076211353316E-2</v>
      </c>
    </row>
    <row r="385" spans="44:45" x14ac:dyDescent="0.25">
      <c r="AR385" s="11">
        <v>0.80500000000000049</v>
      </c>
      <c r="AS385" s="7">
        <v>2.598076211353316E-2</v>
      </c>
    </row>
    <row r="386" spans="44:45" x14ac:dyDescent="0.25">
      <c r="AR386" s="11">
        <v>0.8150000000000005</v>
      </c>
      <c r="AS386" s="7">
        <v>2.598076211353316E-2</v>
      </c>
    </row>
    <row r="387" spans="44:45" x14ac:dyDescent="0.25">
      <c r="AR387" s="11">
        <v>0.82500000000000051</v>
      </c>
      <c r="AS387" s="7">
        <v>2.598076211353316E-2</v>
      </c>
    </row>
    <row r="388" spans="44:45" x14ac:dyDescent="0.25">
      <c r="AR388" s="11">
        <v>0.83500000000000052</v>
      </c>
      <c r="AS388" s="7">
        <v>2.598076211353316E-2</v>
      </c>
    </row>
    <row r="389" spans="44:45" x14ac:dyDescent="0.25">
      <c r="AR389" s="11">
        <v>0.84500000000000053</v>
      </c>
      <c r="AS389" s="7">
        <v>2.598076211353316E-2</v>
      </c>
    </row>
    <row r="390" spans="44:45" x14ac:dyDescent="0.25">
      <c r="AR390" s="11">
        <v>0.85500000000000054</v>
      </c>
      <c r="AS390" s="7">
        <v>2.598076211353316E-2</v>
      </c>
    </row>
    <row r="391" spans="44:45" x14ac:dyDescent="0.25">
      <c r="AR391" s="11">
        <v>0.86500000000000055</v>
      </c>
      <c r="AS391" s="7">
        <v>2.598076211353316E-2</v>
      </c>
    </row>
    <row r="392" spans="44:45" x14ac:dyDescent="0.25">
      <c r="AR392" s="11">
        <v>0.87500000000000056</v>
      </c>
      <c r="AS392" s="7">
        <v>2.598076211353316E-2</v>
      </c>
    </row>
    <row r="393" spans="44:45" x14ac:dyDescent="0.25">
      <c r="AR393" s="11">
        <v>0.88500000000000056</v>
      </c>
      <c r="AS393" s="7">
        <v>2.598076211353316E-2</v>
      </c>
    </row>
    <row r="394" spans="44:45" x14ac:dyDescent="0.25">
      <c r="AR394" s="11">
        <v>0.89500000000000057</v>
      </c>
      <c r="AS394" s="7">
        <v>2.598076211353316E-2</v>
      </c>
    </row>
    <row r="395" spans="44:45" x14ac:dyDescent="0.25">
      <c r="AR395" s="11">
        <v>0.90500000000000058</v>
      </c>
      <c r="AS395" s="7">
        <v>2.598076211353316E-2</v>
      </c>
    </row>
    <row r="396" spans="44:45" x14ac:dyDescent="0.25">
      <c r="AR396" s="11">
        <v>0.91500000000000059</v>
      </c>
      <c r="AS396" s="7">
        <v>2.598076211353316E-2</v>
      </c>
    </row>
    <row r="397" spans="44:45" x14ac:dyDescent="0.25">
      <c r="AR397" s="11">
        <v>0.9250000000000006</v>
      </c>
      <c r="AS397" s="7">
        <v>2.598076211353316E-2</v>
      </c>
    </row>
    <row r="398" spans="44:45" x14ac:dyDescent="0.25">
      <c r="AR398" s="11">
        <v>0.93500000000000061</v>
      </c>
      <c r="AS398" s="7">
        <v>2.598076211353316E-2</v>
      </c>
    </row>
    <row r="399" spans="44:45" x14ac:dyDescent="0.25">
      <c r="AR399" s="11">
        <v>0.94500000000000062</v>
      </c>
      <c r="AS399" s="7">
        <v>2.598076211353316E-2</v>
      </c>
    </row>
    <row r="400" spans="44:45" x14ac:dyDescent="0.25">
      <c r="AR400" s="11">
        <v>0.95500000000000063</v>
      </c>
      <c r="AS400" s="7">
        <v>2.598076211353316E-2</v>
      </c>
    </row>
    <row r="401" spans="44:45" x14ac:dyDescent="0.25">
      <c r="AR401" s="11">
        <v>0.96500000000000064</v>
      </c>
      <c r="AS401" s="7">
        <v>2.598076211353316E-2</v>
      </c>
    </row>
    <row r="402" spans="44:45" x14ac:dyDescent="0.25">
      <c r="AR402" s="11">
        <v>0.97500000000000064</v>
      </c>
      <c r="AS402" s="7">
        <v>2.598076211353316E-2</v>
      </c>
    </row>
    <row r="403" spans="44:45" x14ac:dyDescent="0.25">
      <c r="AR403" s="11">
        <v>0.98500000000000065</v>
      </c>
      <c r="AS403" s="7">
        <v>2.598076211353316E-2</v>
      </c>
    </row>
    <row r="404" spans="44:45" x14ac:dyDescent="0.25">
      <c r="AR404" s="11"/>
      <c r="AS404" s="7"/>
    </row>
    <row r="405" spans="44:45" x14ac:dyDescent="0.25">
      <c r="AR405" s="11">
        <v>0.02</v>
      </c>
      <c r="AS405" s="7">
        <v>3.4641016151377546E-2</v>
      </c>
    </row>
    <row r="406" spans="44:45" x14ac:dyDescent="0.25">
      <c r="AR406" s="11">
        <v>0.03</v>
      </c>
      <c r="AS406" s="7">
        <v>3.4641016151377546E-2</v>
      </c>
    </row>
    <row r="407" spans="44:45" x14ac:dyDescent="0.25">
      <c r="AR407" s="11">
        <v>0.04</v>
      </c>
      <c r="AS407" s="7">
        <v>3.4641016151377546E-2</v>
      </c>
    </row>
    <row r="408" spans="44:45" x14ac:dyDescent="0.25">
      <c r="AR408" s="11">
        <v>0.05</v>
      </c>
      <c r="AS408" s="7">
        <v>3.4641016151377546E-2</v>
      </c>
    </row>
    <row r="409" spans="44:45" x14ac:dyDescent="0.25">
      <c r="AR409" s="11">
        <v>6.0000000000000005E-2</v>
      </c>
      <c r="AS409" s="7">
        <v>3.4641016151377546E-2</v>
      </c>
    </row>
    <row r="410" spans="44:45" x14ac:dyDescent="0.25">
      <c r="AR410" s="11">
        <v>7.0000000000000007E-2</v>
      </c>
      <c r="AS410" s="7">
        <v>3.4641016151377546E-2</v>
      </c>
    </row>
    <row r="411" spans="44:45" x14ac:dyDescent="0.25">
      <c r="AR411" s="11">
        <v>0.08</v>
      </c>
      <c r="AS411" s="7">
        <v>3.4641016151377546E-2</v>
      </c>
    </row>
    <row r="412" spans="44:45" x14ac:dyDescent="0.25">
      <c r="AR412" s="11">
        <v>0.09</v>
      </c>
      <c r="AS412" s="7">
        <v>3.4641016151377546E-2</v>
      </c>
    </row>
    <row r="413" spans="44:45" x14ac:dyDescent="0.25">
      <c r="AR413" s="11">
        <v>9.9999999999999992E-2</v>
      </c>
      <c r="AS413" s="7">
        <v>3.4641016151377546E-2</v>
      </c>
    </row>
    <row r="414" spans="44:45" x14ac:dyDescent="0.25">
      <c r="AR414" s="11">
        <v>0.10999999999999999</v>
      </c>
      <c r="AS414" s="7">
        <v>3.4641016151377546E-2</v>
      </c>
    </row>
    <row r="415" spans="44:45" x14ac:dyDescent="0.25">
      <c r="AR415" s="11">
        <v>0.11999999999999998</v>
      </c>
      <c r="AS415" s="7">
        <v>3.4641016151377546E-2</v>
      </c>
    </row>
    <row r="416" spans="44:45" x14ac:dyDescent="0.25">
      <c r="AR416" s="11">
        <v>0.12999999999999998</v>
      </c>
      <c r="AS416" s="7">
        <v>3.4641016151377546E-2</v>
      </c>
    </row>
    <row r="417" spans="44:45" x14ac:dyDescent="0.25">
      <c r="AR417" s="11">
        <v>0.13999999999999999</v>
      </c>
      <c r="AS417" s="7">
        <v>3.4641016151377546E-2</v>
      </c>
    </row>
    <row r="418" spans="44:45" x14ac:dyDescent="0.25">
      <c r="AR418" s="11">
        <v>0.15</v>
      </c>
      <c r="AS418" s="7">
        <v>3.4641016151377546E-2</v>
      </c>
    </row>
    <row r="419" spans="44:45" x14ac:dyDescent="0.25">
      <c r="AR419" s="11">
        <v>0.16</v>
      </c>
      <c r="AS419" s="7">
        <v>3.4641016151377546E-2</v>
      </c>
    </row>
    <row r="420" spans="44:45" x14ac:dyDescent="0.25">
      <c r="AR420" s="11">
        <v>0.17</v>
      </c>
      <c r="AS420" s="7">
        <v>3.4641016151377546E-2</v>
      </c>
    </row>
    <row r="421" spans="44:45" x14ac:dyDescent="0.25">
      <c r="AR421" s="11">
        <v>0.18000000000000002</v>
      </c>
      <c r="AS421" s="7">
        <v>3.4641016151377546E-2</v>
      </c>
    </row>
    <row r="422" spans="44:45" x14ac:dyDescent="0.25">
      <c r="AR422" s="11">
        <v>0.19000000000000003</v>
      </c>
      <c r="AS422" s="7">
        <v>3.4641016151377546E-2</v>
      </c>
    </row>
    <row r="423" spans="44:45" x14ac:dyDescent="0.25">
      <c r="AR423" s="11">
        <v>0.20000000000000004</v>
      </c>
      <c r="AS423" s="7">
        <v>3.4641016151377546E-2</v>
      </c>
    </row>
    <row r="424" spans="44:45" x14ac:dyDescent="0.25">
      <c r="AR424" s="11">
        <v>0.21000000000000005</v>
      </c>
      <c r="AS424" s="7">
        <v>3.4641016151377546E-2</v>
      </c>
    </row>
    <row r="425" spans="44:45" x14ac:dyDescent="0.25">
      <c r="AR425" s="11">
        <v>0.22000000000000006</v>
      </c>
      <c r="AS425" s="7">
        <v>3.4641016151377546E-2</v>
      </c>
    </row>
    <row r="426" spans="44:45" x14ac:dyDescent="0.25">
      <c r="AR426" s="11">
        <v>0.23000000000000007</v>
      </c>
      <c r="AS426" s="7">
        <v>3.4641016151377546E-2</v>
      </c>
    </row>
    <row r="427" spans="44:45" x14ac:dyDescent="0.25">
      <c r="AR427" s="11">
        <v>0.24000000000000007</v>
      </c>
      <c r="AS427" s="7">
        <v>3.4641016151377546E-2</v>
      </c>
    </row>
    <row r="428" spans="44:45" x14ac:dyDescent="0.25">
      <c r="AR428" s="11">
        <v>0.25000000000000006</v>
      </c>
      <c r="AS428" s="7">
        <v>3.4641016151377546E-2</v>
      </c>
    </row>
    <row r="429" spans="44:45" x14ac:dyDescent="0.25">
      <c r="AR429" s="11">
        <v>0.26000000000000006</v>
      </c>
      <c r="AS429" s="7">
        <v>3.4641016151377546E-2</v>
      </c>
    </row>
    <row r="430" spans="44:45" x14ac:dyDescent="0.25">
      <c r="AR430" s="11">
        <v>0.27000000000000007</v>
      </c>
      <c r="AS430" s="7">
        <v>3.4641016151377546E-2</v>
      </c>
    </row>
    <row r="431" spans="44:45" x14ac:dyDescent="0.25">
      <c r="AR431" s="11">
        <v>0.28000000000000008</v>
      </c>
      <c r="AS431" s="7">
        <v>3.4641016151377546E-2</v>
      </c>
    </row>
    <row r="432" spans="44:45" x14ac:dyDescent="0.25">
      <c r="AR432" s="11">
        <v>0.29000000000000009</v>
      </c>
      <c r="AS432" s="7">
        <v>3.4641016151377546E-2</v>
      </c>
    </row>
    <row r="433" spans="44:45" x14ac:dyDescent="0.25">
      <c r="AR433" s="11">
        <v>0.3000000000000001</v>
      </c>
      <c r="AS433" s="7">
        <v>3.4641016151377546E-2</v>
      </c>
    </row>
    <row r="434" spans="44:45" x14ac:dyDescent="0.25">
      <c r="AR434" s="11">
        <v>0.31000000000000011</v>
      </c>
      <c r="AS434" s="7">
        <v>3.4641016151377546E-2</v>
      </c>
    </row>
    <row r="435" spans="44:45" x14ac:dyDescent="0.25">
      <c r="AR435" s="11">
        <v>0.32000000000000012</v>
      </c>
      <c r="AS435" s="7">
        <v>3.4641016151377546E-2</v>
      </c>
    </row>
    <row r="436" spans="44:45" x14ac:dyDescent="0.25">
      <c r="AR436" s="11">
        <v>0.33000000000000013</v>
      </c>
      <c r="AS436" s="7">
        <v>3.4641016151377546E-2</v>
      </c>
    </row>
    <row r="437" spans="44:45" x14ac:dyDescent="0.25">
      <c r="AR437" s="11">
        <v>0.34000000000000014</v>
      </c>
      <c r="AS437" s="7">
        <v>3.4641016151377546E-2</v>
      </c>
    </row>
    <row r="438" spans="44:45" x14ac:dyDescent="0.25">
      <c r="AR438" s="11">
        <v>0.35000000000000014</v>
      </c>
      <c r="AS438" s="7">
        <v>3.4641016151377546E-2</v>
      </c>
    </row>
    <row r="439" spans="44:45" x14ac:dyDescent="0.25">
      <c r="AR439" s="11">
        <v>0.36000000000000015</v>
      </c>
      <c r="AS439" s="7">
        <v>3.4641016151377546E-2</v>
      </c>
    </row>
    <row r="440" spans="44:45" x14ac:dyDescent="0.25">
      <c r="AR440" s="11">
        <v>0.37000000000000016</v>
      </c>
      <c r="AS440" s="7">
        <v>3.4641016151377546E-2</v>
      </c>
    </row>
    <row r="441" spans="44:45" x14ac:dyDescent="0.25">
      <c r="AR441" s="11">
        <v>0.38000000000000017</v>
      </c>
      <c r="AS441" s="7">
        <v>3.4641016151377546E-2</v>
      </c>
    </row>
    <row r="442" spans="44:45" x14ac:dyDescent="0.25">
      <c r="AR442" s="11">
        <v>0.39000000000000018</v>
      </c>
      <c r="AS442" s="7">
        <v>3.4641016151377546E-2</v>
      </c>
    </row>
    <row r="443" spans="44:45" x14ac:dyDescent="0.25">
      <c r="AR443" s="11">
        <v>0.40000000000000019</v>
      </c>
      <c r="AS443" s="7">
        <v>3.4641016151377546E-2</v>
      </c>
    </row>
    <row r="444" spans="44:45" x14ac:dyDescent="0.25">
      <c r="AR444" s="11">
        <v>0.4100000000000002</v>
      </c>
      <c r="AS444" s="7">
        <v>3.4641016151377546E-2</v>
      </c>
    </row>
    <row r="445" spans="44:45" x14ac:dyDescent="0.25">
      <c r="AR445" s="11">
        <v>0.42000000000000021</v>
      </c>
      <c r="AS445" s="7">
        <v>3.4641016151377546E-2</v>
      </c>
    </row>
    <row r="446" spans="44:45" x14ac:dyDescent="0.25">
      <c r="AR446" s="11">
        <v>0.43000000000000022</v>
      </c>
      <c r="AS446" s="7">
        <v>3.4641016151377546E-2</v>
      </c>
    </row>
    <row r="447" spans="44:45" x14ac:dyDescent="0.25">
      <c r="AR447" s="11">
        <v>0.44000000000000022</v>
      </c>
      <c r="AS447" s="7">
        <v>3.4641016151377546E-2</v>
      </c>
    </row>
    <row r="448" spans="44:45" x14ac:dyDescent="0.25">
      <c r="AR448" s="11">
        <v>0.45000000000000023</v>
      </c>
      <c r="AS448" s="7">
        <v>3.4641016151377546E-2</v>
      </c>
    </row>
    <row r="449" spans="44:45" x14ac:dyDescent="0.25">
      <c r="AR449" s="11">
        <v>0.46000000000000024</v>
      </c>
      <c r="AS449" s="7">
        <v>3.4641016151377546E-2</v>
      </c>
    </row>
    <row r="450" spans="44:45" x14ac:dyDescent="0.25">
      <c r="AR450" s="11">
        <v>0.47000000000000025</v>
      </c>
      <c r="AS450" s="7">
        <v>3.4641016151377546E-2</v>
      </c>
    </row>
    <row r="451" spans="44:45" x14ac:dyDescent="0.25">
      <c r="AR451" s="11">
        <v>0.48000000000000026</v>
      </c>
      <c r="AS451" s="7">
        <v>3.4641016151377546E-2</v>
      </c>
    </row>
    <row r="452" spans="44:45" x14ac:dyDescent="0.25">
      <c r="AR452" s="11">
        <v>0.49000000000000027</v>
      </c>
      <c r="AS452" s="7">
        <v>3.4641016151377546E-2</v>
      </c>
    </row>
    <row r="453" spans="44:45" x14ac:dyDescent="0.25">
      <c r="AR453" s="11">
        <v>0.50000000000000022</v>
      </c>
      <c r="AS453" s="7">
        <v>3.4641016151377546E-2</v>
      </c>
    </row>
    <row r="454" spans="44:45" x14ac:dyDescent="0.25">
      <c r="AR454" s="11">
        <v>0.51000000000000023</v>
      </c>
      <c r="AS454" s="7">
        <v>3.4641016151377546E-2</v>
      </c>
    </row>
    <row r="455" spans="44:45" x14ac:dyDescent="0.25">
      <c r="AR455" s="11">
        <v>0.52000000000000024</v>
      </c>
      <c r="AS455" s="7">
        <v>3.4641016151377546E-2</v>
      </c>
    </row>
    <row r="456" spans="44:45" x14ac:dyDescent="0.25">
      <c r="AR456" s="11">
        <v>0.53000000000000025</v>
      </c>
      <c r="AS456" s="7">
        <v>3.4641016151377546E-2</v>
      </c>
    </row>
    <row r="457" spans="44:45" x14ac:dyDescent="0.25">
      <c r="AR457" s="11">
        <v>0.54000000000000026</v>
      </c>
      <c r="AS457" s="7">
        <v>3.4641016151377546E-2</v>
      </c>
    </row>
    <row r="458" spans="44:45" x14ac:dyDescent="0.25">
      <c r="AR458" s="11">
        <v>0.55000000000000027</v>
      </c>
      <c r="AS458" s="7">
        <v>3.4641016151377546E-2</v>
      </c>
    </row>
    <row r="459" spans="44:45" x14ac:dyDescent="0.25">
      <c r="AR459" s="11">
        <v>0.56000000000000028</v>
      </c>
      <c r="AS459" s="7">
        <v>3.4641016151377546E-2</v>
      </c>
    </row>
    <row r="460" spans="44:45" x14ac:dyDescent="0.25">
      <c r="AR460" s="11">
        <v>0.57000000000000028</v>
      </c>
      <c r="AS460" s="7">
        <v>3.4641016151377546E-2</v>
      </c>
    </row>
    <row r="461" spans="44:45" x14ac:dyDescent="0.25">
      <c r="AR461" s="11">
        <v>0.58000000000000029</v>
      </c>
      <c r="AS461" s="7">
        <v>3.4641016151377546E-2</v>
      </c>
    </row>
    <row r="462" spans="44:45" x14ac:dyDescent="0.25">
      <c r="AR462" s="11">
        <v>0.5900000000000003</v>
      </c>
      <c r="AS462" s="7">
        <v>3.4641016151377546E-2</v>
      </c>
    </row>
    <row r="463" spans="44:45" x14ac:dyDescent="0.25">
      <c r="AR463" s="11">
        <v>0.60000000000000031</v>
      </c>
      <c r="AS463" s="7">
        <v>3.4641016151377546E-2</v>
      </c>
    </row>
    <row r="464" spans="44:45" x14ac:dyDescent="0.25">
      <c r="AR464" s="11">
        <v>0.61000000000000032</v>
      </c>
      <c r="AS464" s="7">
        <v>3.4641016151377546E-2</v>
      </c>
    </row>
    <row r="465" spans="44:45" x14ac:dyDescent="0.25">
      <c r="AR465" s="11">
        <v>0.62000000000000033</v>
      </c>
      <c r="AS465" s="7">
        <v>3.4641016151377546E-2</v>
      </c>
    </row>
    <row r="466" spans="44:45" x14ac:dyDescent="0.25">
      <c r="AR466" s="11">
        <v>0.63000000000000034</v>
      </c>
      <c r="AS466" s="7">
        <v>3.4641016151377546E-2</v>
      </c>
    </row>
    <row r="467" spans="44:45" x14ac:dyDescent="0.25">
      <c r="AR467" s="11">
        <v>0.64000000000000035</v>
      </c>
      <c r="AS467" s="7">
        <v>3.4641016151377546E-2</v>
      </c>
    </row>
    <row r="468" spans="44:45" x14ac:dyDescent="0.25">
      <c r="AR468" s="11">
        <v>0.65000000000000036</v>
      </c>
      <c r="AS468" s="7">
        <v>3.4641016151377546E-2</v>
      </c>
    </row>
    <row r="469" spans="44:45" x14ac:dyDescent="0.25">
      <c r="AR469" s="11">
        <v>0.66000000000000036</v>
      </c>
      <c r="AS469" s="7">
        <v>3.4641016151377546E-2</v>
      </c>
    </row>
    <row r="470" spans="44:45" x14ac:dyDescent="0.25">
      <c r="AR470" s="11">
        <v>0.67000000000000037</v>
      </c>
      <c r="AS470" s="7">
        <v>3.4641016151377546E-2</v>
      </c>
    </row>
    <row r="471" spans="44:45" x14ac:dyDescent="0.25">
      <c r="AR471" s="11">
        <v>0.68000000000000038</v>
      </c>
      <c r="AS471" s="7">
        <v>3.4641016151377546E-2</v>
      </c>
    </row>
    <row r="472" spans="44:45" x14ac:dyDescent="0.25">
      <c r="AR472" s="11">
        <v>0.69000000000000039</v>
      </c>
      <c r="AS472" s="7">
        <v>3.4641016151377546E-2</v>
      </c>
    </row>
    <row r="473" spans="44:45" x14ac:dyDescent="0.25">
      <c r="AR473" s="11">
        <v>0.7000000000000004</v>
      </c>
      <c r="AS473" s="7">
        <v>3.4641016151377546E-2</v>
      </c>
    </row>
    <row r="474" spans="44:45" x14ac:dyDescent="0.25">
      <c r="AR474" s="11">
        <v>0.71000000000000041</v>
      </c>
      <c r="AS474" s="7">
        <v>3.4641016151377546E-2</v>
      </c>
    </row>
    <row r="475" spans="44:45" x14ac:dyDescent="0.25">
      <c r="AR475" s="11">
        <v>0.72000000000000042</v>
      </c>
      <c r="AS475" s="7">
        <v>3.4641016151377546E-2</v>
      </c>
    </row>
    <row r="476" spans="44:45" x14ac:dyDescent="0.25">
      <c r="AR476" s="11">
        <v>0.73000000000000043</v>
      </c>
      <c r="AS476" s="7">
        <v>3.4641016151377546E-2</v>
      </c>
    </row>
    <row r="477" spans="44:45" x14ac:dyDescent="0.25">
      <c r="AR477" s="11">
        <v>0.74000000000000044</v>
      </c>
      <c r="AS477" s="7">
        <v>3.4641016151377546E-2</v>
      </c>
    </row>
    <row r="478" spans="44:45" x14ac:dyDescent="0.25">
      <c r="AR478" s="11">
        <v>0.75000000000000044</v>
      </c>
      <c r="AS478" s="7">
        <v>3.4641016151377546E-2</v>
      </c>
    </row>
    <row r="479" spans="44:45" x14ac:dyDescent="0.25">
      <c r="AR479" s="11">
        <v>0.76000000000000045</v>
      </c>
      <c r="AS479" s="7">
        <v>3.4641016151377546E-2</v>
      </c>
    </row>
    <row r="480" spans="44:45" x14ac:dyDescent="0.25">
      <c r="AR480" s="11">
        <v>0.77000000000000046</v>
      </c>
      <c r="AS480" s="7">
        <v>3.4641016151377546E-2</v>
      </c>
    </row>
    <row r="481" spans="44:45" x14ac:dyDescent="0.25">
      <c r="AR481" s="11">
        <v>0.78000000000000047</v>
      </c>
      <c r="AS481" s="7">
        <v>3.4641016151377546E-2</v>
      </c>
    </row>
    <row r="482" spans="44:45" x14ac:dyDescent="0.25">
      <c r="AR482" s="11">
        <v>0.79000000000000048</v>
      </c>
      <c r="AS482" s="7">
        <v>3.4641016151377546E-2</v>
      </c>
    </row>
    <row r="483" spans="44:45" x14ac:dyDescent="0.25">
      <c r="AR483" s="11">
        <v>0.80000000000000049</v>
      </c>
      <c r="AS483" s="7">
        <v>3.4641016151377546E-2</v>
      </c>
    </row>
    <row r="484" spans="44:45" x14ac:dyDescent="0.25">
      <c r="AR484" s="11">
        <v>0.8100000000000005</v>
      </c>
      <c r="AS484" s="7">
        <v>3.4641016151377546E-2</v>
      </c>
    </row>
    <row r="485" spans="44:45" x14ac:dyDescent="0.25">
      <c r="AR485" s="11">
        <v>0.82000000000000051</v>
      </c>
      <c r="AS485" s="7">
        <v>3.4641016151377546E-2</v>
      </c>
    </row>
    <row r="486" spans="44:45" x14ac:dyDescent="0.25">
      <c r="AR486" s="11">
        <v>0.83000000000000052</v>
      </c>
      <c r="AS486" s="7">
        <v>3.4641016151377546E-2</v>
      </c>
    </row>
    <row r="487" spans="44:45" x14ac:dyDescent="0.25">
      <c r="AR487" s="11">
        <v>0.84000000000000052</v>
      </c>
      <c r="AS487" s="7">
        <v>3.4641016151377546E-2</v>
      </c>
    </row>
    <row r="488" spans="44:45" x14ac:dyDescent="0.25">
      <c r="AR488" s="11">
        <v>0.85000000000000053</v>
      </c>
      <c r="AS488" s="7">
        <v>3.4641016151377546E-2</v>
      </c>
    </row>
    <row r="489" spans="44:45" x14ac:dyDescent="0.25">
      <c r="AR489" s="11">
        <v>0.86000000000000054</v>
      </c>
      <c r="AS489" s="7">
        <v>3.4641016151377546E-2</v>
      </c>
    </row>
    <row r="490" spans="44:45" x14ac:dyDescent="0.25">
      <c r="AR490" s="11">
        <v>0.87000000000000055</v>
      </c>
      <c r="AS490" s="7">
        <v>3.4641016151377546E-2</v>
      </c>
    </row>
    <row r="491" spans="44:45" x14ac:dyDescent="0.25">
      <c r="AR491" s="11">
        <v>0.88000000000000056</v>
      </c>
      <c r="AS491" s="7">
        <v>3.4641016151377546E-2</v>
      </c>
    </row>
    <row r="492" spans="44:45" x14ac:dyDescent="0.25">
      <c r="AR492" s="11">
        <v>0.89000000000000057</v>
      </c>
      <c r="AS492" s="7">
        <v>3.4641016151377546E-2</v>
      </c>
    </row>
    <row r="493" spans="44:45" x14ac:dyDescent="0.25">
      <c r="AR493" s="11">
        <v>0.90000000000000058</v>
      </c>
      <c r="AS493" s="7">
        <v>3.4641016151377546E-2</v>
      </c>
    </row>
    <row r="494" spans="44:45" x14ac:dyDescent="0.25">
      <c r="AR494" s="11">
        <v>0.91000000000000059</v>
      </c>
      <c r="AS494" s="7">
        <v>3.4641016151377546E-2</v>
      </c>
    </row>
    <row r="495" spans="44:45" x14ac:dyDescent="0.25">
      <c r="AR495" s="11">
        <v>0.9200000000000006</v>
      </c>
      <c r="AS495" s="7">
        <v>3.4641016151377546E-2</v>
      </c>
    </row>
    <row r="496" spans="44:45" x14ac:dyDescent="0.25">
      <c r="AR496" s="11">
        <v>0.9300000000000006</v>
      </c>
      <c r="AS496" s="7">
        <v>3.4641016151377546E-2</v>
      </c>
    </row>
    <row r="497" spans="44:45" x14ac:dyDescent="0.25">
      <c r="AR497" s="11">
        <v>0.94000000000000061</v>
      </c>
      <c r="AS497" s="7">
        <v>3.4641016151377546E-2</v>
      </c>
    </row>
    <row r="498" spans="44:45" x14ac:dyDescent="0.25">
      <c r="AR498" s="11">
        <v>0.95000000000000062</v>
      </c>
      <c r="AS498" s="7">
        <v>3.4641016151377546E-2</v>
      </c>
    </row>
    <row r="499" spans="44:45" x14ac:dyDescent="0.25">
      <c r="AR499" s="11">
        <v>0.96000000000000063</v>
      </c>
      <c r="AS499" s="7">
        <v>3.4641016151377546E-2</v>
      </c>
    </row>
    <row r="500" spans="44:45" x14ac:dyDescent="0.25">
      <c r="AR500" s="11">
        <v>0.97000000000000064</v>
      </c>
      <c r="AS500" s="7">
        <v>3.4641016151377546E-2</v>
      </c>
    </row>
    <row r="501" spans="44:45" x14ac:dyDescent="0.25">
      <c r="AR501" s="11">
        <v>0.98000000000000065</v>
      </c>
      <c r="AS501" s="7">
        <v>3.4641016151377546E-2</v>
      </c>
    </row>
    <row r="502" spans="44:45" x14ac:dyDescent="0.25">
      <c r="AR502" s="11"/>
      <c r="AS502" s="7"/>
    </row>
    <row r="503" spans="44:45" x14ac:dyDescent="0.25">
      <c r="AR503" s="11">
        <v>2.5000000000000001E-2</v>
      </c>
      <c r="AS503" s="7">
        <v>4.330127018922194E-2</v>
      </c>
    </row>
    <row r="504" spans="44:45" x14ac:dyDescent="0.25">
      <c r="AR504" s="11">
        <v>3.5000000000000003E-2</v>
      </c>
      <c r="AS504" s="7">
        <v>4.330127018922194E-2</v>
      </c>
    </row>
    <row r="505" spans="44:45" x14ac:dyDescent="0.25">
      <c r="AR505" s="11">
        <v>4.5000000000000005E-2</v>
      </c>
      <c r="AS505" s="7">
        <v>4.330127018922194E-2</v>
      </c>
    </row>
    <row r="506" spans="44:45" x14ac:dyDescent="0.25">
      <c r="AR506" s="11">
        <v>5.5000000000000007E-2</v>
      </c>
      <c r="AS506" s="7">
        <v>4.330127018922194E-2</v>
      </c>
    </row>
    <row r="507" spans="44:45" x14ac:dyDescent="0.25">
      <c r="AR507" s="11">
        <v>6.5000000000000002E-2</v>
      </c>
      <c r="AS507" s="7">
        <v>4.330127018922194E-2</v>
      </c>
    </row>
    <row r="508" spans="44:45" x14ac:dyDescent="0.25">
      <c r="AR508" s="11">
        <v>7.4999999999999997E-2</v>
      </c>
      <c r="AS508" s="7">
        <v>4.330127018922194E-2</v>
      </c>
    </row>
    <row r="509" spans="44:45" x14ac:dyDescent="0.25">
      <c r="AR509" s="11">
        <v>8.4999999999999992E-2</v>
      </c>
      <c r="AS509" s="7">
        <v>4.330127018922194E-2</v>
      </c>
    </row>
    <row r="510" spans="44:45" x14ac:dyDescent="0.25">
      <c r="AR510" s="11">
        <v>9.4999999999999987E-2</v>
      </c>
      <c r="AS510" s="7">
        <v>4.330127018922194E-2</v>
      </c>
    </row>
    <row r="511" spans="44:45" x14ac:dyDescent="0.25">
      <c r="AR511" s="11">
        <v>0.10499999999999998</v>
      </c>
      <c r="AS511" s="7">
        <v>4.330127018922194E-2</v>
      </c>
    </row>
    <row r="512" spans="44:45" x14ac:dyDescent="0.25">
      <c r="AR512" s="11">
        <v>0.11499999999999998</v>
      </c>
      <c r="AS512" s="7">
        <v>4.330127018922194E-2</v>
      </c>
    </row>
    <row r="513" spans="44:45" x14ac:dyDescent="0.25">
      <c r="AR513" s="11">
        <v>0.12499999999999997</v>
      </c>
      <c r="AS513" s="7">
        <v>4.330127018922194E-2</v>
      </c>
    </row>
    <row r="514" spans="44:45" x14ac:dyDescent="0.25">
      <c r="AR514" s="11">
        <v>0.13499999999999998</v>
      </c>
      <c r="AS514" s="7">
        <v>4.330127018922194E-2</v>
      </c>
    </row>
    <row r="515" spans="44:45" x14ac:dyDescent="0.25">
      <c r="AR515" s="11">
        <v>0.14499999999999999</v>
      </c>
      <c r="AS515" s="7">
        <v>4.330127018922194E-2</v>
      </c>
    </row>
    <row r="516" spans="44:45" x14ac:dyDescent="0.25">
      <c r="AR516" s="11">
        <v>0.155</v>
      </c>
      <c r="AS516" s="7">
        <v>4.330127018922194E-2</v>
      </c>
    </row>
    <row r="517" spans="44:45" x14ac:dyDescent="0.25">
      <c r="AR517" s="11">
        <v>0.16500000000000001</v>
      </c>
      <c r="AS517" s="7">
        <v>4.330127018922194E-2</v>
      </c>
    </row>
    <row r="518" spans="44:45" x14ac:dyDescent="0.25">
      <c r="AR518" s="11">
        <v>0.17500000000000002</v>
      </c>
      <c r="AS518" s="7">
        <v>4.330127018922194E-2</v>
      </c>
    </row>
    <row r="519" spans="44:45" x14ac:dyDescent="0.25">
      <c r="AR519" s="11">
        <v>0.18500000000000003</v>
      </c>
      <c r="AS519" s="7">
        <v>4.330127018922194E-2</v>
      </c>
    </row>
    <row r="520" spans="44:45" x14ac:dyDescent="0.25">
      <c r="AR520" s="11">
        <v>0.19500000000000003</v>
      </c>
      <c r="AS520" s="7">
        <v>4.330127018922194E-2</v>
      </c>
    </row>
    <row r="521" spans="44:45" x14ac:dyDescent="0.25">
      <c r="AR521" s="11">
        <v>0.20500000000000004</v>
      </c>
      <c r="AS521" s="7">
        <v>4.330127018922194E-2</v>
      </c>
    </row>
    <row r="522" spans="44:45" x14ac:dyDescent="0.25">
      <c r="AR522" s="11">
        <v>0.21500000000000005</v>
      </c>
      <c r="AS522" s="7">
        <v>4.330127018922194E-2</v>
      </c>
    </row>
    <row r="523" spans="44:45" x14ac:dyDescent="0.25">
      <c r="AR523" s="11">
        <v>0.22500000000000006</v>
      </c>
      <c r="AS523" s="7">
        <v>4.330127018922194E-2</v>
      </c>
    </row>
    <row r="524" spans="44:45" x14ac:dyDescent="0.25">
      <c r="AR524" s="11">
        <v>0.23500000000000007</v>
      </c>
      <c r="AS524" s="7">
        <v>4.330127018922194E-2</v>
      </c>
    </row>
    <row r="525" spans="44:45" x14ac:dyDescent="0.25">
      <c r="AR525" s="11">
        <v>0.24500000000000008</v>
      </c>
      <c r="AS525" s="7">
        <v>4.330127018922194E-2</v>
      </c>
    </row>
    <row r="526" spans="44:45" x14ac:dyDescent="0.25">
      <c r="AR526" s="11">
        <v>0.25500000000000006</v>
      </c>
      <c r="AS526" s="7">
        <v>4.330127018922194E-2</v>
      </c>
    </row>
    <row r="527" spans="44:45" x14ac:dyDescent="0.25">
      <c r="AR527" s="11">
        <v>0.26500000000000007</v>
      </c>
      <c r="AS527" s="7">
        <v>4.330127018922194E-2</v>
      </c>
    </row>
    <row r="528" spans="44:45" x14ac:dyDescent="0.25">
      <c r="AR528" s="11">
        <v>0.27500000000000008</v>
      </c>
      <c r="AS528" s="7">
        <v>4.330127018922194E-2</v>
      </c>
    </row>
    <row r="529" spans="44:45" x14ac:dyDescent="0.25">
      <c r="AR529" s="11">
        <v>0.28500000000000009</v>
      </c>
      <c r="AS529" s="7">
        <v>4.330127018922194E-2</v>
      </c>
    </row>
    <row r="530" spans="44:45" x14ac:dyDescent="0.25">
      <c r="AR530" s="11">
        <v>0.2950000000000001</v>
      </c>
      <c r="AS530" s="7">
        <v>4.330127018922194E-2</v>
      </c>
    </row>
    <row r="531" spans="44:45" x14ac:dyDescent="0.25">
      <c r="AR531" s="11">
        <v>0.3050000000000001</v>
      </c>
      <c r="AS531" s="7">
        <v>4.330127018922194E-2</v>
      </c>
    </row>
    <row r="532" spans="44:45" x14ac:dyDescent="0.25">
      <c r="AR532" s="11">
        <v>0.31500000000000011</v>
      </c>
      <c r="AS532" s="7">
        <v>4.330127018922194E-2</v>
      </c>
    </row>
    <row r="533" spans="44:45" x14ac:dyDescent="0.25">
      <c r="AR533" s="11">
        <v>0.32500000000000012</v>
      </c>
      <c r="AS533" s="7">
        <v>4.330127018922194E-2</v>
      </c>
    </row>
    <row r="534" spans="44:45" x14ac:dyDescent="0.25">
      <c r="AR534" s="11">
        <v>0.33500000000000013</v>
      </c>
      <c r="AS534" s="7">
        <v>4.330127018922194E-2</v>
      </c>
    </row>
    <row r="535" spans="44:45" x14ac:dyDescent="0.25">
      <c r="AR535" s="11">
        <v>0.34500000000000014</v>
      </c>
      <c r="AS535" s="7">
        <v>4.330127018922194E-2</v>
      </c>
    </row>
    <row r="536" spans="44:45" x14ac:dyDescent="0.25">
      <c r="AR536" s="11">
        <v>0.35500000000000015</v>
      </c>
      <c r="AS536" s="7">
        <v>4.330127018922194E-2</v>
      </c>
    </row>
    <row r="537" spans="44:45" x14ac:dyDescent="0.25">
      <c r="AR537" s="11">
        <v>0.36500000000000016</v>
      </c>
      <c r="AS537" s="7">
        <v>4.330127018922194E-2</v>
      </c>
    </row>
    <row r="538" spans="44:45" x14ac:dyDescent="0.25">
      <c r="AR538" s="11">
        <v>0.37500000000000017</v>
      </c>
      <c r="AS538" s="7">
        <v>4.330127018922194E-2</v>
      </c>
    </row>
    <row r="539" spans="44:45" x14ac:dyDescent="0.25">
      <c r="AR539" s="11">
        <v>0.38500000000000018</v>
      </c>
      <c r="AS539" s="7">
        <v>4.330127018922194E-2</v>
      </c>
    </row>
    <row r="540" spans="44:45" x14ac:dyDescent="0.25">
      <c r="AR540" s="11">
        <v>0.39500000000000018</v>
      </c>
      <c r="AS540" s="7">
        <v>4.330127018922194E-2</v>
      </c>
    </row>
    <row r="541" spans="44:45" x14ac:dyDescent="0.25">
      <c r="AR541" s="11">
        <v>0.40500000000000019</v>
      </c>
      <c r="AS541" s="7">
        <v>4.330127018922194E-2</v>
      </c>
    </row>
    <row r="542" spans="44:45" x14ac:dyDescent="0.25">
      <c r="AR542" s="11">
        <v>0.4150000000000002</v>
      </c>
      <c r="AS542" s="7">
        <v>4.330127018922194E-2</v>
      </c>
    </row>
    <row r="543" spans="44:45" x14ac:dyDescent="0.25">
      <c r="AR543" s="11">
        <v>0.42500000000000021</v>
      </c>
      <c r="AS543" s="7">
        <v>4.330127018922194E-2</v>
      </c>
    </row>
    <row r="544" spans="44:45" x14ac:dyDescent="0.25">
      <c r="AR544" s="11">
        <v>0.43500000000000022</v>
      </c>
      <c r="AS544" s="7">
        <v>4.330127018922194E-2</v>
      </c>
    </row>
    <row r="545" spans="44:45" x14ac:dyDescent="0.25">
      <c r="AR545" s="11">
        <v>0.44500000000000023</v>
      </c>
      <c r="AS545" s="7">
        <v>4.330127018922194E-2</v>
      </c>
    </row>
    <row r="546" spans="44:45" x14ac:dyDescent="0.25">
      <c r="AR546" s="11">
        <v>0.45500000000000024</v>
      </c>
      <c r="AS546" s="7">
        <v>4.330127018922194E-2</v>
      </c>
    </row>
    <row r="547" spans="44:45" x14ac:dyDescent="0.25">
      <c r="AR547" s="11">
        <v>0.46500000000000025</v>
      </c>
      <c r="AS547" s="7">
        <v>4.330127018922194E-2</v>
      </c>
    </row>
    <row r="548" spans="44:45" x14ac:dyDescent="0.25">
      <c r="AR548" s="11">
        <v>0.47500000000000026</v>
      </c>
      <c r="AS548" s="7">
        <v>4.330127018922194E-2</v>
      </c>
    </row>
    <row r="549" spans="44:45" x14ac:dyDescent="0.25">
      <c r="AR549" s="11">
        <v>0.48500000000000026</v>
      </c>
      <c r="AS549" s="7">
        <v>4.330127018922194E-2</v>
      </c>
    </row>
    <row r="550" spans="44:45" x14ac:dyDescent="0.25">
      <c r="AR550" s="11">
        <v>0.49500000000000027</v>
      </c>
      <c r="AS550" s="7">
        <v>4.330127018922194E-2</v>
      </c>
    </row>
    <row r="551" spans="44:45" x14ac:dyDescent="0.25">
      <c r="AR551" s="11">
        <v>0.50500000000000023</v>
      </c>
      <c r="AS551" s="7">
        <v>4.330127018922194E-2</v>
      </c>
    </row>
    <row r="552" spans="44:45" x14ac:dyDescent="0.25">
      <c r="AR552" s="11">
        <v>0.51500000000000024</v>
      </c>
      <c r="AS552" s="7">
        <v>4.330127018922194E-2</v>
      </c>
    </row>
    <row r="553" spans="44:45" x14ac:dyDescent="0.25">
      <c r="AR553" s="11">
        <v>0.52500000000000024</v>
      </c>
      <c r="AS553" s="7">
        <v>4.330127018922194E-2</v>
      </c>
    </row>
    <row r="554" spans="44:45" x14ac:dyDescent="0.25">
      <c r="AR554" s="11">
        <v>0.53500000000000025</v>
      </c>
      <c r="AS554" s="7">
        <v>4.330127018922194E-2</v>
      </c>
    </row>
    <row r="555" spans="44:45" x14ac:dyDescent="0.25">
      <c r="AR555" s="11">
        <v>0.54500000000000026</v>
      </c>
      <c r="AS555" s="7">
        <v>4.330127018922194E-2</v>
      </c>
    </row>
    <row r="556" spans="44:45" x14ac:dyDescent="0.25">
      <c r="AR556" s="11">
        <v>0.55500000000000027</v>
      </c>
      <c r="AS556" s="7">
        <v>4.330127018922194E-2</v>
      </c>
    </row>
    <row r="557" spans="44:45" x14ac:dyDescent="0.25">
      <c r="AR557" s="11">
        <v>0.56500000000000028</v>
      </c>
      <c r="AS557" s="7">
        <v>4.330127018922194E-2</v>
      </c>
    </row>
    <row r="558" spans="44:45" x14ac:dyDescent="0.25">
      <c r="AR558" s="11">
        <v>0.57500000000000029</v>
      </c>
      <c r="AS558" s="7">
        <v>4.330127018922194E-2</v>
      </c>
    </row>
    <row r="559" spans="44:45" x14ac:dyDescent="0.25">
      <c r="AR559" s="11">
        <v>0.5850000000000003</v>
      </c>
      <c r="AS559" s="7">
        <v>4.330127018922194E-2</v>
      </c>
    </row>
    <row r="560" spans="44:45" x14ac:dyDescent="0.25">
      <c r="AR560" s="11">
        <v>0.59500000000000031</v>
      </c>
      <c r="AS560" s="7">
        <v>4.330127018922194E-2</v>
      </c>
    </row>
    <row r="561" spans="44:45" x14ac:dyDescent="0.25">
      <c r="AR561" s="11">
        <v>0.60500000000000032</v>
      </c>
      <c r="AS561" s="7">
        <v>4.330127018922194E-2</v>
      </c>
    </row>
    <row r="562" spans="44:45" x14ac:dyDescent="0.25">
      <c r="AR562" s="11">
        <v>0.61500000000000032</v>
      </c>
      <c r="AS562" s="7">
        <v>4.330127018922194E-2</v>
      </c>
    </row>
    <row r="563" spans="44:45" x14ac:dyDescent="0.25">
      <c r="AR563" s="11">
        <v>0.62500000000000033</v>
      </c>
      <c r="AS563" s="7">
        <v>4.330127018922194E-2</v>
      </c>
    </row>
    <row r="564" spans="44:45" x14ac:dyDescent="0.25">
      <c r="AR564" s="11">
        <v>0.63500000000000034</v>
      </c>
      <c r="AS564" s="7">
        <v>4.330127018922194E-2</v>
      </c>
    </row>
    <row r="565" spans="44:45" x14ac:dyDescent="0.25">
      <c r="AR565" s="11">
        <v>0.64500000000000035</v>
      </c>
      <c r="AS565" s="7">
        <v>4.330127018922194E-2</v>
      </c>
    </row>
    <row r="566" spans="44:45" x14ac:dyDescent="0.25">
      <c r="AR566" s="11">
        <v>0.65500000000000036</v>
      </c>
      <c r="AS566" s="7">
        <v>4.330127018922194E-2</v>
      </c>
    </row>
    <row r="567" spans="44:45" x14ac:dyDescent="0.25">
      <c r="AR567" s="11">
        <v>0.66500000000000037</v>
      </c>
      <c r="AS567" s="7">
        <v>4.330127018922194E-2</v>
      </c>
    </row>
    <row r="568" spans="44:45" x14ac:dyDescent="0.25">
      <c r="AR568" s="11">
        <v>0.67500000000000038</v>
      </c>
      <c r="AS568" s="7">
        <v>4.330127018922194E-2</v>
      </c>
    </row>
    <row r="569" spans="44:45" x14ac:dyDescent="0.25">
      <c r="AR569" s="11">
        <v>0.68500000000000039</v>
      </c>
      <c r="AS569" s="7">
        <v>4.330127018922194E-2</v>
      </c>
    </row>
    <row r="570" spans="44:45" x14ac:dyDescent="0.25">
      <c r="AR570" s="11">
        <v>0.6950000000000004</v>
      </c>
      <c r="AS570" s="7">
        <v>4.330127018922194E-2</v>
      </c>
    </row>
    <row r="571" spans="44:45" x14ac:dyDescent="0.25">
      <c r="AR571" s="11">
        <v>0.7050000000000004</v>
      </c>
      <c r="AS571" s="7">
        <v>4.330127018922194E-2</v>
      </c>
    </row>
    <row r="572" spans="44:45" x14ac:dyDescent="0.25">
      <c r="AR572" s="11">
        <v>0.71500000000000041</v>
      </c>
      <c r="AS572" s="7">
        <v>4.330127018922194E-2</v>
      </c>
    </row>
    <row r="573" spans="44:45" x14ac:dyDescent="0.25">
      <c r="AR573" s="11">
        <v>0.72500000000000042</v>
      </c>
      <c r="AS573" s="7">
        <v>4.330127018922194E-2</v>
      </c>
    </row>
    <row r="574" spans="44:45" x14ac:dyDescent="0.25">
      <c r="AR574" s="11">
        <v>0.73500000000000043</v>
      </c>
      <c r="AS574" s="7">
        <v>4.330127018922194E-2</v>
      </c>
    </row>
    <row r="575" spans="44:45" x14ac:dyDescent="0.25">
      <c r="AR575" s="11">
        <v>0.74500000000000044</v>
      </c>
      <c r="AS575" s="7">
        <v>4.330127018922194E-2</v>
      </c>
    </row>
    <row r="576" spans="44:45" x14ac:dyDescent="0.25">
      <c r="AR576" s="11">
        <v>0.75500000000000045</v>
      </c>
      <c r="AS576" s="7">
        <v>4.330127018922194E-2</v>
      </c>
    </row>
    <row r="577" spans="44:45" x14ac:dyDescent="0.25">
      <c r="AR577" s="11">
        <v>0.76500000000000046</v>
      </c>
      <c r="AS577" s="7">
        <v>4.330127018922194E-2</v>
      </c>
    </row>
    <row r="578" spans="44:45" x14ac:dyDescent="0.25">
      <c r="AR578" s="11">
        <v>0.77500000000000047</v>
      </c>
      <c r="AS578" s="7">
        <v>4.330127018922194E-2</v>
      </c>
    </row>
    <row r="579" spans="44:45" x14ac:dyDescent="0.25">
      <c r="AR579" s="11">
        <v>0.78500000000000048</v>
      </c>
      <c r="AS579" s="7">
        <v>4.330127018922194E-2</v>
      </c>
    </row>
    <row r="580" spans="44:45" x14ac:dyDescent="0.25">
      <c r="AR580" s="11">
        <v>0.79500000000000048</v>
      </c>
      <c r="AS580" s="7">
        <v>4.330127018922194E-2</v>
      </c>
    </row>
    <row r="581" spans="44:45" x14ac:dyDescent="0.25">
      <c r="AR581" s="11">
        <v>0.80500000000000049</v>
      </c>
      <c r="AS581" s="7">
        <v>4.330127018922194E-2</v>
      </c>
    </row>
    <row r="582" spans="44:45" x14ac:dyDescent="0.25">
      <c r="AR582" s="11">
        <v>0.8150000000000005</v>
      </c>
      <c r="AS582" s="7">
        <v>4.330127018922194E-2</v>
      </c>
    </row>
    <row r="583" spans="44:45" x14ac:dyDescent="0.25">
      <c r="AR583" s="11">
        <v>0.82500000000000051</v>
      </c>
      <c r="AS583" s="7">
        <v>4.330127018922194E-2</v>
      </c>
    </row>
    <row r="584" spans="44:45" x14ac:dyDescent="0.25">
      <c r="AR584" s="11">
        <v>0.83500000000000052</v>
      </c>
      <c r="AS584" s="7">
        <v>4.330127018922194E-2</v>
      </c>
    </row>
    <row r="585" spans="44:45" x14ac:dyDescent="0.25">
      <c r="AR585" s="11">
        <v>0.84500000000000053</v>
      </c>
      <c r="AS585" s="7">
        <v>4.330127018922194E-2</v>
      </c>
    </row>
    <row r="586" spans="44:45" x14ac:dyDescent="0.25">
      <c r="AR586" s="11">
        <v>0.85500000000000054</v>
      </c>
      <c r="AS586" s="7">
        <v>4.330127018922194E-2</v>
      </c>
    </row>
    <row r="587" spans="44:45" x14ac:dyDescent="0.25">
      <c r="AR587" s="11">
        <v>0.86500000000000055</v>
      </c>
      <c r="AS587" s="7">
        <v>4.330127018922194E-2</v>
      </c>
    </row>
    <row r="588" spans="44:45" x14ac:dyDescent="0.25">
      <c r="AR588" s="11">
        <v>0.87500000000000056</v>
      </c>
      <c r="AS588" s="7">
        <v>4.330127018922194E-2</v>
      </c>
    </row>
    <row r="589" spans="44:45" x14ac:dyDescent="0.25">
      <c r="AR589" s="11">
        <v>0.88500000000000056</v>
      </c>
      <c r="AS589" s="7">
        <v>4.330127018922194E-2</v>
      </c>
    </row>
    <row r="590" spans="44:45" x14ac:dyDescent="0.25">
      <c r="AR590" s="11">
        <v>0.89500000000000057</v>
      </c>
      <c r="AS590" s="7">
        <v>4.330127018922194E-2</v>
      </c>
    </row>
    <row r="591" spans="44:45" x14ac:dyDescent="0.25">
      <c r="AR591" s="11">
        <v>0.90500000000000058</v>
      </c>
      <c r="AS591" s="7">
        <v>4.330127018922194E-2</v>
      </c>
    </row>
    <row r="592" spans="44:45" x14ac:dyDescent="0.25">
      <c r="AR592" s="11">
        <v>0.91500000000000059</v>
      </c>
      <c r="AS592" s="7">
        <v>4.330127018922194E-2</v>
      </c>
    </row>
    <row r="593" spans="44:45" x14ac:dyDescent="0.25">
      <c r="AR593" s="11">
        <v>0.9250000000000006</v>
      </c>
      <c r="AS593" s="7">
        <v>4.330127018922194E-2</v>
      </c>
    </row>
    <row r="594" spans="44:45" x14ac:dyDescent="0.25">
      <c r="AR594" s="11">
        <v>0.93500000000000061</v>
      </c>
      <c r="AS594" s="7">
        <v>4.330127018922194E-2</v>
      </c>
    </row>
    <row r="595" spans="44:45" x14ac:dyDescent="0.25">
      <c r="AR595" s="11">
        <v>0.94500000000000062</v>
      </c>
      <c r="AS595" s="7">
        <v>4.330127018922194E-2</v>
      </c>
    </row>
    <row r="596" spans="44:45" x14ac:dyDescent="0.25">
      <c r="AR596" s="11">
        <v>0.95500000000000063</v>
      </c>
      <c r="AS596" s="7">
        <v>4.330127018922194E-2</v>
      </c>
    </row>
    <row r="597" spans="44:45" x14ac:dyDescent="0.25">
      <c r="AR597" s="11">
        <v>0.96500000000000064</v>
      </c>
      <c r="AS597" s="7">
        <v>4.330127018922194E-2</v>
      </c>
    </row>
    <row r="598" spans="44:45" x14ac:dyDescent="0.25">
      <c r="AR598" s="11">
        <v>0.97500000000000064</v>
      </c>
      <c r="AS598" s="7">
        <v>4.330127018922194E-2</v>
      </c>
    </row>
    <row r="599" spans="44:45" x14ac:dyDescent="0.25">
      <c r="AR599" s="11"/>
      <c r="AS599" s="7"/>
    </row>
    <row r="600" spans="44:45" x14ac:dyDescent="0.25">
      <c r="AR600" s="11">
        <v>0.03</v>
      </c>
      <c r="AS600" s="7">
        <v>5.1961524227066319E-2</v>
      </c>
    </row>
    <row r="601" spans="44:45" x14ac:dyDescent="0.25">
      <c r="AR601" s="11">
        <v>0.04</v>
      </c>
      <c r="AS601" s="7">
        <v>5.1961524227066319E-2</v>
      </c>
    </row>
    <row r="602" spans="44:45" x14ac:dyDescent="0.25">
      <c r="AR602" s="11">
        <v>0.05</v>
      </c>
      <c r="AS602" s="7">
        <v>5.1961524227066319E-2</v>
      </c>
    </row>
    <row r="603" spans="44:45" x14ac:dyDescent="0.25">
      <c r="AR603" s="11">
        <v>6.0000000000000005E-2</v>
      </c>
      <c r="AS603" s="7">
        <v>5.1961524227066319E-2</v>
      </c>
    </row>
    <row r="604" spans="44:45" x14ac:dyDescent="0.25">
      <c r="AR604" s="11">
        <v>7.0000000000000007E-2</v>
      </c>
      <c r="AS604" s="7">
        <v>5.1961524227066319E-2</v>
      </c>
    </row>
    <row r="605" spans="44:45" x14ac:dyDescent="0.25">
      <c r="AR605" s="11">
        <v>0.08</v>
      </c>
      <c r="AS605" s="7">
        <v>5.1961524227066319E-2</v>
      </c>
    </row>
    <row r="606" spans="44:45" x14ac:dyDescent="0.25">
      <c r="AR606" s="11">
        <v>0.09</v>
      </c>
      <c r="AS606" s="7">
        <v>5.1961524227066319E-2</v>
      </c>
    </row>
    <row r="607" spans="44:45" x14ac:dyDescent="0.25">
      <c r="AR607" s="11">
        <v>9.9999999999999992E-2</v>
      </c>
      <c r="AS607" s="7">
        <v>5.1961524227066319E-2</v>
      </c>
    </row>
    <row r="608" spans="44:45" x14ac:dyDescent="0.25">
      <c r="AR608" s="11">
        <v>0.10999999999999999</v>
      </c>
      <c r="AS608" s="7">
        <v>5.1961524227066319E-2</v>
      </c>
    </row>
    <row r="609" spans="44:45" x14ac:dyDescent="0.25">
      <c r="AR609" s="11">
        <v>0.11999999999999998</v>
      </c>
      <c r="AS609" s="7">
        <v>5.1961524227066319E-2</v>
      </c>
    </row>
    <row r="610" spans="44:45" x14ac:dyDescent="0.25">
      <c r="AR610" s="11">
        <v>0.12999999999999998</v>
      </c>
      <c r="AS610" s="7">
        <v>5.1961524227066319E-2</v>
      </c>
    </row>
    <row r="611" spans="44:45" x14ac:dyDescent="0.25">
      <c r="AR611" s="11">
        <v>0.13999999999999999</v>
      </c>
      <c r="AS611" s="7">
        <v>5.1961524227066319E-2</v>
      </c>
    </row>
    <row r="612" spans="44:45" x14ac:dyDescent="0.25">
      <c r="AR612" s="11">
        <v>0.15</v>
      </c>
      <c r="AS612" s="7">
        <v>5.1961524227066319E-2</v>
      </c>
    </row>
    <row r="613" spans="44:45" x14ac:dyDescent="0.25">
      <c r="AR613" s="11">
        <v>0.16</v>
      </c>
      <c r="AS613" s="7">
        <v>5.1961524227066319E-2</v>
      </c>
    </row>
    <row r="614" spans="44:45" x14ac:dyDescent="0.25">
      <c r="AR614" s="11">
        <v>0.17</v>
      </c>
      <c r="AS614" s="7">
        <v>5.1961524227066319E-2</v>
      </c>
    </row>
    <row r="615" spans="44:45" x14ac:dyDescent="0.25">
      <c r="AR615" s="11">
        <v>0.18000000000000002</v>
      </c>
      <c r="AS615" s="7">
        <v>5.1961524227066319E-2</v>
      </c>
    </row>
    <row r="616" spans="44:45" x14ac:dyDescent="0.25">
      <c r="AR616" s="11">
        <v>0.19000000000000003</v>
      </c>
      <c r="AS616" s="7">
        <v>5.1961524227066319E-2</v>
      </c>
    </row>
    <row r="617" spans="44:45" x14ac:dyDescent="0.25">
      <c r="AR617" s="11">
        <v>0.20000000000000004</v>
      </c>
      <c r="AS617" s="7">
        <v>5.1961524227066319E-2</v>
      </c>
    </row>
    <row r="618" spans="44:45" x14ac:dyDescent="0.25">
      <c r="AR618" s="11">
        <v>0.21000000000000005</v>
      </c>
      <c r="AS618" s="7">
        <v>5.1961524227066319E-2</v>
      </c>
    </row>
    <row r="619" spans="44:45" x14ac:dyDescent="0.25">
      <c r="AR619" s="11">
        <v>0.22000000000000006</v>
      </c>
      <c r="AS619" s="7">
        <v>5.1961524227066319E-2</v>
      </c>
    </row>
    <row r="620" spans="44:45" x14ac:dyDescent="0.25">
      <c r="AR620" s="11">
        <v>0.23000000000000007</v>
      </c>
      <c r="AS620" s="7">
        <v>5.1961524227066319E-2</v>
      </c>
    </row>
    <row r="621" spans="44:45" x14ac:dyDescent="0.25">
      <c r="AR621" s="11">
        <v>0.24000000000000007</v>
      </c>
      <c r="AS621" s="7">
        <v>5.1961524227066319E-2</v>
      </c>
    </row>
    <row r="622" spans="44:45" x14ac:dyDescent="0.25">
      <c r="AR622" s="11">
        <v>0.25000000000000006</v>
      </c>
      <c r="AS622" s="7">
        <v>5.1961524227066319E-2</v>
      </c>
    </row>
    <row r="623" spans="44:45" x14ac:dyDescent="0.25">
      <c r="AR623" s="11">
        <v>0.26000000000000006</v>
      </c>
      <c r="AS623" s="7">
        <v>5.1961524227066319E-2</v>
      </c>
    </row>
    <row r="624" spans="44:45" x14ac:dyDescent="0.25">
      <c r="AR624" s="11">
        <v>0.27000000000000007</v>
      </c>
      <c r="AS624" s="7">
        <v>5.1961524227066319E-2</v>
      </c>
    </row>
    <row r="625" spans="44:45" x14ac:dyDescent="0.25">
      <c r="AR625" s="11">
        <v>0.28000000000000008</v>
      </c>
      <c r="AS625" s="7">
        <v>5.1961524227066319E-2</v>
      </c>
    </row>
    <row r="626" spans="44:45" x14ac:dyDescent="0.25">
      <c r="AR626" s="11">
        <v>0.29000000000000009</v>
      </c>
      <c r="AS626" s="7">
        <v>5.1961524227066319E-2</v>
      </c>
    </row>
    <row r="627" spans="44:45" x14ac:dyDescent="0.25">
      <c r="AR627" s="11">
        <v>0.3000000000000001</v>
      </c>
      <c r="AS627" s="7">
        <v>5.1961524227066319E-2</v>
      </c>
    </row>
    <row r="628" spans="44:45" x14ac:dyDescent="0.25">
      <c r="AR628" s="11">
        <v>0.31000000000000011</v>
      </c>
      <c r="AS628" s="7">
        <v>5.1961524227066319E-2</v>
      </c>
    </row>
    <row r="629" spans="44:45" x14ac:dyDescent="0.25">
      <c r="AR629" s="11">
        <v>0.32000000000000012</v>
      </c>
      <c r="AS629" s="7">
        <v>5.1961524227066319E-2</v>
      </c>
    </row>
    <row r="630" spans="44:45" x14ac:dyDescent="0.25">
      <c r="AR630" s="11">
        <v>0.33000000000000013</v>
      </c>
      <c r="AS630" s="7">
        <v>5.1961524227066319E-2</v>
      </c>
    </row>
    <row r="631" spans="44:45" x14ac:dyDescent="0.25">
      <c r="AR631" s="11">
        <v>0.34000000000000014</v>
      </c>
      <c r="AS631" s="7">
        <v>5.1961524227066319E-2</v>
      </c>
    </row>
    <row r="632" spans="44:45" x14ac:dyDescent="0.25">
      <c r="AR632" s="11">
        <v>0.35000000000000014</v>
      </c>
      <c r="AS632" s="7">
        <v>5.1961524227066319E-2</v>
      </c>
    </row>
    <row r="633" spans="44:45" x14ac:dyDescent="0.25">
      <c r="AR633" s="11">
        <v>0.36000000000000015</v>
      </c>
      <c r="AS633" s="7">
        <v>5.1961524227066319E-2</v>
      </c>
    </row>
    <row r="634" spans="44:45" x14ac:dyDescent="0.25">
      <c r="AR634" s="11">
        <v>0.37000000000000016</v>
      </c>
      <c r="AS634" s="7">
        <v>5.1961524227066319E-2</v>
      </c>
    </row>
    <row r="635" spans="44:45" x14ac:dyDescent="0.25">
      <c r="AR635" s="11">
        <v>0.38000000000000017</v>
      </c>
      <c r="AS635" s="7">
        <v>5.1961524227066319E-2</v>
      </c>
    </row>
    <row r="636" spans="44:45" x14ac:dyDescent="0.25">
      <c r="AR636" s="11">
        <v>0.39000000000000018</v>
      </c>
      <c r="AS636" s="7">
        <v>5.1961524227066319E-2</v>
      </c>
    </row>
    <row r="637" spans="44:45" x14ac:dyDescent="0.25">
      <c r="AR637" s="11">
        <v>0.40000000000000019</v>
      </c>
      <c r="AS637" s="7">
        <v>5.1961524227066319E-2</v>
      </c>
    </row>
    <row r="638" spans="44:45" x14ac:dyDescent="0.25">
      <c r="AR638" s="11">
        <v>0.4100000000000002</v>
      </c>
      <c r="AS638" s="7">
        <v>5.1961524227066319E-2</v>
      </c>
    </row>
    <row r="639" spans="44:45" x14ac:dyDescent="0.25">
      <c r="AR639" s="11">
        <v>0.42000000000000021</v>
      </c>
      <c r="AS639" s="7">
        <v>5.1961524227066319E-2</v>
      </c>
    </row>
    <row r="640" spans="44:45" x14ac:dyDescent="0.25">
      <c r="AR640" s="11">
        <v>0.43000000000000022</v>
      </c>
      <c r="AS640" s="7">
        <v>5.1961524227066319E-2</v>
      </c>
    </row>
    <row r="641" spans="44:45" x14ac:dyDescent="0.25">
      <c r="AR641" s="11">
        <v>0.44000000000000022</v>
      </c>
      <c r="AS641" s="7">
        <v>5.1961524227066319E-2</v>
      </c>
    </row>
    <row r="642" spans="44:45" x14ac:dyDescent="0.25">
      <c r="AR642" s="11">
        <v>0.45000000000000023</v>
      </c>
      <c r="AS642" s="7">
        <v>5.1961524227066319E-2</v>
      </c>
    </row>
    <row r="643" spans="44:45" x14ac:dyDescent="0.25">
      <c r="AR643" s="11">
        <v>0.46000000000000024</v>
      </c>
      <c r="AS643" s="7">
        <v>5.1961524227066319E-2</v>
      </c>
    </row>
    <row r="644" spans="44:45" x14ac:dyDescent="0.25">
      <c r="AR644" s="11">
        <v>0.47000000000000025</v>
      </c>
      <c r="AS644" s="7">
        <v>5.1961524227066319E-2</v>
      </c>
    </row>
    <row r="645" spans="44:45" x14ac:dyDescent="0.25">
      <c r="AR645" s="11">
        <v>0.48000000000000026</v>
      </c>
      <c r="AS645" s="7">
        <v>5.1961524227066319E-2</v>
      </c>
    </row>
    <row r="646" spans="44:45" x14ac:dyDescent="0.25">
      <c r="AR646" s="11">
        <v>0.49000000000000027</v>
      </c>
      <c r="AS646" s="7">
        <v>5.1961524227066319E-2</v>
      </c>
    </row>
    <row r="647" spans="44:45" x14ac:dyDescent="0.25">
      <c r="AR647" s="11">
        <v>0.50000000000000022</v>
      </c>
      <c r="AS647" s="7">
        <v>5.1961524227066319E-2</v>
      </c>
    </row>
    <row r="648" spans="44:45" x14ac:dyDescent="0.25">
      <c r="AR648" s="11">
        <v>0.51000000000000023</v>
      </c>
      <c r="AS648" s="7">
        <v>5.1961524227066319E-2</v>
      </c>
    </row>
    <row r="649" spans="44:45" x14ac:dyDescent="0.25">
      <c r="AR649" s="11">
        <v>0.52000000000000024</v>
      </c>
      <c r="AS649" s="7">
        <v>5.1961524227066319E-2</v>
      </c>
    </row>
    <row r="650" spans="44:45" x14ac:dyDescent="0.25">
      <c r="AR650" s="11">
        <v>0.53000000000000025</v>
      </c>
      <c r="AS650" s="7">
        <v>5.1961524227066319E-2</v>
      </c>
    </row>
    <row r="651" spans="44:45" x14ac:dyDescent="0.25">
      <c r="AR651" s="11">
        <v>0.54000000000000026</v>
      </c>
      <c r="AS651" s="7">
        <v>5.1961524227066319E-2</v>
      </c>
    </row>
    <row r="652" spans="44:45" x14ac:dyDescent="0.25">
      <c r="AR652" s="11">
        <v>0.55000000000000027</v>
      </c>
      <c r="AS652" s="7">
        <v>5.1961524227066319E-2</v>
      </c>
    </row>
    <row r="653" spans="44:45" x14ac:dyDescent="0.25">
      <c r="AR653" s="11">
        <v>0.56000000000000028</v>
      </c>
      <c r="AS653" s="7">
        <v>5.1961524227066319E-2</v>
      </c>
    </row>
    <row r="654" spans="44:45" x14ac:dyDescent="0.25">
      <c r="AR654" s="11">
        <v>0.57000000000000028</v>
      </c>
      <c r="AS654" s="7">
        <v>5.1961524227066319E-2</v>
      </c>
    </row>
    <row r="655" spans="44:45" x14ac:dyDescent="0.25">
      <c r="AR655" s="11">
        <v>0.58000000000000029</v>
      </c>
      <c r="AS655" s="7">
        <v>5.1961524227066319E-2</v>
      </c>
    </row>
    <row r="656" spans="44:45" x14ac:dyDescent="0.25">
      <c r="AR656" s="11">
        <v>0.5900000000000003</v>
      </c>
      <c r="AS656" s="7">
        <v>5.1961524227066319E-2</v>
      </c>
    </row>
    <row r="657" spans="44:45" x14ac:dyDescent="0.25">
      <c r="AR657" s="11">
        <v>0.60000000000000031</v>
      </c>
      <c r="AS657" s="7">
        <v>5.1961524227066319E-2</v>
      </c>
    </row>
    <row r="658" spans="44:45" x14ac:dyDescent="0.25">
      <c r="AR658" s="11">
        <v>0.61000000000000032</v>
      </c>
      <c r="AS658" s="7">
        <v>5.1961524227066319E-2</v>
      </c>
    </row>
    <row r="659" spans="44:45" x14ac:dyDescent="0.25">
      <c r="AR659" s="11">
        <v>0.62000000000000033</v>
      </c>
      <c r="AS659" s="7">
        <v>5.1961524227066319E-2</v>
      </c>
    </row>
    <row r="660" spans="44:45" x14ac:dyDescent="0.25">
      <c r="AR660" s="11">
        <v>0.63000000000000034</v>
      </c>
      <c r="AS660" s="7">
        <v>5.1961524227066319E-2</v>
      </c>
    </row>
    <row r="661" spans="44:45" x14ac:dyDescent="0.25">
      <c r="AR661" s="11">
        <v>0.64000000000000035</v>
      </c>
      <c r="AS661" s="7">
        <v>5.1961524227066319E-2</v>
      </c>
    </row>
    <row r="662" spans="44:45" x14ac:dyDescent="0.25">
      <c r="AR662" s="11">
        <v>0.65000000000000036</v>
      </c>
      <c r="AS662" s="7">
        <v>5.1961524227066319E-2</v>
      </c>
    </row>
    <row r="663" spans="44:45" x14ac:dyDescent="0.25">
      <c r="AR663" s="11">
        <v>0.66000000000000036</v>
      </c>
      <c r="AS663" s="7">
        <v>5.1961524227066319E-2</v>
      </c>
    </row>
    <row r="664" spans="44:45" x14ac:dyDescent="0.25">
      <c r="AR664" s="11">
        <v>0.67000000000000037</v>
      </c>
      <c r="AS664" s="7">
        <v>5.1961524227066319E-2</v>
      </c>
    </row>
    <row r="665" spans="44:45" x14ac:dyDescent="0.25">
      <c r="AR665" s="11">
        <v>0.68000000000000038</v>
      </c>
      <c r="AS665" s="7">
        <v>5.1961524227066319E-2</v>
      </c>
    </row>
    <row r="666" spans="44:45" x14ac:dyDescent="0.25">
      <c r="AR666" s="11">
        <v>0.69000000000000039</v>
      </c>
      <c r="AS666" s="7">
        <v>5.1961524227066319E-2</v>
      </c>
    </row>
    <row r="667" spans="44:45" x14ac:dyDescent="0.25">
      <c r="AR667" s="11">
        <v>0.7000000000000004</v>
      </c>
      <c r="AS667" s="7">
        <v>5.1961524227066319E-2</v>
      </c>
    </row>
    <row r="668" spans="44:45" x14ac:dyDescent="0.25">
      <c r="AR668" s="11">
        <v>0.71000000000000041</v>
      </c>
      <c r="AS668" s="7">
        <v>5.1961524227066319E-2</v>
      </c>
    </row>
    <row r="669" spans="44:45" x14ac:dyDescent="0.25">
      <c r="AR669" s="11">
        <v>0.72000000000000042</v>
      </c>
      <c r="AS669" s="7">
        <v>5.1961524227066319E-2</v>
      </c>
    </row>
    <row r="670" spans="44:45" x14ac:dyDescent="0.25">
      <c r="AR670" s="11">
        <v>0.73000000000000043</v>
      </c>
      <c r="AS670" s="7">
        <v>5.1961524227066319E-2</v>
      </c>
    </row>
    <row r="671" spans="44:45" x14ac:dyDescent="0.25">
      <c r="AR671" s="11">
        <v>0.74000000000000044</v>
      </c>
      <c r="AS671" s="7">
        <v>5.1961524227066319E-2</v>
      </c>
    </row>
    <row r="672" spans="44:45" x14ac:dyDescent="0.25">
      <c r="AR672" s="11">
        <v>0.75000000000000044</v>
      </c>
      <c r="AS672" s="7">
        <v>5.1961524227066319E-2</v>
      </c>
    </row>
    <row r="673" spans="44:45" x14ac:dyDescent="0.25">
      <c r="AR673" s="11">
        <v>0.76000000000000045</v>
      </c>
      <c r="AS673" s="7">
        <v>5.1961524227066319E-2</v>
      </c>
    </row>
    <row r="674" spans="44:45" x14ac:dyDescent="0.25">
      <c r="AR674" s="11">
        <v>0.77000000000000046</v>
      </c>
      <c r="AS674" s="7">
        <v>5.1961524227066319E-2</v>
      </c>
    </row>
    <row r="675" spans="44:45" x14ac:dyDescent="0.25">
      <c r="AR675" s="11">
        <v>0.78000000000000047</v>
      </c>
      <c r="AS675" s="7">
        <v>5.1961524227066319E-2</v>
      </c>
    </row>
    <row r="676" spans="44:45" x14ac:dyDescent="0.25">
      <c r="AR676" s="11">
        <v>0.79000000000000048</v>
      </c>
      <c r="AS676" s="7">
        <v>5.1961524227066319E-2</v>
      </c>
    </row>
    <row r="677" spans="44:45" x14ac:dyDescent="0.25">
      <c r="AR677" s="11">
        <v>0.80000000000000049</v>
      </c>
      <c r="AS677" s="7">
        <v>5.1961524227066319E-2</v>
      </c>
    </row>
    <row r="678" spans="44:45" x14ac:dyDescent="0.25">
      <c r="AR678" s="11">
        <v>0.8100000000000005</v>
      </c>
      <c r="AS678" s="7">
        <v>5.1961524227066319E-2</v>
      </c>
    </row>
    <row r="679" spans="44:45" x14ac:dyDescent="0.25">
      <c r="AR679" s="11">
        <v>0.82000000000000051</v>
      </c>
      <c r="AS679" s="7">
        <v>5.1961524227066319E-2</v>
      </c>
    </row>
    <row r="680" spans="44:45" x14ac:dyDescent="0.25">
      <c r="AR680" s="11">
        <v>0.83000000000000052</v>
      </c>
      <c r="AS680" s="7">
        <v>5.1961524227066319E-2</v>
      </c>
    </row>
    <row r="681" spans="44:45" x14ac:dyDescent="0.25">
      <c r="AR681" s="11">
        <v>0.84000000000000052</v>
      </c>
      <c r="AS681" s="7">
        <v>5.1961524227066319E-2</v>
      </c>
    </row>
    <row r="682" spans="44:45" x14ac:dyDescent="0.25">
      <c r="AR682" s="11">
        <v>0.85000000000000053</v>
      </c>
      <c r="AS682" s="7">
        <v>5.1961524227066319E-2</v>
      </c>
    </row>
    <row r="683" spans="44:45" x14ac:dyDescent="0.25">
      <c r="AR683" s="11">
        <v>0.86000000000000054</v>
      </c>
      <c r="AS683" s="7">
        <v>5.1961524227066319E-2</v>
      </c>
    </row>
    <row r="684" spans="44:45" x14ac:dyDescent="0.25">
      <c r="AR684" s="11">
        <v>0.87000000000000055</v>
      </c>
      <c r="AS684" s="7">
        <v>5.1961524227066319E-2</v>
      </c>
    </row>
    <row r="685" spans="44:45" x14ac:dyDescent="0.25">
      <c r="AR685" s="11">
        <v>0.88000000000000056</v>
      </c>
      <c r="AS685" s="7">
        <v>5.1961524227066319E-2</v>
      </c>
    </row>
    <row r="686" spans="44:45" x14ac:dyDescent="0.25">
      <c r="AR686" s="11">
        <v>0.89000000000000057</v>
      </c>
      <c r="AS686" s="7">
        <v>5.1961524227066319E-2</v>
      </c>
    </row>
    <row r="687" spans="44:45" x14ac:dyDescent="0.25">
      <c r="AR687" s="11">
        <v>0.90000000000000058</v>
      </c>
      <c r="AS687" s="7">
        <v>5.1961524227066319E-2</v>
      </c>
    </row>
    <row r="688" spans="44:45" x14ac:dyDescent="0.25">
      <c r="AR688" s="11">
        <v>0.91000000000000059</v>
      </c>
      <c r="AS688" s="7">
        <v>5.1961524227066319E-2</v>
      </c>
    </row>
    <row r="689" spans="44:45" x14ac:dyDescent="0.25">
      <c r="AR689" s="11">
        <v>0.9200000000000006</v>
      </c>
      <c r="AS689" s="7">
        <v>5.1961524227066319E-2</v>
      </c>
    </row>
    <row r="690" spans="44:45" x14ac:dyDescent="0.25">
      <c r="AR690" s="11">
        <v>0.9300000000000006</v>
      </c>
      <c r="AS690" s="7">
        <v>5.1961524227066319E-2</v>
      </c>
    </row>
    <row r="691" spans="44:45" x14ac:dyDescent="0.25">
      <c r="AR691" s="11">
        <v>0.94000000000000061</v>
      </c>
      <c r="AS691" s="7">
        <v>5.1961524227066319E-2</v>
      </c>
    </row>
    <row r="692" spans="44:45" x14ac:dyDescent="0.25">
      <c r="AR692" s="11">
        <v>0.95000000000000062</v>
      </c>
      <c r="AS692" s="7">
        <v>5.1961524227066319E-2</v>
      </c>
    </row>
    <row r="693" spans="44:45" x14ac:dyDescent="0.25">
      <c r="AR693" s="11">
        <v>0.96000000000000063</v>
      </c>
      <c r="AS693" s="7">
        <v>5.1961524227066319E-2</v>
      </c>
    </row>
    <row r="694" spans="44:45" x14ac:dyDescent="0.25">
      <c r="AR694" s="11">
        <v>0.97000000000000064</v>
      </c>
      <c r="AS694" s="7">
        <v>5.1961524227066319E-2</v>
      </c>
    </row>
    <row r="695" spans="44:45" x14ac:dyDescent="0.25">
      <c r="AR695" s="11"/>
      <c r="AS695" s="7"/>
    </row>
    <row r="696" spans="44:45" x14ac:dyDescent="0.25">
      <c r="AR696" s="11">
        <v>3.5000000000000003E-2</v>
      </c>
      <c r="AS696" s="7">
        <v>6.0621778264910706E-2</v>
      </c>
    </row>
    <row r="697" spans="44:45" x14ac:dyDescent="0.25">
      <c r="AR697" s="11">
        <v>4.5000000000000005E-2</v>
      </c>
      <c r="AS697" s="7">
        <v>6.0621778264910706E-2</v>
      </c>
    </row>
    <row r="698" spans="44:45" x14ac:dyDescent="0.25">
      <c r="AR698" s="11">
        <v>5.5000000000000007E-2</v>
      </c>
      <c r="AS698" s="7">
        <v>6.0621778264910706E-2</v>
      </c>
    </row>
    <row r="699" spans="44:45" x14ac:dyDescent="0.25">
      <c r="AR699" s="11">
        <v>6.5000000000000002E-2</v>
      </c>
      <c r="AS699" s="7">
        <v>6.0621778264910706E-2</v>
      </c>
    </row>
    <row r="700" spans="44:45" x14ac:dyDescent="0.25">
      <c r="AR700" s="11">
        <v>7.4999999999999997E-2</v>
      </c>
      <c r="AS700" s="7">
        <v>6.0621778264910706E-2</v>
      </c>
    </row>
    <row r="701" spans="44:45" x14ac:dyDescent="0.25">
      <c r="AR701" s="11">
        <v>8.4999999999999992E-2</v>
      </c>
      <c r="AS701" s="7">
        <v>6.0621778264910706E-2</v>
      </c>
    </row>
    <row r="702" spans="44:45" x14ac:dyDescent="0.25">
      <c r="AR702" s="11">
        <v>9.4999999999999987E-2</v>
      </c>
      <c r="AS702" s="7">
        <v>6.0621778264910706E-2</v>
      </c>
    </row>
    <row r="703" spans="44:45" x14ac:dyDescent="0.25">
      <c r="AR703" s="11">
        <v>0.10499999999999998</v>
      </c>
      <c r="AS703" s="7">
        <v>6.0621778264910706E-2</v>
      </c>
    </row>
    <row r="704" spans="44:45" x14ac:dyDescent="0.25">
      <c r="AR704" s="11">
        <v>0.11499999999999998</v>
      </c>
      <c r="AS704" s="7">
        <v>6.0621778264910706E-2</v>
      </c>
    </row>
    <row r="705" spans="44:45" x14ac:dyDescent="0.25">
      <c r="AR705" s="11">
        <v>0.12499999999999997</v>
      </c>
      <c r="AS705" s="7">
        <v>6.0621778264910706E-2</v>
      </c>
    </row>
    <row r="706" spans="44:45" x14ac:dyDescent="0.25">
      <c r="AR706" s="11">
        <v>0.13499999999999998</v>
      </c>
      <c r="AS706" s="7">
        <v>6.0621778264910706E-2</v>
      </c>
    </row>
    <row r="707" spans="44:45" x14ac:dyDescent="0.25">
      <c r="AR707" s="11">
        <v>0.14499999999999999</v>
      </c>
      <c r="AS707" s="7">
        <v>6.0621778264910706E-2</v>
      </c>
    </row>
    <row r="708" spans="44:45" x14ac:dyDescent="0.25">
      <c r="AR708" s="11">
        <v>0.155</v>
      </c>
      <c r="AS708" s="7">
        <v>6.0621778264910706E-2</v>
      </c>
    </row>
    <row r="709" spans="44:45" x14ac:dyDescent="0.25">
      <c r="AR709" s="11">
        <v>0.16500000000000001</v>
      </c>
      <c r="AS709" s="7">
        <v>6.0621778264910706E-2</v>
      </c>
    </row>
    <row r="710" spans="44:45" x14ac:dyDescent="0.25">
      <c r="AR710" s="11">
        <v>0.17500000000000002</v>
      </c>
      <c r="AS710" s="7">
        <v>6.0621778264910706E-2</v>
      </c>
    </row>
    <row r="711" spans="44:45" x14ac:dyDescent="0.25">
      <c r="AR711" s="11">
        <v>0.18500000000000003</v>
      </c>
      <c r="AS711" s="7">
        <v>6.0621778264910706E-2</v>
      </c>
    </row>
    <row r="712" spans="44:45" x14ac:dyDescent="0.25">
      <c r="AR712" s="11">
        <v>0.19500000000000003</v>
      </c>
      <c r="AS712" s="7">
        <v>6.0621778264910706E-2</v>
      </c>
    </row>
    <row r="713" spans="44:45" x14ac:dyDescent="0.25">
      <c r="AR713" s="11">
        <v>0.20500000000000004</v>
      </c>
      <c r="AS713" s="7">
        <v>6.0621778264910706E-2</v>
      </c>
    </row>
    <row r="714" spans="44:45" x14ac:dyDescent="0.25">
      <c r="AR714" s="11">
        <v>0.21500000000000005</v>
      </c>
      <c r="AS714" s="7">
        <v>6.0621778264910706E-2</v>
      </c>
    </row>
    <row r="715" spans="44:45" x14ac:dyDescent="0.25">
      <c r="AR715" s="11">
        <v>0.22500000000000006</v>
      </c>
      <c r="AS715" s="7">
        <v>6.0621778264910706E-2</v>
      </c>
    </row>
    <row r="716" spans="44:45" x14ac:dyDescent="0.25">
      <c r="AR716" s="11">
        <v>0.23500000000000007</v>
      </c>
      <c r="AS716" s="7">
        <v>6.0621778264910706E-2</v>
      </c>
    </row>
    <row r="717" spans="44:45" x14ac:dyDescent="0.25">
      <c r="AR717" s="11">
        <v>0.24500000000000008</v>
      </c>
      <c r="AS717" s="7">
        <v>6.0621778264910706E-2</v>
      </c>
    </row>
    <row r="718" spans="44:45" x14ac:dyDescent="0.25">
      <c r="AR718" s="11">
        <v>0.25500000000000006</v>
      </c>
      <c r="AS718" s="7">
        <v>6.0621778264910706E-2</v>
      </c>
    </row>
    <row r="719" spans="44:45" x14ac:dyDescent="0.25">
      <c r="AR719" s="11">
        <v>0.26500000000000007</v>
      </c>
      <c r="AS719" s="7">
        <v>6.0621778264910706E-2</v>
      </c>
    </row>
    <row r="720" spans="44:45" x14ac:dyDescent="0.25">
      <c r="AR720" s="11">
        <v>0.27500000000000008</v>
      </c>
      <c r="AS720" s="7">
        <v>6.0621778264910706E-2</v>
      </c>
    </row>
    <row r="721" spans="44:45" x14ac:dyDescent="0.25">
      <c r="AR721" s="11">
        <v>0.28500000000000009</v>
      </c>
      <c r="AS721" s="7">
        <v>6.0621778264910706E-2</v>
      </c>
    </row>
    <row r="722" spans="44:45" x14ac:dyDescent="0.25">
      <c r="AR722" s="11">
        <v>0.2950000000000001</v>
      </c>
      <c r="AS722" s="7">
        <v>6.0621778264910706E-2</v>
      </c>
    </row>
    <row r="723" spans="44:45" x14ac:dyDescent="0.25">
      <c r="AR723" s="11">
        <v>0.3050000000000001</v>
      </c>
      <c r="AS723" s="7">
        <v>6.0621778264910706E-2</v>
      </c>
    </row>
    <row r="724" spans="44:45" x14ac:dyDescent="0.25">
      <c r="AR724" s="11">
        <v>0.31500000000000011</v>
      </c>
      <c r="AS724" s="7">
        <v>6.0621778264910706E-2</v>
      </c>
    </row>
    <row r="725" spans="44:45" x14ac:dyDescent="0.25">
      <c r="AR725" s="11">
        <v>0.32500000000000012</v>
      </c>
      <c r="AS725" s="7">
        <v>6.0621778264910706E-2</v>
      </c>
    </row>
    <row r="726" spans="44:45" x14ac:dyDescent="0.25">
      <c r="AR726" s="11">
        <v>0.33500000000000013</v>
      </c>
      <c r="AS726" s="7">
        <v>6.0621778264910706E-2</v>
      </c>
    </row>
    <row r="727" spans="44:45" x14ac:dyDescent="0.25">
      <c r="AR727" s="11">
        <v>0.34500000000000014</v>
      </c>
      <c r="AS727" s="7">
        <v>6.0621778264910706E-2</v>
      </c>
    </row>
    <row r="728" spans="44:45" x14ac:dyDescent="0.25">
      <c r="AR728" s="11">
        <v>0.35500000000000015</v>
      </c>
      <c r="AS728" s="7">
        <v>6.0621778264910706E-2</v>
      </c>
    </row>
    <row r="729" spans="44:45" x14ac:dyDescent="0.25">
      <c r="AR729" s="11">
        <v>0.36500000000000016</v>
      </c>
      <c r="AS729" s="7">
        <v>6.0621778264910706E-2</v>
      </c>
    </row>
    <row r="730" spans="44:45" x14ac:dyDescent="0.25">
      <c r="AR730" s="11">
        <v>0.37500000000000017</v>
      </c>
      <c r="AS730" s="7">
        <v>6.0621778264910706E-2</v>
      </c>
    </row>
    <row r="731" spans="44:45" x14ac:dyDescent="0.25">
      <c r="AR731" s="11">
        <v>0.38500000000000018</v>
      </c>
      <c r="AS731" s="7">
        <v>6.0621778264910706E-2</v>
      </c>
    </row>
    <row r="732" spans="44:45" x14ac:dyDescent="0.25">
      <c r="AR732" s="11">
        <v>0.39500000000000018</v>
      </c>
      <c r="AS732" s="7">
        <v>6.0621778264910706E-2</v>
      </c>
    </row>
    <row r="733" spans="44:45" x14ac:dyDescent="0.25">
      <c r="AR733" s="11">
        <v>0.40500000000000019</v>
      </c>
      <c r="AS733" s="7">
        <v>6.0621778264910706E-2</v>
      </c>
    </row>
    <row r="734" spans="44:45" x14ac:dyDescent="0.25">
      <c r="AR734" s="11">
        <v>0.4150000000000002</v>
      </c>
      <c r="AS734" s="7">
        <v>6.0621778264910706E-2</v>
      </c>
    </row>
    <row r="735" spans="44:45" x14ac:dyDescent="0.25">
      <c r="AR735" s="11">
        <v>0.42500000000000021</v>
      </c>
      <c r="AS735" s="7">
        <v>6.0621778264910706E-2</v>
      </c>
    </row>
    <row r="736" spans="44:45" x14ac:dyDescent="0.25">
      <c r="AR736" s="11">
        <v>0.43500000000000022</v>
      </c>
      <c r="AS736" s="7">
        <v>6.0621778264910706E-2</v>
      </c>
    </row>
    <row r="737" spans="44:45" x14ac:dyDescent="0.25">
      <c r="AR737" s="11">
        <v>0.44500000000000023</v>
      </c>
      <c r="AS737" s="7">
        <v>6.0621778264910706E-2</v>
      </c>
    </row>
    <row r="738" spans="44:45" x14ac:dyDescent="0.25">
      <c r="AR738" s="11">
        <v>0.45500000000000024</v>
      </c>
      <c r="AS738" s="7">
        <v>6.0621778264910706E-2</v>
      </c>
    </row>
    <row r="739" spans="44:45" x14ac:dyDescent="0.25">
      <c r="AR739" s="11">
        <v>0.46500000000000025</v>
      </c>
      <c r="AS739" s="7">
        <v>6.0621778264910706E-2</v>
      </c>
    </row>
    <row r="740" spans="44:45" x14ac:dyDescent="0.25">
      <c r="AR740" s="11">
        <v>0.47500000000000026</v>
      </c>
      <c r="AS740" s="7">
        <v>6.0621778264910706E-2</v>
      </c>
    </row>
    <row r="741" spans="44:45" x14ac:dyDescent="0.25">
      <c r="AR741" s="11">
        <v>0.48500000000000026</v>
      </c>
      <c r="AS741" s="7">
        <v>6.0621778264910706E-2</v>
      </c>
    </row>
    <row r="742" spans="44:45" x14ac:dyDescent="0.25">
      <c r="AR742" s="11">
        <v>0.49500000000000027</v>
      </c>
      <c r="AS742" s="7">
        <v>6.0621778264910706E-2</v>
      </c>
    </row>
    <row r="743" spans="44:45" x14ac:dyDescent="0.25">
      <c r="AR743" s="11">
        <v>0.50500000000000023</v>
      </c>
      <c r="AS743" s="7">
        <v>6.0621778264910706E-2</v>
      </c>
    </row>
    <row r="744" spans="44:45" x14ac:dyDescent="0.25">
      <c r="AR744" s="11">
        <v>0.51500000000000024</v>
      </c>
      <c r="AS744" s="7">
        <v>6.0621778264910706E-2</v>
      </c>
    </row>
    <row r="745" spans="44:45" x14ac:dyDescent="0.25">
      <c r="AR745" s="11">
        <v>0.52500000000000024</v>
      </c>
      <c r="AS745" s="7">
        <v>6.0621778264910706E-2</v>
      </c>
    </row>
    <row r="746" spans="44:45" x14ac:dyDescent="0.25">
      <c r="AR746" s="11">
        <v>0.53500000000000025</v>
      </c>
      <c r="AS746" s="7">
        <v>6.0621778264910706E-2</v>
      </c>
    </row>
    <row r="747" spans="44:45" x14ac:dyDescent="0.25">
      <c r="AR747" s="11">
        <v>0.54500000000000026</v>
      </c>
      <c r="AS747" s="7">
        <v>6.0621778264910706E-2</v>
      </c>
    </row>
    <row r="748" spans="44:45" x14ac:dyDescent="0.25">
      <c r="AR748" s="11">
        <v>0.55500000000000027</v>
      </c>
      <c r="AS748" s="7">
        <v>6.0621778264910706E-2</v>
      </c>
    </row>
    <row r="749" spans="44:45" x14ac:dyDescent="0.25">
      <c r="AR749" s="11">
        <v>0.56500000000000028</v>
      </c>
      <c r="AS749" s="7">
        <v>6.0621778264910706E-2</v>
      </c>
    </row>
    <row r="750" spans="44:45" x14ac:dyDescent="0.25">
      <c r="AR750" s="11">
        <v>0.57500000000000029</v>
      </c>
      <c r="AS750" s="7">
        <v>6.0621778264910706E-2</v>
      </c>
    </row>
    <row r="751" spans="44:45" x14ac:dyDescent="0.25">
      <c r="AR751" s="11">
        <v>0.5850000000000003</v>
      </c>
      <c r="AS751" s="7">
        <v>6.0621778264910706E-2</v>
      </c>
    </row>
    <row r="752" spans="44:45" x14ac:dyDescent="0.25">
      <c r="AR752" s="11">
        <v>0.59500000000000031</v>
      </c>
      <c r="AS752" s="7">
        <v>6.0621778264910706E-2</v>
      </c>
    </row>
    <row r="753" spans="44:45" x14ac:dyDescent="0.25">
      <c r="AR753" s="11">
        <v>0.60500000000000032</v>
      </c>
      <c r="AS753" s="7">
        <v>6.0621778264910706E-2</v>
      </c>
    </row>
    <row r="754" spans="44:45" x14ac:dyDescent="0.25">
      <c r="AR754" s="11">
        <v>0.61500000000000032</v>
      </c>
      <c r="AS754" s="7">
        <v>6.0621778264910706E-2</v>
      </c>
    </row>
    <row r="755" spans="44:45" x14ac:dyDescent="0.25">
      <c r="AR755" s="11">
        <v>0.62500000000000033</v>
      </c>
      <c r="AS755" s="7">
        <v>6.0621778264910706E-2</v>
      </c>
    </row>
    <row r="756" spans="44:45" x14ac:dyDescent="0.25">
      <c r="AR756" s="11">
        <v>0.63500000000000034</v>
      </c>
      <c r="AS756" s="7">
        <v>6.0621778264910706E-2</v>
      </c>
    </row>
    <row r="757" spans="44:45" x14ac:dyDescent="0.25">
      <c r="AR757" s="11">
        <v>0.64500000000000035</v>
      </c>
      <c r="AS757" s="7">
        <v>6.0621778264910706E-2</v>
      </c>
    </row>
    <row r="758" spans="44:45" x14ac:dyDescent="0.25">
      <c r="AR758" s="11">
        <v>0.65500000000000036</v>
      </c>
      <c r="AS758" s="7">
        <v>6.0621778264910706E-2</v>
      </c>
    </row>
    <row r="759" spans="44:45" x14ac:dyDescent="0.25">
      <c r="AR759" s="11">
        <v>0.66500000000000037</v>
      </c>
      <c r="AS759" s="7">
        <v>6.0621778264910706E-2</v>
      </c>
    </row>
    <row r="760" spans="44:45" x14ac:dyDescent="0.25">
      <c r="AR760" s="11">
        <v>0.67500000000000038</v>
      </c>
      <c r="AS760" s="7">
        <v>6.0621778264910706E-2</v>
      </c>
    </row>
    <row r="761" spans="44:45" x14ac:dyDescent="0.25">
      <c r="AR761" s="11">
        <v>0.68500000000000039</v>
      </c>
      <c r="AS761" s="7">
        <v>6.0621778264910706E-2</v>
      </c>
    </row>
    <row r="762" spans="44:45" x14ac:dyDescent="0.25">
      <c r="AR762" s="11">
        <v>0.6950000000000004</v>
      </c>
      <c r="AS762" s="7">
        <v>6.0621778264910706E-2</v>
      </c>
    </row>
    <row r="763" spans="44:45" x14ac:dyDescent="0.25">
      <c r="AR763" s="11">
        <v>0.7050000000000004</v>
      </c>
      <c r="AS763" s="7">
        <v>6.0621778264910706E-2</v>
      </c>
    </row>
    <row r="764" spans="44:45" x14ac:dyDescent="0.25">
      <c r="AR764" s="11">
        <v>0.71500000000000041</v>
      </c>
      <c r="AS764" s="7">
        <v>6.0621778264910706E-2</v>
      </c>
    </row>
    <row r="765" spans="44:45" x14ac:dyDescent="0.25">
      <c r="AR765" s="11">
        <v>0.72500000000000042</v>
      </c>
      <c r="AS765" s="7">
        <v>6.0621778264910706E-2</v>
      </c>
    </row>
    <row r="766" spans="44:45" x14ac:dyDescent="0.25">
      <c r="AR766" s="11">
        <v>0.73500000000000043</v>
      </c>
      <c r="AS766" s="7">
        <v>6.0621778264910706E-2</v>
      </c>
    </row>
    <row r="767" spans="44:45" x14ac:dyDescent="0.25">
      <c r="AR767" s="11">
        <v>0.74500000000000044</v>
      </c>
      <c r="AS767" s="7">
        <v>6.0621778264910706E-2</v>
      </c>
    </row>
    <row r="768" spans="44:45" x14ac:dyDescent="0.25">
      <c r="AR768" s="11">
        <v>0.75500000000000045</v>
      </c>
      <c r="AS768" s="7">
        <v>6.0621778264910706E-2</v>
      </c>
    </row>
    <row r="769" spans="44:45" x14ac:dyDescent="0.25">
      <c r="AR769" s="11">
        <v>0.76500000000000046</v>
      </c>
      <c r="AS769" s="7">
        <v>6.0621778264910706E-2</v>
      </c>
    </row>
    <row r="770" spans="44:45" x14ac:dyDescent="0.25">
      <c r="AR770" s="11">
        <v>0.77500000000000047</v>
      </c>
      <c r="AS770" s="7">
        <v>6.0621778264910706E-2</v>
      </c>
    </row>
    <row r="771" spans="44:45" x14ac:dyDescent="0.25">
      <c r="AR771" s="11">
        <v>0.78500000000000048</v>
      </c>
      <c r="AS771" s="7">
        <v>6.0621778264910706E-2</v>
      </c>
    </row>
    <row r="772" spans="44:45" x14ac:dyDescent="0.25">
      <c r="AR772" s="11">
        <v>0.79500000000000048</v>
      </c>
      <c r="AS772" s="7">
        <v>6.0621778264910706E-2</v>
      </c>
    </row>
    <row r="773" spans="44:45" x14ac:dyDescent="0.25">
      <c r="AR773" s="11">
        <v>0.80500000000000049</v>
      </c>
      <c r="AS773" s="7">
        <v>6.0621778264910706E-2</v>
      </c>
    </row>
    <row r="774" spans="44:45" x14ac:dyDescent="0.25">
      <c r="AR774" s="11">
        <v>0.8150000000000005</v>
      </c>
      <c r="AS774" s="7">
        <v>6.0621778264910706E-2</v>
      </c>
    </row>
    <row r="775" spans="44:45" x14ac:dyDescent="0.25">
      <c r="AR775" s="11">
        <v>0.82500000000000051</v>
      </c>
      <c r="AS775" s="7">
        <v>6.0621778264910706E-2</v>
      </c>
    </row>
    <row r="776" spans="44:45" x14ac:dyDescent="0.25">
      <c r="AR776" s="11">
        <v>0.83500000000000052</v>
      </c>
      <c r="AS776" s="7">
        <v>6.0621778264910706E-2</v>
      </c>
    </row>
    <row r="777" spans="44:45" x14ac:dyDescent="0.25">
      <c r="AR777" s="11">
        <v>0.84500000000000053</v>
      </c>
      <c r="AS777" s="7">
        <v>6.0621778264910706E-2</v>
      </c>
    </row>
    <row r="778" spans="44:45" x14ac:dyDescent="0.25">
      <c r="AR778" s="11">
        <v>0.85500000000000054</v>
      </c>
      <c r="AS778" s="7">
        <v>6.0621778264910706E-2</v>
      </c>
    </row>
    <row r="779" spans="44:45" x14ac:dyDescent="0.25">
      <c r="AR779" s="11">
        <v>0.86500000000000055</v>
      </c>
      <c r="AS779" s="7">
        <v>6.0621778264910706E-2</v>
      </c>
    </row>
    <row r="780" spans="44:45" x14ac:dyDescent="0.25">
      <c r="AR780" s="11">
        <v>0.87500000000000056</v>
      </c>
      <c r="AS780" s="7">
        <v>6.0621778264910706E-2</v>
      </c>
    </row>
    <row r="781" spans="44:45" x14ac:dyDescent="0.25">
      <c r="AR781" s="11">
        <v>0.88500000000000056</v>
      </c>
      <c r="AS781" s="7">
        <v>6.0621778264910706E-2</v>
      </c>
    </row>
    <row r="782" spans="44:45" x14ac:dyDescent="0.25">
      <c r="AR782" s="11">
        <v>0.89500000000000057</v>
      </c>
      <c r="AS782" s="7">
        <v>6.0621778264910706E-2</v>
      </c>
    </row>
    <row r="783" spans="44:45" x14ac:dyDescent="0.25">
      <c r="AR783" s="11">
        <v>0.90500000000000058</v>
      </c>
      <c r="AS783" s="7">
        <v>6.0621778264910706E-2</v>
      </c>
    </row>
    <row r="784" spans="44:45" x14ac:dyDescent="0.25">
      <c r="AR784" s="11">
        <v>0.91500000000000059</v>
      </c>
      <c r="AS784" s="7">
        <v>6.0621778264910706E-2</v>
      </c>
    </row>
    <row r="785" spans="44:45" x14ac:dyDescent="0.25">
      <c r="AR785" s="11">
        <v>0.9250000000000006</v>
      </c>
      <c r="AS785" s="7">
        <v>6.0621778264910706E-2</v>
      </c>
    </row>
    <row r="786" spans="44:45" x14ac:dyDescent="0.25">
      <c r="AR786" s="11">
        <v>0.93500000000000061</v>
      </c>
      <c r="AS786" s="7">
        <v>6.0621778264910706E-2</v>
      </c>
    </row>
    <row r="787" spans="44:45" x14ac:dyDescent="0.25">
      <c r="AR787" s="11">
        <v>0.94500000000000062</v>
      </c>
      <c r="AS787" s="7">
        <v>6.0621778264910706E-2</v>
      </c>
    </row>
    <row r="788" spans="44:45" x14ac:dyDescent="0.25">
      <c r="AR788" s="11">
        <v>0.95500000000000063</v>
      </c>
      <c r="AS788" s="7">
        <v>6.0621778264910706E-2</v>
      </c>
    </row>
    <row r="789" spans="44:45" x14ac:dyDescent="0.25">
      <c r="AR789" s="11">
        <v>0.96500000000000064</v>
      </c>
      <c r="AS789" s="7">
        <v>6.0621778264910706E-2</v>
      </c>
    </row>
    <row r="790" spans="44:45" x14ac:dyDescent="0.25">
      <c r="AR790" s="11"/>
      <c r="AS790" s="7"/>
    </row>
    <row r="791" spans="44:45" x14ac:dyDescent="0.25">
      <c r="AR791" s="11">
        <v>0.04</v>
      </c>
      <c r="AS791" s="7">
        <v>6.9282032302755092E-2</v>
      </c>
    </row>
    <row r="792" spans="44:45" x14ac:dyDescent="0.25">
      <c r="AR792" s="11">
        <v>0.05</v>
      </c>
      <c r="AS792" s="7">
        <v>6.9282032302755092E-2</v>
      </c>
    </row>
    <row r="793" spans="44:45" x14ac:dyDescent="0.25">
      <c r="AR793" s="11">
        <v>6.0000000000000005E-2</v>
      </c>
      <c r="AS793" s="7">
        <v>6.9282032302755092E-2</v>
      </c>
    </row>
    <row r="794" spans="44:45" x14ac:dyDescent="0.25">
      <c r="AR794" s="11">
        <v>7.0000000000000007E-2</v>
      </c>
      <c r="AS794" s="7">
        <v>6.9282032302755092E-2</v>
      </c>
    </row>
    <row r="795" spans="44:45" x14ac:dyDescent="0.25">
      <c r="AR795" s="11">
        <v>0.08</v>
      </c>
      <c r="AS795" s="7">
        <v>6.9282032302755092E-2</v>
      </c>
    </row>
    <row r="796" spans="44:45" x14ac:dyDescent="0.25">
      <c r="AR796" s="11">
        <v>0.09</v>
      </c>
      <c r="AS796" s="7">
        <v>6.9282032302755092E-2</v>
      </c>
    </row>
    <row r="797" spans="44:45" x14ac:dyDescent="0.25">
      <c r="AR797" s="11">
        <v>9.9999999999999992E-2</v>
      </c>
      <c r="AS797" s="7">
        <v>6.9282032302755092E-2</v>
      </c>
    </row>
    <row r="798" spans="44:45" x14ac:dyDescent="0.25">
      <c r="AR798" s="11">
        <v>0.10999999999999999</v>
      </c>
      <c r="AS798" s="7">
        <v>6.9282032302755092E-2</v>
      </c>
    </row>
    <row r="799" spans="44:45" x14ac:dyDescent="0.25">
      <c r="AR799" s="11">
        <v>0.11999999999999998</v>
      </c>
      <c r="AS799" s="7">
        <v>6.9282032302755092E-2</v>
      </c>
    </row>
    <row r="800" spans="44:45" x14ac:dyDescent="0.25">
      <c r="AR800" s="11">
        <v>0.12999999999999998</v>
      </c>
      <c r="AS800" s="7">
        <v>6.9282032302755092E-2</v>
      </c>
    </row>
    <row r="801" spans="44:45" x14ac:dyDescent="0.25">
      <c r="AR801" s="11">
        <v>0.13999999999999999</v>
      </c>
      <c r="AS801" s="7">
        <v>6.9282032302755092E-2</v>
      </c>
    </row>
    <row r="802" spans="44:45" x14ac:dyDescent="0.25">
      <c r="AR802" s="11">
        <v>0.15</v>
      </c>
      <c r="AS802" s="7">
        <v>6.9282032302755092E-2</v>
      </c>
    </row>
    <row r="803" spans="44:45" x14ac:dyDescent="0.25">
      <c r="AR803" s="11">
        <v>0.16</v>
      </c>
      <c r="AS803" s="7">
        <v>6.9282032302755092E-2</v>
      </c>
    </row>
    <row r="804" spans="44:45" x14ac:dyDescent="0.25">
      <c r="AR804" s="11">
        <v>0.17</v>
      </c>
      <c r="AS804" s="7">
        <v>6.9282032302755092E-2</v>
      </c>
    </row>
    <row r="805" spans="44:45" x14ac:dyDescent="0.25">
      <c r="AR805" s="11">
        <v>0.18000000000000002</v>
      </c>
      <c r="AS805" s="7">
        <v>6.9282032302755092E-2</v>
      </c>
    </row>
    <row r="806" spans="44:45" x14ac:dyDescent="0.25">
      <c r="AR806" s="11">
        <v>0.19000000000000003</v>
      </c>
      <c r="AS806" s="7">
        <v>6.9282032302755092E-2</v>
      </c>
    </row>
    <row r="807" spans="44:45" x14ac:dyDescent="0.25">
      <c r="AR807" s="11">
        <v>0.20000000000000004</v>
      </c>
      <c r="AS807" s="7">
        <v>6.9282032302755092E-2</v>
      </c>
    </row>
    <row r="808" spans="44:45" x14ac:dyDescent="0.25">
      <c r="AR808" s="11">
        <v>0.21000000000000005</v>
      </c>
      <c r="AS808" s="7">
        <v>6.9282032302755092E-2</v>
      </c>
    </row>
    <row r="809" spans="44:45" x14ac:dyDescent="0.25">
      <c r="AR809" s="11">
        <v>0.22000000000000006</v>
      </c>
      <c r="AS809" s="7">
        <v>6.9282032302755092E-2</v>
      </c>
    </row>
    <row r="810" spans="44:45" x14ac:dyDescent="0.25">
      <c r="AR810" s="11">
        <v>0.23000000000000007</v>
      </c>
      <c r="AS810" s="7">
        <v>6.9282032302755092E-2</v>
      </c>
    </row>
    <row r="811" spans="44:45" x14ac:dyDescent="0.25">
      <c r="AR811" s="11">
        <v>0.24000000000000007</v>
      </c>
      <c r="AS811" s="7">
        <v>6.9282032302755092E-2</v>
      </c>
    </row>
    <row r="812" spans="44:45" x14ac:dyDescent="0.25">
      <c r="AR812" s="11">
        <v>0.25000000000000006</v>
      </c>
      <c r="AS812" s="7">
        <v>6.9282032302755092E-2</v>
      </c>
    </row>
    <row r="813" spans="44:45" x14ac:dyDescent="0.25">
      <c r="AR813" s="11">
        <v>0.26000000000000006</v>
      </c>
      <c r="AS813" s="7">
        <v>6.9282032302755092E-2</v>
      </c>
    </row>
    <row r="814" spans="44:45" x14ac:dyDescent="0.25">
      <c r="AR814" s="11">
        <v>0.27000000000000007</v>
      </c>
      <c r="AS814" s="7">
        <v>6.9282032302755092E-2</v>
      </c>
    </row>
    <row r="815" spans="44:45" x14ac:dyDescent="0.25">
      <c r="AR815" s="11">
        <v>0.28000000000000008</v>
      </c>
      <c r="AS815" s="7">
        <v>6.9282032302755092E-2</v>
      </c>
    </row>
    <row r="816" spans="44:45" x14ac:dyDescent="0.25">
      <c r="AR816" s="11">
        <v>0.29000000000000009</v>
      </c>
      <c r="AS816" s="7">
        <v>6.9282032302755092E-2</v>
      </c>
    </row>
    <row r="817" spans="44:45" x14ac:dyDescent="0.25">
      <c r="AR817" s="11">
        <v>0.3000000000000001</v>
      </c>
      <c r="AS817" s="7">
        <v>6.9282032302755092E-2</v>
      </c>
    </row>
    <row r="818" spans="44:45" x14ac:dyDescent="0.25">
      <c r="AR818" s="11">
        <v>0.31000000000000011</v>
      </c>
      <c r="AS818" s="7">
        <v>6.9282032302755092E-2</v>
      </c>
    </row>
    <row r="819" spans="44:45" x14ac:dyDescent="0.25">
      <c r="AR819" s="11">
        <v>0.32000000000000012</v>
      </c>
      <c r="AS819" s="7">
        <v>6.9282032302755092E-2</v>
      </c>
    </row>
    <row r="820" spans="44:45" x14ac:dyDescent="0.25">
      <c r="AR820" s="11">
        <v>0.33000000000000013</v>
      </c>
      <c r="AS820" s="7">
        <v>6.9282032302755092E-2</v>
      </c>
    </row>
    <row r="821" spans="44:45" x14ac:dyDescent="0.25">
      <c r="AR821" s="11">
        <v>0.34000000000000014</v>
      </c>
      <c r="AS821" s="7">
        <v>6.9282032302755092E-2</v>
      </c>
    </row>
    <row r="822" spans="44:45" x14ac:dyDescent="0.25">
      <c r="AR822" s="11">
        <v>0.35000000000000014</v>
      </c>
      <c r="AS822" s="7">
        <v>6.9282032302755092E-2</v>
      </c>
    </row>
    <row r="823" spans="44:45" x14ac:dyDescent="0.25">
      <c r="AR823" s="11">
        <v>0.36000000000000015</v>
      </c>
      <c r="AS823" s="7">
        <v>6.9282032302755092E-2</v>
      </c>
    </row>
    <row r="824" spans="44:45" x14ac:dyDescent="0.25">
      <c r="AR824" s="11">
        <v>0.37000000000000016</v>
      </c>
      <c r="AS824" s="7">
        <v>6.9282032302755092E-2</v>
      </c>
    </row>
    <row r="825" spans="44:45" x14ac:dyDescent="0.25">
      <c r="AR825" s="11">
        <v>0.38000000000000017</v>
      </c>
      <c r="AS825" s="7">
        <v>6.9282032302755092E-2</v>
      </c>
    </row>
    <row r="826" spans="44:45" x14ac:dyDescent="0.25">
      <c r="AR826" s="11">
        <v>0.39000000000000018</v>
      </c>
      <c r="AS826" s="7">
        <v>6.9282032302755092E-2</v>
      </c>
    </row>
    <row r="827" spans="44:45" x14ac:dyDescent="0.25">
      <c r="AR827" s="11">
        <v>0.40000000000000019</v>
      </c>
      <c r="AS827" s="7">
        <v>6.9282032302755092E-2</v>
      </c>
    </row>
    <row r="828" spans="44:45" x14ac:dyDescent="0.25">
      <c r="AR828" s="11">
        <v>0.4100000000000002</v>
      </c>
      <c r="AS828" s="7">
        <v>6.9282032302755092E-2</v>
      </c>
    </row>
    <row r="829" spans="44:45" x14ac:dyDescent="0.25">
      <c r="AR829" s="11">
        <v>0.42000000000000021</v>
      </c>
      <c r="AS829" s="7">
        <v>6.9282032302755092E-2</v>
      </c>
    </row>
    <row r="830" spans="44:45" x14ac:dyDescent="0.25">
      <c r="AR830" s="11">
        <v>0.43000000000000022</v>
      </c>
      <c r="AS830" s="7">
        <v>6.9282032302755092E-2</v>
      </c>
    </row>
    <row r="831" spans="44:45" x14ac:dyDescent="0.25">
      <c r="AR831" s="11">
        <v>0.44000000000000022</v>
      </c>
      <c r="AS831" s="7">
        <v>6.9282032302755092E-2</v>
      </c>
    </row>
    <row r="832" spans="44:45" x14ac:dyDescent="0.25">
      <c r="AR832" s="11">
        <v>0.45000000000000023</v>
      </c>
      <c r="AS832" s="7">
        <v>6.9282032302755092E-2</v>
      </c>
    </row>
    <row r="833" spans="44:45" x14ac:dyDescent="0.25">
      <c r="AR833" s="11">
        <v>0.46000000000000024</v>
      </c>
      <c r="AS833" s="7">
        <v>6.9282032302755092E-2</v>
      </c>
    </row>
    <row r="834" spans="44:45" x14ac:dyDescent="0.25">
      <c r="AR834" s="11">
        <v>0.47000000000000025</v>
      </c>
      <c r="AS834" s="7">
        <v>6.9282032302755092E-2</v>
      </c>
    </row>
    <row r="835" spans="44:45" x14ac:dyDescent="0.25">
      <c r="AR835" s="11">
        <v>0.48000000000000026</v>
      </c>
      <c r="AS835" s="7">
        <v>6.9282032302755092E-2</v>
      </c>
    </row>
    <row r="836" spans="44:45" x14ac:dyDescent="0.25">
      <c r="AR836" s="11">
        <v>0.49000000000000027</v>
      </c>
      <c r="AS836" s="7">
        <v>6.9282032302755092E-2</v>
      </c>
    </row>
    <row r="837" spans="44:45" x14ac:dyDescent="0.25">
      <c r="AR837" s="11">
        <v>0.50000000000000022</v>
      </c>
      <c r="AS837" s="7">
        <v>6.9282032302755092E-2</v>
      </c>
    </row>
    <row r="838" spans="44:45" x14ac:dyDescent="0.25">
      <c r="AR838" s="11">
        <v>0.51000000000000023</v>
      </c>
      <c r="AS838" s="7">
        <v>6.9282032302755092E-2</v>
      </c>
    </row>
    <row r="839" spans="44:45" x14ac:dyDescent="0.25">
      <c r="AR839" s="11">
        <v>0.52000000000000024</v>
      </c>
      <c r="AS839" s="7">
        <v>6.9282032302755092E-2</v>
      </c>
    </row>
    <row r="840" spans="44:45" x14ac:dyDescent="0.25">
      <c r="AR840" s="11">
        <v>0.53000000000000025</v>
      </c>
      <c r="AS840" s="7">
        <v>6.9282032302755092E-2</v>
      </c>
    </row>
    <row r="841" spans="44:45" x14ac:dyDescent="0.25">
      <c r="AR841" s="11">
        <v>0.54000000000000026</v>
      </c>
      <c r="AS841" s="7">
        <v>6.9282032302755092E-2</v>
      </c>
    </row>
    <row r="842" spans="44:45" x14ac:dyDescent="0.25">
      <c r="AR842" s="11">
        <v>0.55000000000000027</v>
      </c>
      <c r="AS842" s="7">
        <v>6.9282032302755092E-2</v>
      </c>
    </row>
    <row r="843" spans="44:45" x14ac:dyDescent="0.25">
      <c r="AR843" s="11">
        <v>0.56000000000000028</v>
      </c>
      <c r="AS843" s="7">
        <v>6.9282032302755092E-2</v>
      </c>
    </row>
    <row r="844" spans="44:45" x14ac:dyDescent="0.25">
      <c r="AR844" s="11">
        <v>0.57000000000000028</v>
      </c>
      <c r="AS844" s="7">
        <v>6.9282032302755092E-2</v>
      </c>
    </row>
    <row r="845" spans="44:45" x14ac:dyDescent="0.25">
      <c r="AR845" s="11">
        <v>0.58000000000000029</v>
      </c>
      <c r="AS845" s="7">
        <v>6.9282032302755092E-2</v>
      </c>
    </row>
    <row r="846" spans="44:45" x14ac:dyDescent="0.25">
      <c r="AR846" s="11">
        <v>0.5900000000000003</v>
      </c>
      <c r="AS846" s="7">
        <v>6.9282032302755092E-2</v>
      </c>
    </row>
    <row r="847" spans="44:45" x14ac:dyDescent="0.25">
      <c r="AR847" s="11">
        <v>0.60000000000000031</v>
      </c>
      <c r="AS847" s="7">
        <v>6.9282032302755092E-2</v>
      </c>
    </row>
    <row r="848" spans="44:45" x14ac:dyDescent="0.25">
      <c r="AR848" s="11">
        <v>0.61000000000000032</v>
      </c>
      <c r="AS848" s="7">
        <v>6.9282032302755092E-2</v>
      </c>
    </row>
    <row r="849" spans="44:45" x14ac:dyDescent="0.25">
      <c r="AR849" s="11">
        <v>0.62000000000000033</v>
      </c>
      <c r="AS849" s="7">
        <v>6.9282032302755092E-2</v>
      </c>
    </row>
    <row r="850" spans="44:45" x14ac:dyDescent="0.25">
      <c r="AR850" s="11">
        <v>0.63000000000000034</v>
      </c>
      <c r="AS850" s="7">
        <v>6.9282032302755092E-2</v>
      </c>
    </row>
    <row r="851" spans="44:45" x14ac:dyDescent="0.25">
      <c r="AR851" s="11">
        <v>0.64000000000000035</v>
      </c>
      <c r="AS851" s="7">
        <v>6.9282032302755092E-2</v>
      </c>
    </row>
    <row r="852" spans="44:45" x14ac:dyDescent="0.25">
      <c r="AR852" s="11">
        <v>0.65000000000000036</v>
      </c>
      <c r="AS852" s="7">
        <v>6.9282032302755092E-2</v>
      </c>
    </row>
    <row r="853" spans="44:45" x14ac:dyDescent="0.25">
      <c r="AR853" s="11">
        <v>0.66000000000000036</v>
      </c>
      <c r="AS853" s="7">
        <v>6.9282032302755092E-2</v>
      </c>
    </row>
    <row r="854" spans="44:45" x14ac:dyDescent="0.25">
      <c r="AR854" s="11">
        <v>0.67000000000000037</v>
      </c>
      <c r="AS854" s="7">
        <v>6.9282032302755092E-2</v>
      </c>
    </row>
    <row r="855" spans="44:45" x14ac:dyDescent="0.25">
      <c r="AR855" s="11">
        <v>0.68000000000000038</v>
      </c>
      <c r="AS855" s="7">
        <v>6.9282032302755092E-2</v>
      </c>
    </row>
    <row r="856" spans="44:45" x14ac:dyDescent="0.25">
      <c r="AR856" s="11">
        <v>0.69000000000000039</v>
      </c>
      <c r="AS856" s="7">
        <v>6.9282032302755092E-2</v>
      </c>
    </row>
    <row r="857" spans="44:45" x14ac:dyDescent="0.25">
      <c r="AR857" s="11">
        <v>0.7000000000000004</v>
      </c>
      <c r="AS857" s="7">
        <v>6.9282032302755092E-2</v>
      </c>
    </row>
    <row r="858" spans="44:45" x14ac:dyDescent="0.25">
      <c r="AR858" s="11">
        <v>0.71000000000000041</v>
      </c>
      <c r="AS858" s="7">
        <v>6.9282032302755092E-2</v>
      </c>
    </row>
    <row r="859" spans="44:45" x14ac:dyDescent="0.25">
      <c r="AR859" s="11">
        <v>0.72000000000000042</v>
      </c>
      <c r="AS859" s="7">
        <v>6.9282032302755092E-2</v>
      </c>
    </row>
    <row r="860" spans="44:45" x14ac:dyDescent="0.25">
      <c r="AR860" s="11">
        <v>0.73000000000000043</v>
      </c>
      <c r="AS860" s="7">
        <v>6.9282032302755092E-2</v>
      </c>
    </row>
    <row r="861" spans="44:45" x14ac:dyDescent="0.25">
      <c r="AR861" s="11">
        <v>0.74000000000000044</v>
      </c>
      <c r="AS861" s="7">
        <v>6.9282032302755092E-2</v>
      </c>
    </row>
    <row r="862" spans="44:45" x14ac:dyDescent="0.25">
      <c r="AR862" s="11">
        <v>0.75000000000000044</v>
      </c>
      <c r="AS862" s="7">
        <v>6.9282032302755092E-2</v>
      </c>
    </row>
    <row r="863" spans="44:45" x14ac:dyDescent="0.25">
      <c r="AR863" s="11">
        <v>0.76000000000000045</v>
      </c>
      <c r="AS863" s="7">
        <v>6.9282032302755092E-2</v>
      </c>
    </row>
    <row r="864" spans="44:45" x14ac:dyDescent="0.25">
      <c r="AR864" s="11">
        <v>0.77000000000000046</v>
      </c>
      <c r="AS864" s="7">
        <v>6.9282032302755092E-2</v>
      </c>
    </row>
    <row r="865" spans="44:45" x14ac:dyDescent="0.25">
      <c r="AR865" s="11">
        <v>0.78000000000000047</v>
      </c>
      <c r="AS865" s="7">
        <v>6.9282032302755092E-2</v>
      </c>
    </row>
    <row r="866" spans="44:45" x14ac:dyDescent="0.25">
      <c r="AR866" s="11">
        <v>0.79000000000000048</v>
      </c>
      <c r="AS866" s="7">
        <v>6.9282032302755092E-2</v>
      </c>
    </row>
    <row r="867" spans="44:45" x14ac:dyDescent="0.25">
      <c r="AR867" s="11">
        <v>0.80000000000000049</v>
      </c>
      <c r="AS867" s="7">
        <v>6.9282032302755092E-2</v>
      </c>
    </row>
    <row r="868" spans="44:45" x14ac:dyDescent="0.25">
      <c r="AR868" s="11">
        <v>0.8100000000000005</v>
      </c>
      <c r="AS868" s="7">
        <v>6.9282032302755092E-2</v>
      </c>
    </row>
    <row r="869" spans="44:45" x14ac:dyDescent="0.25">
      <c r="AR869" s="11">
        <v>0.82000000000000051</v>
      </c>
      <c r="AS869" s="7">
        <v>6.9282032302755092E-2</v>
      </c>
    </row>
    <row r="870" spans="44:45" x14ac:dyDescent="0.25">
      <c r="AR870" s="11">
        <v>0.83000000000000052</v>
      </c>
      <c r="AS870" s="7">
        <v>6.9282032302755092E-2</v>
      </c>
    </row>
    <row r="871" spans="44:45" x14ac:dyDescent="0.25">
      <c r="AR871" s="11">
        <v>0.84000000000000052</v>
      </c>
      <c r="AS871" s="7">
        <v>6.9282032302755092E-2</v>
      </c>
    </row>
    <row r="872" spans="44:45" x14ac:dyDescent="0.25">
      <c r="AR872" s="11">
        <v>0.85000000000000053</v>
      </c>
      <c r="AS872" s="7">
        <v>6.9282032302755092E-2</v>
      </c>
    </row>
    <row r="873" spans="44:45" x14ac:dyDescent="0.25">
      <c r="AR873" s="11">
        <v>0.86000000000000054</v>
      </c>
      <c r="AS873" s="7">
        <v>6.9282032302755092E-2</v>
      </c>
    </row>
    <row r="874" spans="44:45" x14ac:dyDescent="0.25">
      <c r="AR874" s="11">
        <v>0.87000000000000055</v>
      </c>
      <c r="AS874" s="7">
        <v>6.9282032302755092E-2</v>
      </c>
    </row>
    <row r="875" spans="44:45" x14ac:dyDescent="0.25">
      <c r="AR875" s="11">
        <v>0.88000000000000056</v>
      </c>
      <c r="AS875" s="7">
        <v>6.9282032302755092E-2</v>
      </c>
    </row>
    <row r="876" spans="44:45" x14ac:dyDescent="0.25">
      <c r="AR876" s="11">
        <v>0.89000000000000057</v>
      </c>
      <c r="AS876" s="7">
        <v>6.9282032302755092E-2</v>
      </c>
    </row>
    <row r="877" spans="44:45" x14ac:dyDescent="0.25">
      <c r="AR877" s="11">
        <v>0.90000000000000058</v>
      </c>
      <c r="AS877" s="7">
        <v>6.9282032302755092E-2</v>
      </c>
    </row>
    <row r="878" spans="44:45" x14ac:dyDescent="0.25">
      <c r="AR878" s="11">
        <v>0.91000000000000059</v>
      </c>
      <c r="AS878" s="7">
        <v>6.9282032302755092E-2</v>
      </c>
    </row>
    <row r="879" spans="44:45" x14ac:dyDescent="0.25">
      <c r="AR879" s="11">
        <v>0.9200000000000006</v>
      </c>
      <c r="AS879" s="7">
        <v>6.9282032302755092E-2</v>
      </c>
    </row>
    <row r="880" spans="44:45" x14ac:dyDescent="0.25">
      <c r="AR880" s="11">
        <v>0.9300000000000006</v>
      </c>
      <c r="AS880" s="7">
        <v>6.9282032302755092E-2</v>
      </c>
    </row>
    <row r="881" spans="44:45" x14ac:dyDescent="0.25">
      <c r="AR881" s="11">
        <v>0.94000000000000061</v>
      </c>
      <c r="AS881" s="7">
        <v>6.9282032302755092E-2</v>
      </c>
    </row>
    <row r="882" spans="44:45" x14ac:dyDescent="0.25">
      <c r="AR882" s="11">
        <v>0.95000000000000062</v>
      </c>
      <c r="AS882" s="7">
        <v>6.9282032302755092E-2</v>
      </c>
    </row>
    <row r="883" spans="44:45" x14ac:dyDescent="0.25">
      <c r="AR883" s="11">
        <v>0.96000000000000063</v>
      </c>
      <c r="AS883" s="7">
        <v>6.9282032302755092E-2</v>
      </c>
    </row>
    <row r="884" spans="44:45" x14ac:dyDescent="0.25">
      <c r="AR884" s="11"/>
      <c r="AS884" s="7"/>
    </row>
    <row r="885" spans="44:45" x14ac:dyDescent="0.25">
      <c r="AR885" s="11">
        <v>4.5000000000000005E-2</v>
      </c>
      <c r="AS885" s="7">
        <v>7.7942286340599479E-2</v>
      </c>
    </row>
    <row r="886" spans="44:45" x14ac:dyDescent="0.25">
      <c r="AR886" s="11">
        <v>5.5000000000000007E-2</v>
      </c>
      <c r="AS886" s="7">
        <v>7.7942286340599479E-2</v>
      </c>
    </row>
    <row r="887" spans="44:45" x14ac:dyDescent="0.25">
      <c r="AR887" s="11">
        <v>6.5000000000000002E-2</v>
      </c>
      <c r="AS887" s="7">
        <v>7.7942286340599479E-2</v>
      </c>
    </row>
    <row r="888" spans="44:45" x14ac:dyDescent="0.25">
      <c r="AR888" s="11">
        <v>7.4999999999999997E-2</v>
      </c>
      <c r="AS888" s="7">
        <v>7.7942286340599479E-2</v>
      </c>
    </row>
    <row r="889" spans="44:45" x14ac:dyDescent="0.25">
      <c r="AR889" s="11">
        <v>8.4999999999999992E-2</v>
      </c>
      <c r="AS889" s="7">
        <v>7.7942286340599479E-2</v>
      </c>
    </row>
    <row r="890" spans="44:45" x14ac:dyDescent="0.25">
      <c r="AR890" s="11">
        <v>9.4999999999999987E-2</v>
      </c>
      <c r="AS890" s="7">
        <v>7.7942286340599479E-2</v>
      </c>
    </row>
    <row r="891" spans="44:45" x14ac:dyDescent="0.25">
      <c r="AR891" s="11">
        <v>0.10499999999999998</v>
      </c>
      <c r="AS891" s="7">
        <v>7.7942286340599479E-2</v>
      </c>
    </row>
    <row r="892" spans="44:45" x14ac:dyDescent="0.25">
      <c r="AR892" s="11">
        <v>0.11499999999999998</v>
      </c>
      <c r="AS892" s="7">
        <v>7.7942286340599479E-2</v>
      </c>
    </row>
    <row r="893" spans="44:45" x14ac:dyDescent="0.25">
      <c r="AR893" s="11">
        <v>0.12499999999999997</v>
      </c>
      <c r="AS893" s="7">
        <v>7.7942286340599479E-2</v>
      </c>
    </row>
    <row r="894" spans="44:45" x14ac:dyDescent="0.25">
      <c r="AR894" s="11">
        <v>0.13499999999999998</v>
      </c>
      <c r="AS894" s="7">
        <v>7.7942286340599479E-2</v>
      </c>
    </row>
    <row r="895" spans="44:45" x14ac:dyDescent="0.25">
      <c r="AR895" s="11">
        <v>0.14499999999999999</v>
      </c>
      <c r="AS895" s="7">
        <v>7.7942286340599479E-2</v>
      </c>
    </row>
    <row r="896" spans="44:45" x14ac:dyDescent="0.25">
      <c r="AR896" s="11">
        <v>0.155</v>
      </c>
      <c r="AS896" s="7">
        <v>7.7942286340599479E-2</v>
      </c>
    </row>
    <row r="897" spans="44:45" x14ac:dyDescent="0.25">
      <c r="AR897" s="11">
        <v>0.16500000000000001</v>
      </c>
      <c r="AS897" s="7">
        <v>7.7942286340599479E-2</v>
      </c>
    </row>
    <row r="898" spans="44:45" x14ac:dyDescent="0.25">
      <c r="AR898" s="11">
        <v>0.17500000000000002</v>
      </c>
      <c r="AS898" s="7">
        <v>7.7942286340599479E-2</v>
      </c>
    </row>
    <row r="899" spans="44:45" x14ac:dyDescent="0.25">
      <c r="AR899" s="11">
        <v>0.18500000000000003</v>
      </c>
      <c r="AS899" s="7">
        <v>7.7942286340599479E-2</v>
      </c>
    </row>
    <row r="900" spans="44:45" x14ac:dyDescent="0.25">
      <c r="AR900" s="11">
        <v>0.19500000000000003</v>
      </c>
      <c r="AS900" s="7">
        <v>7.7942286340599479E-2</v>
      </c>
    </row>
    <row r="901" spans="44:45" x14ac:dyDescent="0.25">
      <c r="AR901" s="11">
        <v>0.20500000000000004</v>
      </c>
      <c r="AS901" s="7">
        <v>7.7942286340599479E-2</v>
      </c>
    </row>
    <row r="902" spans="44:45" x14ac:dyDescent="0.25">
      <c r="AR902" s="11">
        <v>0.21500000000000005</v>
      </c>
      <c r="AS902" s="7">
        <v>7.7942286340599479E-2</v>
      </c>
    </row>
    <row r="903" spans="44:45" x14ac:dyDescent="0.25">
      <c r="AR903" s="11">
        <v>0.22500000000000006</v>
      </c>
      <c r="AS903" s="7">
        <v>7.7942286340599479E-2</v>
      </c>
    </row>
    <row r="904" spans="44:45" x14ac:dyDescent="0.25">
      <c r="AR904" s="11">
        <v>0.23500000000000007</v>
      </c>
      <c r="AS904" s="7">
        <v>7.7942286340599479E-2</v>
      </c>
    </row>
    <row r="905" spans="44:45" x14ac:dyDescent="0.25">
      <c r="AR905" s="11">
        <v>0.24500000000000008</v>
      </c>
      <c r="AS905" s="7">
        <v>7.7942286340599479E-2</v>
      </c>
    </row>
    <row r="906" spans="44:45" x14ac:dyDescent="0.25">
      <c r="AR906" s="11">
        <v>0.25500000000000006</v>
      </c>
      <c r="AS906" s="7">
        <v>7.7942286340599479E-2</v>
      </c>
    </row>
    <row r="907" spans="44:45" x14ac:dyDescent="0.25">
      <c r="AR907" s="11">
        <v>0.26500000000000007</v>
      </c>
      <c r="AS907" s="7">
        <v>7.7942286340599479E-2</v>
      </c>
    </row>
    <row r="908" spans="44:45" x14ac:dyDescent="0.25">
      <c r="AR908" s="11">
        <v>0.27500000000000008</v>
      </c>
      <c r="AS908" s="7">
        <v>7.7942286340599479E-2</v>
      </c>
    </row>
    <row r="909" spans="44:45" x14ac:dyDescent="0.25">
      <c r="AR909" s="11">
        <v>0.28500000000000009</v>
      </c>
      <c r="AS909" s="7">
        <v>7.7942286340599479E-2</v>
      </c>
    </row>
    <row r="910" spans="44:45" x14ac:dyDescent="0.25">
      <c r="AR910" s="11">
        <v>0.2950000000000001</v>
      </c>
      <c r="AS910" s="7">
        <v>7.7942286340599479E-2</v>
      </c>
    </row>
    <row r="911" spans="44:45" x14ac:dyDescent="0.25">
      <c r="AR911" s="11">
        <v>0.3050000000000001</v>
      </c>
      <c r="AS911" s="7">
        <v>7.7942286340599479E-2</v>
      </c>
    </row>
    <row r="912" spans="44:45" x14ac:dyDescent="0.25">
      <c r="AR912" s="11">
        <v>0.31500000000000011</v>
      </c>
      <c r="AS912" s="7">
        <v>7.7942286340599479E-2</v>
      </c>
    </row>
    <row r="913" spans="44:45" x14ac:dyDescent="0.25">
      <c r="AR913" s="11">
        <v>0.32500000000000012</v>
      </c>
      <c r="AS913" s="7">
        <v>7.7942286340599479E-2</v>
      </c>
    </row>
    <row r="914" spans="44:45" x14ac:dyDescent="0.25">
      <c r="AR914" s="11">
        <v>0.33500000000000013</v>
      </c>
      <c r="AS914" s="7">
        <v>7.7942286340599479E-2</v>
      </c>
    </row>
    <row r="915" spans="44:45" x14ac:dyDescent="0.25">
      <c r="AR915" s="11">
        <v>0.34500000000000014</v>
      </c>
      <c r="AS915" s="7">
        <v>7.7942286340599479E-2</v>
      </c>
    </row>
    <row r="916" spans="44:45" x14ac:dyDescent="0.25">
      <c r="AR916" s="11">
        <v>0.35500000000000015</v>
      </c>
      <c r="AS916" s="7">
        <v>7.7942286340599479E-2</v>
      </c>
    </row>
    <row r="917" spans="44:45" x14ac:dyDescent="0.25">
      <c r="AR917" s="11">
        <v>0.36500000000000016</v>
      </c>
      <c r="AS917" s="7">
        <v>7.7942286340599479E-2</v>
      </c>
    </row>
    <row r="918" spans="44:45" x14ac:dyDescent="0.25">
      <c r="AR918" s="11">
        <v>0.37500000000000017</v>
      </c>
      <c r="AS918" s="7">
        <v>7.7942286340599479E-2</v>
      </c>
    </row>
    <row r="919" spans="44:45" x14ac:dyDescent="0.25">
      <c r="AR919" s="11">
        <v>0.38500000000000018</v>
      </c>
      <c r="AS919" s="7">
        <v>7.7942286340599479E-2</v>
      </c>
    </row>
    <row r="920" spans="44:45" x14ac:dyDescent="0.25">
      <c r="AR920" s="11">
        <v>0.39500000000000018</v>
      </c>
      <c r="AS920" s="7">
        <v>7.7942286340599479E-2</v>
      </c>
    </row>
    <row r="921" spans="44:45" x14ac:dyDescent="0.25">
      <c r="AR921" s="11">
        <v>0.40500000000000019</v>
      </c>
      <c r="AS921" s="7">
        <v>7.7942286340599479E-2</v>
      </c>
    </row>
    <row r="922" spans="44:45" x14ac:dyDescent="0.25">
      <c r="AR922" s="11">
        <v>0.4150000000000002</v>
      </c>
      <c r="AS922" s="7">
        <v>7.7942286340599479E-2</v>
      </c>
    </row>
    <row r="923" spans="44:45" x14ac:dyDescent="0.25">
      <c r="AR923" s="11">
        <v>0.42500000000000021</v>
      </c>
      <c r="AS923" s="7">
        <v>7.7942286340599479E-2</v>
      </c>
    </row>
    <row r="924" spans="44:45" x14ac:dyDescent="0.25">
      <c r="AR924" s="11">
        <v>0.43500000000000022</v>
      </c>
      <c r="AS924" s="7">
        <v>7.7942286340599479E-2</v>
      </c>
    </row>
    <row r="925" spans="44:45" x14ac:dyDescent="0.25">
      <c r="AR925" s="11">
        <v>0.44500000000000023</v>
      </c>
      <c r="AS925" s="7">
        <v>7.7942286340599479E-2</v>
      </c>
    </row>
    <row r="926" spans="44:45" x14ac:dyDescent="0.25">
      <c r="AR926" s="11">
        <v>0.45500000000000024</v>
      </c>
      <c r="AS926" s="7">
        <v>7.7942286340599479E-2</v>
      </c>
    </row>
    <row r="927" spans="44:45" x14ac:dyDescent="0.25">
      <c r="AR927" s="11">
        <v>0.46500000000000025</v>
      </c>
      <c r="AS927" s="7">
        <v>7.7942286340599479E-2</v>
      </c>
    </row>
    <row r="928" spans="44:45" x14ac:dyDescent="0.25">
      <c r="AR928" s="11">
        <v>0.47500000000000026</v>
      </c>
      <c r="AS928" s="7">
        <v>7.7942286340599479E-2</v>
      </c>
    </row>
    <row r="929" spans="44:45" x14ac:dyDescent="0.25">
      <c r="AR929" s="11">
        <v>0.48500000000000026</v>
      </c>
      <c r="AS929" s="7">
        <v>7.7942286340599479E-2</v>
      </c>
    </row>
    <row r="930" spans="44:45" x14ac:dyDescent="0.25">
      <c r="AR930" s="11">
        <v>0.49500000000000027</v>
      </c>
      <c r="AS930" s="7">
        <v>7.7942286340599479E-2</v>
      </c>
    </row>
    <row r="931" spans="44:45" x14ac:dyDescent="0.25">
      <c r="AR931" s="11">
        <v>0.50500000000000023</v>
      </c>
      <c r="AS931" s="7">
        <v>7.7942286340599479E-2</v>
      </c>
    </row>
    <row r="932" spans="44:45" x14ac:dyDescent="0.25">
      <c r="AR932" s="11">
        <v>0.51500000000000024</v>
      </c>
      <c r="AS932" s="7">
        <v>7.7942286340599479E-2</v>
      </c>
    </row>
    <row r="933" spans="44:45" x14ac:dyDescent="0.25">
      <c r="AR933" s="11">
        <v>0.52500000000000024</v>
      </c>
      <c r="AS933" s="7">
        <v>7.7942286340599479E-2</v>
      </c>
    </row>
    <row r="934" spans="44:45" x14ac:dyDescent="0.25">
      <c r="AR934" s="11">
        <v>0.53500000000000025</v>
      </c>
      <c r="AS934" s="7">
        <v>7.7942286340599479E-2</v>
      </c>
    </row>
    <row r="935" spans="44:45" x14ac:dyDescent="0.25">
      <c r="AR935" s="11">
        <v>0.54500000000000026</v>
      </c>
      <c r="AS935" s="7">
        <v>7.7942286340599479E-2</v>
      </c>
    </row>
    <row r="936" spans="44:45" x14ac:dyDescent="0.25">
      <c r="AR936" s="11">
        <v>0.55500000000000027</v>
      </c>
      <c r="AS936" s="7">
        <v>7.7942286340599479E-2</v>
      </c>
    </row>
    <row r="937" spans="44:45" x14ac:dyDescent="0.25">
      <c r="AR937" s="11">
        <v>0.56500000000000028</v>
      </c>
      <c r="AS937" s="7">
        <v>7.7942286340599479E-2</v>
      </c>
    </row>
    <row r="938" spans="44:45" x14ac:dyDescent="0.25">
      <c r="AR938" s="11">
        <v>0.57500000000000029</v>
      </c>
      <c r="AS938" s="7">
        <v>7.7942286340599479E-2</v>
      </c>
    </row>
    <row r="939" spans="44:45" x14ac:dyDescent="0.25">
      <c r="AR939" s="11">
        <v>0.5850000000000003</v>
      </c>
      <c r="AS939" s="7">
        <v>7.7942286340599479E-2</v>
      </c>
    </row>
    <row r="940" spans="44:45" x14ac:dyDescent="0.25">
      <c r="AR940" s="11">
        <v>0.59500000000000031</v>
      </c>
      <c r="AS940" s="7">
        <v>7.7942286340599479E-2</v>
      </c>
    </row>
    <row r="941" spans="44:45" x14ac:dyDescent="0.25">
      <c r="AR941" s="11">
        <v>0.60500000000000032</v>
      </c>
      <c r="AS941" s="7">
        <v>7.7942286340599479E-2</v>
      </c>
    </row>
    <row r="942" spans="44:45" x14ac:dyDescent="0.25">
      <c r="AR942" s="11">
        <v>0.61500000000000032</v>
      </c>
      <c r="AS942" s="7">
        <v>7.7942286340599479E-2</v>
      </c>
    </row>
    <row r="943" spans="44:45" x14ac:dyDescent="0.25">
      <c r="AR943" s="11">
        <v>0.62500000000000033</v>
      </c>
      <c r="AS943" s="7">
        <v>7.7942286340599479E-2</v>
      </c>
    </row>
    <row r="944" spans="44:45" x14ac:dyDescent="0.25">
      <c r="AR944" s="11">
        <v>0.63500000000000034</v>
      </c>
      <c r="AS944" s="7">
        <v>7.7942286340599479E-2</v>
      </c>
    </row>
    <row r="945" spans="44:45" x14ac:dyDescent="0.25">
      <c r="AR945" s="11">
        <v>0.64500000000000035</v>
      </c>
      <c r="AS945" s="7">
        <v>7.7942286340599479E-2</v>
      </c>
    </row>
    <row r="946" spans="44:45" x14ac:dyDescent="0.25">
      <c r="AR946" s="11">
        <v>0.65500000000000036</v>
      </c>
      <c r="AS946" s="7">
        <v>7.7942286340599479E-2</v>
      </c>
    </row>
    <row r="947" spans="44:45" x14ac:dyDescent="0.25">
      <c r="AR947" s="11">
        <v>0.66500000000000037</v>
      </c>
      <c r="AS947" s="7">
        <v>7.7942286340599479E-2</v>
      </c>
    </row>
    <row r="948" spans="44:45" x14ac:dyDescent="0.25">
      <c r="AR948" s="11">
        <v>0.67500000000000038</v>
      </c>
      <c r="AS948" s="7">
        <v>7.7942286340599479E-2</v>
      </c>
    </row>
    <row r="949" spans="44:45" x14ac:dyDescent="0.25">
      <c r="AR949" s="11">
        <v>0.68500000000000039</v>
      </c>
      <c r="AS949" s="7">
        <v>7.7942286340599479E-2</v>
      </c>
    </row>
    <row r="950" spans="44:45" x14ac:dyDescent="0.25">
      <c r="AR950" s="11">
        <v>0.6950000000000004</v>
      </c>
      <c r="AS950" s="7">
        <v>7.7942286340599479E-2</v>
      </c>
    </row>
    <row r="951" spans="44:45" x14ac:dyDescent="0.25">
      <c r="AR951" s="11">
        <v>0.7050000000000004</v>
      </c>
      <c r="AS951" s="7">
        <v>7.7942286340599479E-2</v>
      </c>
    </row>
    <row r="952" spans="44:45" x14ac:dyDescent="0.25">
      <c r="AR952" s="11">
        <v>0.71500000000000041</v>
      </c>
      <c r="AS952" s="7">
        <v>7.7942286340599479E-2</v>
      </c>
    </row>
    <row r="953" spans="44:45" x14ac:dyDescent="0.25">
      <c r="AR953" s="11">
        <v>0.72500000000000042</v>
      </c>
      <c r="AS953" s="7">
        <v>7.7942286340599479E-2</v>
      </c>
    </row>
    <row r="954" spans="44:45" x14ac:dyDescent="0.25">
      <c r="AR954" s="11">
        <v>0.73500000000000043</v>
      </c>
      <c r="AS954" s="7">
        <v>7.7942286340599479E-2</v>
      </c>
    </row>
    <row r="955" spans="44:45" x14ac:dyDescent="0.25">
      <c r="AR955" s="11">
        <v>0.74500000000000044</v>
      </c>
      <c r="AS955" s="7">
        <v>7.7942286340599479E-2</v>
      </c>
    </row>
    <row r="956" spans="44:45" x14ac:dyDescent="0.25">
      <c r="AR956" s="11">
        <v>0.75500000000000045</v>
      </c>
      <c r="AS956" s="7">
        <v>7.7942286340599479E-2</v>
      </c>
    </row>
    <row r="957" spans="44:45" x14ac:dyDescent="0.25">
      <c r="AR957" s="11">
        <v>0.76500000000000046</v>
      </c>
      <c r="AS957" s="7">
        <v>7.7942286340599479E-2</v>
      </c>
    </row>
    <row r="958" spans="44:45" x14ac:dyDescent="0.25">
      <c r="AR958" s="11">
        <v>0.77500000000000047</v>
      </c>
      <c r="AS958" s="7">
        <v>7.7942286340599479E-2</v>
      </c>
    </row>
    <row r="959" spans="44:45" x14ac:dyDescent="0.25">
      <c r="AR959" s="11">
        <v>0.78500000000000048</v>
      </c>
      <c r="AS959" s="7">
        <v>7.7942286340599479E-2</v>
      </c>
    </row>
    <row r="960" spans="44:45" x14ac:dyDescent="0.25">
      <c r="AR960" s="11">
        <v>0.79500000000000048</v>
      </c>
      <c r="AS960" s="7">
        <v>7.7942286340599479E-2</v>
      </c>
    </row>
    <row r="961" spans="44:45" x14ac:dyDescent="0.25">
      <c r="AR961" s="11">
        <v>0.80500000000000049</v>
      </c>
      <c r="AS961" s="7">
        <v>7.7942286340599479E-2</v>
      </c>
    </row>
    <row r="962" spans="44:45" x14ac:dyDescent="0.25">
      <c r="AR962" s="11">
        <v>0.8150000000000005</v>
      </c>
      <c r="AS962" s="7">
        <v>7.7942286340599479E-2</v>
      </c>
    </row>
    <row r="963" spans="44:45" x14ac:dyDescent="0.25">
      <c r="AR963" s="11">
        <v>0.82500000000000051</v>
      </c>
      <c r="AS963" s="7">
        <v>7.7942286340599479E-2</v>
      </c>
    </row>
    <row r="964" spans="44:45" x14ac:dyDescent="0.25">
      <c r="AR964" s="11">
        <v>0.83500000000000052</v>
      </c>
      <c r="AS964" s="7">
        <v>7.7942286340599479E-2</v>
      </c>
    </row>
    <row r="965" spans="44:45" x14ac:dyDescent="0.25">
      <c r="AR965" s="11">
        <v>0.84500000000000053</v>
      </c>
      <c r="AS965" s="7">
        <v>7.7942286340599479E-2</v>
      </c>
    </row>
    <row r="966" spans="44:45" x14ac:dyDescent="0.25">
      <c r="AR966" s="11">
        <v>0.85500000000000054</v>
      </c>
      <c r="AS966" s="7">
        <v>7.7942286340599479E-2</v>
      </c>
    </row>
    <row r="967" spans="44:45" x14ac:dyDescent="0.25">
      <c r="AR967" s="11">
        <v>0.86500000000000055</v>
      </c>
      <c r="AS967" s="7">
        <v>7.7942286340599479E-2</v>
      </c>
    </row>
    <row r="968" spans="44:45" x14ac:dyDescent="0.25">
      <c r="AR968" s="11">
        <v>0.87500000000000056</v>
      </c>
      <c r="AS968" s="7">
        <v>7.7942286340599479E-2</v>
      </c>
    </row>
    <row r="969" spans="44:45" x14ac:dyDescent="0.25">
      <c r="AR969" s="11">
        <v>0.88500000000000056</v>
      </c>
      <c r="AS969" s="7">
        <v>7.7942286340599479E-2</v>
      </c>
    </row>
    <row r="970" spans="44:45" x14ac:dyDescent="0.25">
      <c r="AR970" s="11">
        <v>0.89500000000000057</v>
      </c>
      <c r="AS970" s="7">
        <v>7.7942286340599479E-2</v>
      </c>
    </row>
    <row r="971" spans="44:45" x14ac:dyDescent="0.25">
      <c r="AR971" s="11">
        <v>0.90500000000000058</v>
      </c>
      <c r="AS971" s="7">
        <v>7.7942286340599479E-2</v>
      </c>
    </row>
    <row r="972" spans="44:45" x14ac:dyDescent="0.25">
      <c r="AR972" s="11">
        <v>0.91500000000000059</v>
      </c>
      <c r="AS972" s="7">
        <v>7.7942286340599479E-2</v>
      </c>
    </row>
    <row r="973" spans="44:45" x14ac:dyDescent="0.25">
      <c r="AR973" s="11">
        <v>0.9250000000000006</v>
      </c>
      <c r="AS973" s="7">
        <v>7.7942286340599479E-2</v>
      </c>
    </row>
    <row r="974" spans="44:45" x14ac:dyDescent="0.25">
      <c r="AR974" s="11">
        <v>0.93500000000000061</v>
      </c>
      <c r="AS974" s="7">
        <v>7.7942286340599479E-2</v>
      </c>
    </row>
    <row r="975" spans="44:45" x14ac:dyDescent="0.25">
      <c r="AR975" s="11">
        <v>0.94500000000000062</v>
      </c>
      <c r="AS975" s="7">
        <v>7.7942286340599479E-2</v>
      </c>
    </row>
    <row r="976" spans="44:45" x14ac:dyDescent="0.25">
      <c r="AR976" s="11">
        <v>0.95500000000000063</v>
      </c>
      <c r="AS976" s="7">
        <v>7.7942286340599479E-2</v>
      </c>
    </row>
    <row r="977" spans="44:45" x14ac:dyDescent="0.25">
      <c r="AR977" s="11"/>
      <c r="AS977" s="7"/>
    </row>
    <row r="978" spans="44:45" x14ac:dyDescent="0.25">
      <c r="AR978" s="11">
        <v>0.05</v>
      </c>
      <c r="AS978" s="7">
        <v>8.6602540378443879E-2</v>
      </c>
    </row>
    <row r="979" spans="44:45" x14ac:dyDescent="0.25">
      <c r="AR979" s="11">
        <v>6.0000000000000005E-2</v>
      </c>
      <c r="AS979" s="7">
        <v>8.6602540378443879E-2</v>
      </c>
    </row>
    <row r="980" spans="44:45" x14ac:dyDescent="0.25">
      <c r="AR980" s="11">
        <v>7.0000000000000007E-2</v>
      </c>
      <c r="AS980" s="7">
        <v>8.6602540378443879E-2</v>
      </c>
    </row>
    <row r="981" spans="44:45" x14ac:dyDescent="0.25">
      <c r="AR981" s="11">
        <v>0.08</v>
      </c>
      <c r="AS981" s="7">
        <v>8.6602540378443879E-2</v>
      </c>
    </row>
    <row r="982" spans="44:45" x14ac:dyDescent="0.25">
      <c r="AR982" s="11">
        <v>0.09</v>
      </c>
      <c r="AS982" s="7">
        <v>8.6602540378443879E-2</v>
      </c>
    </row>
    <row r="983" spans="44:45" x14ac:dyDescent="0.25">
      <c r="AR983" s="11">
        <v>9.9999999999999992E-2</v>
      </c>
      <c r="AS983" s="7">
        <v>8.6602540378443879E-2</v>
      </c>
    </row>
    <row r="984" spans="44:45" x14ac:dyDescent="0.25">
      <c r="AR984" s="11">
        <v>0.10999999999999999</v>
      </c>
      <c r="AS984" s="7">
        <v>8.6602540378443879E-2</v>
      </c>
    </row>
    <row r="985" spans="44:45" x14ac:dyDescent="0.25">
      <c r="AR985" s="11">
        <v>0.11999999999999998</v>
      </c>
      <c r="AS985" s="7">
        <v>8.6602540378443879E-2</v>
      </c>
    </row>
    <row r="986" spans="44:45" x14ac:dyDescent="0.25">
      <c r="AR986" s="11">
        <v>0.12999999999999998</v>
      </c>
      <c r="AS986" s="7">
        <v>8.6602540378443879E-2</v>
      </c>
    </row>
    <row r="987" spans="44:45" x14ac:dyDescent="0.25">
      <c r="AR987" s="11">
        <v>0.13999999999999999</v>
      </c>
      <c r="AS987" s="7">
        <v>8.6602540378443879E-2</v>
      </c>
    </row>
    <row r="988" spans="44:45" x14ac:dyDescent="0.25">
      <c r="AR988" s="11">
        <v>0.15</v>
      </c>
      <c r="AS988" s="7">
        <v>8.6602540378443879E-2</v>
      </c>
    </row>
    <row r="989" spans="44:45" x14ac:dyDescent="0.25">
      <c r="AR989" s="11">
        <v>0.16</v>
      </c>
      <c r="AS989" s="7">
        <v>8.6602540378443879E-2</v>
      </c>
    </row>
    <row r="990" spans="44:45" x14ac:dyDescent="0.25">
      <c r="AR990" s="11">
        <v>0.17</v>
      </c>
      <c r="AS990" s="7">
        <v>8.6602540378443879E-2</v>
      </c>
    </row>
    <row r="991" spans="44:45" x14ac:dyDescent="0.25">
      <c r="AR991" s="11">
        <v>0.18000000000000002</v>
      </c>
      <c r="AS991" s="7">
        <v>8.6602540378443879E-2</v>
      </c>
    </row>
    <row r="992" spans="44:45" x14ac:dyDescent="0.25">
      <c r="AR992" s="11">
        <v>0.19000000000000003</v>
      </c>
      <c r="AS992" s="7">
        <v>8.6602540378443879E-2</v>
      </c>
    </row>
    <row r="993" spans="44:45" x14ac:dyDescent="0.25">
      <c r="AR993" s="11">
        <v>0.20000000000000004</v>
      </c>
      <c r="AS993" s="7">
        <v>8.6602540378443879E-2</v>
      </c>
    </row>
    <row r="994" spans="44:45" x14ac:dyDescent="0.25">
      <c r="AR994" s="11">
        <v>0.21000000000000005</v>
      </c>
      <c r="AS994" s="7">
        <v>8.6602540378443879E-2</v>
      </c>
    </row>
    <row r="995" spans="44:45" x14ac:dyDescent="0.25">
      <c r="AR995" s="11">
        <v>0.22000000000000006</v>
      </c>
      <c r="AS995" s="7">
        <v>8.6602540378443879E-2</v>
      </c>
    </row>
    <row r="996" spans="44:45" x14ac:dyDescent="0.25">
      <c r="AR996" s="11">
        <v>0.23000000000000007</v>
      </c>
      <c r="AS996" s="7">
        <v>8.6602540378443879E-2</v>
      </c>
    </row>
    <row r="997" spans="44:45" x14ac:dyDescent="0.25">
      <c r="AR997" s="11">
        <v>0.24000000000000007</v>
      </c>
      <c r="AS997" s="7">
        <v>8.6602540378443879E-2</v>
      </c>
    </row>
    <row r="998" spans="44:45" x14ac:dyDescent="0.25">
      <c r="AR998" s="11">
        <v>0.25000000000000006</v>
      </c>
      <c r="AS998" s="7">
        <v>8.6602540378443879E-2</v>
      </c>
    </row>
    <row r="999" spans="44:45" x14ac:dyDescent="0.25">
      <c r="AR999" s="11">
        <v>0.26000000000000006</v>
      </c>
      <c r="AS999" s="7">
        <v>8.6602540378443879E-2</v>
      </c>
    </row>
    <row r="1000" spans="44:45" x14ac:dyDescent="0.25">
      <c r="AR1000" s="11">
        <v>0.27000000000000007</v>
      </c>
      <c r="AS1000" s="7">
        <v>8.6602540378443879E-2</v>
      </c>
    </row>
    <row r="1001" spans="44:45" x14ac:dyDescent="0.25">
      <c r="AR1001" s="11">
        <v>0.28000000000000008</v>
      </c>
      <c r="AS1001" s="7">
        <v>8.6602540378443879E-2</v>
      </c>
    </row>
    <row r="1002" spans="44:45" x14ac:dyDescent="0.25">
      <c r="AR1002" s="11">
        <v>0.29000000000000009</v>
      </c>
      <c r="AS1002" s="7">
        <v>8.6602540378443879E-2</v>
      </c>
    </row>
    <row r="1003" spans="44:45" x14ac:dyDescent="0.25">
      <c r="AR1003" s="11">
        <v>0.3000000000000001</v>
      </c>
      <c r="AS1003" s="7">
        <v>8.6602540378443879E-2</v>
      </c>
    </row>
    <row r="1004" spans="44:45" x14ac:dyDescent="0.25">
      <c r="AR1004" s="11">
        <v>0.31000000000000011</v>
      </c>
      <c r="AS1004" s="7">
        <v>8.6602540378443879E-2</v>
      </c>
    </row>
    <row r="1005" spans="44:45" x14ac:dyDescent="0.25">
      <c r="AR1005" s="11">
        <v>0.32000000000000012</v>
      </c>
      <c r="AS1005" s="7">
        <v>8.6602540378443879E-2</v>
      </c>
    </row>
    <row r="1006" spans="44:45" x14ac:dyDescent="0.25">
      <c r="AR1006" s="11">
        <v>0.33000000000000013</v>
      </c>
      <c r="AS1006" s="7">
        <v>8.6602540378443879E-2</v>
      </c>
    </row>
    <row r="1007" spans="44:45" x14ac:dyDescent="0.25">
      <c r="AR1007" s="11">
        <v>0.34000000000000014</v>
      </c>
      <c r="AS1007" s="7">
        <v>8.6602540378443879E-2</v>
      </c>
    </row>
    <row r="1008" spans="44:45" x14ac:dyDescent="0.25">
      <c r="AR1008" s="11">
        <v>0.35000000000000014</v>
      </c>
      <c r="AS1008" s="7">
        <v>8.6602540378443879E-2</v>
      </c>
    </row>
    <row r="1009" spans="44:45" x14ac:dyDescent="0.25">
      <c r="AR1009" s="11">
        <v>0.36000000000000015</v>
      </c>
      <c r="AS1009" s="7">
        <v>8.6602540378443879E-2</v>
      </c>
    </row>
    <row r="1010" spans="44:45" x14ac:dyDescent="0.25">
      <c r="AR1010" s="11">
        <v>0.37000000000000016</v>
      </c>
      <c r="AS1010" s="7">
        <v>8.6602540378443879E-2</v>
      </c>
    </row>
    <row r="1011" spans="44:45" x14ac:dyDescent="0.25">
      <c r="AR1011" s="11">
        <v>0.38000000000000017</v>
      </c>
      <c r="AS1011" s="7">
        <v>8.6602540378443879E-2</v>
      </c>
    </row>
    <row r="1012" spans="44:45" x14ac:dyDescent="0.25">
      <c r="AR1012" s="11">
        <v>0.39000000000000018</v>
      </c>
      <c r="AS1012" s="7">
        <v>8.6602540378443879E-2</v>
      </c>
    </row>
    <row r="1013" spans="44:45" x14ac:dyDescent="0.25">
      <c r="AR1013" s="11">
        <v>0.40000000000000019</v>
      </c>
      <c r="AS1013" s="7">
        <v>8.6602540378443879E-2</v>
      </c>
    </row>
    <row r="1014" spans="44:45" x14ac:dyDescent="0.25">
      <c r="AR1014" s="11">
        <v>0.4100000000000002</v>
      </c>
      <c r="AS1014" s="7">
        <v>8.6602540378443879E-2</v>
      </c>
    </row>
    <row r="1015" spans="44:45" x14ac:dyDescent="0.25">
      <c r="AR1015" s="11">
        <v>0.42000000000000021</v>
      </c>
      <c r="AS1015" s="7">
        <v>8.6602540378443879E-2</v>
      </c>
    </row>
    <row r="1016" spans="44:45" x14ac:dyDescent="0.25">
      <c r="AR1016" s="11">
        <v>0.43000000000000022</v>
      </c>
      <c r="AS1016" s="7">
        <v>8.6602540378443879E-2</v>
      </c>
    </row>
    <row r="1017" spans="44:45" x14ac:dyDescent="0.25">
      <c r="AR1017" s="11">
        <v>0.44000000000000022</v>
      </c>
      <c r="AS1017" s="7">
        <v>8.6602540378443879E-2</v>
      </c>
    </row>
    <row r="1018" spans="44:45" x14ac:dyDescent="0.25">
      <c r="AR1018" s="11">
        <v>0.45000000000000023</v>
      </c>
      <c r="AS1018" s="7">
        <v>8.6602540378443879E-2</v>
      </c>
    </row>
    <row r="1019" spans="44:45" x14ac:dyDescent="0.25">
      <c r="AR1019" s="11">
        <v>0.46000000000000024</v>
      </c>
      <c r="AS1019" s="7">
        <v>8.6602540378443879E-2</v>
      </c>
    </row>
    <row r="1020" spans="44:45" x14ac:dyDescent="0.25">
      <c r="AR1020" s="11">
        <v>0.47000000000000025</v>
      </c>
      <c r="AS1020" s="7">
        <v>8.6602540378443879E-2</v>
      </c>
    </row>
    <row r="1021" spans="44:45" x14ac:dyDescent="0.25">
      <c r="AR1021" s="11">
        <v>0.48000000000000026</v>
      </c>
      <c r="AS1021" s="7">
        <v>8.6602540378443879E-2</v>
      </c>
    </row>
    <row r="1022" spans="44:45" x14ac:dyDescent="0.25">
      <c r="AR1022" s="11">
        <v>0.49000000000000027</v>
      </c>
      <c r="AS1022" s="7">
        <v>8.6602540378443879E-2</v>
      </c>
    </row>
    <row r="1023" spans="44:45" x14ac:dyDescent="0.25">
      <c r="AR1023" s="11">
        <v>0.50000000000000022</v>
      </c>
      <c r="AS1023" s="7">
        <v>8.6602540378443879E-2</v>
      </c>
    </row>
    <row r="1024" spans="44:45" x14ac:dyDescent="0.25">
      <c r="AR1024" s="11">
        <v>0.51000000000000023</v>
      </c>
      <c r="AS1024" s="7">
        <v>8.6602540378443879E-2</v>
      </c>
    </row>
    <row r="1025" spans="44:45" x14ac:dyDescent="0.25">
      <c r="AR1025" s="11">
        <v>0.52000000000000024</v>
      </c>
      <c r="AS1025" s="7">
        <v>8.6602540378443879E-2</v>
      </c>
    </row>
    <row r="1026" spans="44:45" x14ac:dyDescent="0.25">
      <c r="AR1026" s="11">
        <v>0.53000000000000025</v>
      </c>
      <c r="AS1026" s="7">
        <v>8.6602540378443879E-2</v>
      </c>
    </row>
    <row r="1027" spans="44:45" x14ac:dyDescent="0.25">
      <c r="AR1027" s="11">
        <v>0.54000000000000026</v>
      </c>
      <c r="AS1027" s="7">
        <v>8.6602540378443879E-2</v>
      </c>
    </row>
    <row r="1028" spans="44:45" x14ac:dyDescent="0.25">
      <c r="AR1028" s="11">
        <v>0.55000000000000027</v>
      </c>
      <c r="AS1028" s="7">
        <v>8.6602540378443879E-2</v>
      </c>
    </row>
    <row r="1029" spans="44:45" x14ac:dyDescent="0.25">
      <c r="AR1029" s="11">
        <v>0.56000000000000028</v>
      </c>
      <c r="AS1029" s="7">
        <v>8.6602540378443879E-2</v>
      </c>
    </row>
    <row r="1030" spans="44:45" x14ac:dyDescent="0.25">
      <c r="AR1030" s="11">
        <v>0.57000000000000028</v>
      </c>
      <c r="AS1030" s="7">
        <v>8.6602540378443879E-2</v>
      </c>
    </row>
    <row r="1031" spans="44:45" x14ac:dyDescent="0.25">
      <c r="AR1031" s="11">
        <v>0.58000000000000029</v>
      </c>
      <c r="AS1031" s="7">
        <v>8.6602540378443879E-2</v>
      </c>
    </row>
    <row r="1032" spans="44:45" x14ac:dyDescent="0.25">
      <c r="AR1032" s="11">
        <v>0.5900000000000003</v>
      </c>
      <c r="AS1032" s="7">
        <v>8.6602540378443879E-2</v>
      </c>
    </row>
    <row r="1033" spans="44:45" x14ac:dyDescent="0.25">
      <c r="AR1033" s="11">
        <v>0.60000000000000031</v>
      </c>
      <c r="AS1033" s="7">
        <v>8.6602540378443879E-2</v>
      </c>
    </row>
    <row r="1034" spans="44:45" x14ac:dyDescent="0.25">
      <c r="AR1034" s="11">
        <v>0.61000000000000032</v>
      </c>
      <c r="AS1034" s="7">
        <v>8.6602540378443879E-2</v>
      </c>
    </row>
    <row r="1035" spans="44:45" x14ac:dyDescent="0.25">
      <c r="AR1035" s="11">
        <v>0.62000000000000033</v>
      </c>
      <c r="AS1035" s="7">
        <v>8.6602540378443879E-2</v>
      </c>
    </row>
    <row r="1036" spans="44:45" x14ac:dyDescent="0.25">
      <c r="AR1036" s="11">
        <v>0.63000000000000034</v>
      </c>
      <c r="AS1036" s="7">
        <v>8.6602540378443879E-2</v>
      </c>
    </row>
    <row r="1037" spans="44:45" x14ac:dyDescent="0.25">
      <c r="AR1037" s="11">
        <v>0.64000000000000035</v>
      </c>
      <c r="AS1037" s="7">
        <v>8.6602540378443879E-2</v>
      </c>
    </row>
    <row r="1038" spans="44:45" x14ac:dyDescent="0.25">
      <c r="AR1038" s="11">
        <v>0.65000000000000036</v>
      </c>
      <c r="AS1038" s="7">
        <v>8.6602540378443879E-2</v>
      </c>
    </row>
    <row r="1039" spans="44:45" x14ac:dyDescent="0.25">
      <c r="AR1039" s="11">
        <v>0.66000000000000036</v>
      </c>
      <c r="AS1039" s="7">
        <v>8.6602540378443879E-2</v>
      </c>
    </row>
    <row r="1040" spans="44:45" x14ac:dyDescent="0.25">
      <c r="AR1040" s="11">
        <v>0.67000000000000037</v>
      </c>
      <c r="AS1040" s="7">
        <v>8.6602540378443879E-2</v>
      </c>
    </row>
    <row r="1041" spans="44:45" x14ac:dyDescent="0.25">
      <c r="AR1041" s="11">
        <v>0.68000000000000038</v>
      </c>
      <c r="AS1041" s="7">
        <v>8.6602540378443879E-2</v>
      </c>
    </row>
    <row r="1042" spans="44:45" x14ac:dyDescent="0.25">
      <c r="AR1042" s="11">
        <v>0.69000000000000039</v>
      </c>
      <c r="AS1042" s="7">
        <v>8.6602540378443879E-2</v>
      </c>
    </row>
    <row r="1043" spans="44:45" x14ac:dyDescent="0.25">
      <c r="AR1043" s="11">
        <v>0.7000000000000004</v>
      </c>
      <c r="AS1043" s="7">
        <v>8.6602540378443879E-2</v>
      </c>
    </row>
    <row r="1044" spans="44:45" x14ac:dyDescent="0.25">
      <c r="AR1044" s="11">
        <v>0.71000000000000041</v>
      </c>
      <c r="AS1044" s="7">
        <v>8.6602540378443879E-2</v>
      </c>
    </row>
    <row r="1045" spans="44:45" x14ac:dyDescent="0.25">
      <c r="AR1045" s="11">
        <v>0.72000000000000042</v>
      </c>
      <c r="AS1045" s="7">
        <v>8.6602540378443879E-2</v>
      </c>
    </row>
    <row r="1046" spans="44:45" x14ac:dyDescent="0.25">
      <c r="AR1046" s="11">
        <v>0.73000000000000043</v>
      </c>
      <c r="AS1046" s="7">
        <v>8.6602540378443879E-2</v>
      </c>
    </row>
    <row r="1047" spans="44:45" x14ac:dyDescent="0.25">
      <c r="AR1047" s="11">
        <v>0.74000000000000044</v>
      </c>
      <c r="AS1047" s="7">
        <v>8.6602540378443879E-2</v>
      </c>
    </row>
    <row r="1048" spans="44:45" x14ac:dyDescent="0.25">
      <c r="AR1048" s="11">
        <v>0.75000000000000044</v>
      </c>
      <c r="AS1048" s="7">
        <v>8.6602540378443879E-2</v>
      </c>
    </row>
    <row r="1049" spans="44:45" x14ac:dyDescent="0.25">
      <c r="AR1049" s="11">
        <v>0.76000000000000045</v>
      </c>
      <c r="AS1049" s="7">
        <v>8.6602540378443879E-2</v>
      </c>
    </row>
    <row r="1050" spans="44:45" x14ac:dyDescent="0.25">
      <c r="AR1050" s="11">
        <v>0.77000000000000046</v>
      </c>
      <c r="AS1050" s="7">
        <v>8.6602540378443879E-2</v>
      </c>
    </row>
    <row r="1051" spans="44:45" x14ac:dyDescent="0.25">
      <c r="AR1051" s="11">
        <v>0.78000000000000047</v>
      </c>
      <c r="AS1051" s="7">
        <v>8.6602540378443879E-2</v>
      </c>
    </row>
    <row r="1052" spans="44:45" x14ac:dyDescent="0.25">
      <c r="AR1052" s="11">
        <v>0.79000000000000048</v>
      </c>
      <c r="AS1052" s="7">
        <v>8.6602540378443879E-2</v>
      </c>
    </row>
    <row r="1053" spans="44:45" x14ac:dyDescent="0.25">
      <c r="AR1053" s="11">
        <v>0.80000000000000049</v>
      </c>
      <c r="AS1053" s="7">
        <v>8.6602540378443879E-2</v>
      </c>
    </row>
    <row r="1054" spans="44:45" x14ac:dyDescent="0.25">
      <c r="AR1054" s="11">
        <v>0.8100000000000005</v>
      </c>
      <c r="AS1054" s="7">
        <v>8.6602540378443879E-2</v>
      </c>
    </row>
    <row r="1055" spans="44:45" x14ac:dyDescent="0.25">
      <c r="AR1055" s="11">
        <v>0.82000000000000051</v>
      </c>
      <c r="AS1055" s="7">
        <v>8.6602540378443879E-2</v>
      </c>
    </row>
    <row r="1056" spans="44:45" x14ac:dyDescent="0.25">
      <c r="AR1056" s="11">
        <v>0.83000000000000052</v>
      </c>
      <c r="AS1056" s="7">
        <v>8.6602540378443879E-2</v>
      </c>
    </row>
    <row r="1057" spans="44:45" x14ac:dyDescent="0.25">
      <c r="AR1057" s="11">
        <v>0.84000000000000052</v>
      </c>
      <c r="AS1057" s="7">
        <v>8.6602540378443879E-2</v>
      </c>
    </row>
    <row r="1058" spans="44:45" x14ac:dyDescent="0.25">
      <c r="AR1058" s="11">
        <v>0.85000000000000053</v>
      </c>
      <c r="AS1058" s="7">
        <v>8.6602540378443879E-2</v>
      </c>
    </row>
    <row r="1059" spans="44:45" x14ac:dyDescent="0.25">
      <c r="AR1059" s="11">
        <v>0.86000000000000054</v>
      </c>
      <c r="AS1059" s="7">
        <v>8.6602540378443879E-2</v>
      </c>
    </row>
    <row r="1060" spans="44:45" x14ac:dyDescent="0.25">
      <c r="AR1060" s="11">
        <v>0.87000000000000055</v>
      </c>
      <c r="AS1060" s="7">
        <v>8.6602540378443879E-2</v>
      </c>
    </row>
    <row r="1061" spans="44:45" x14ac:dyDescent="0.25">
      <c r="AR1061" s="11">
        <v>0.88000000000000056</v>
      </c>
      <c r="AS1061" s="7">
        <v>8.6602540378443879E-2</v>
      </c>
    </row>
    <row r="1062" spans="44:45" x14ac:dyDescent="0.25">
      <c r="AR1062" s="11">
        <v>0.89000000000000057</v>
      </c>
      <c r="AS1062" s="7">
        <v>8.6602540378443879E-2</v>
      </c>
    </row>
    <row r="1063" spans="44:45" x14ac:dyDescent="0.25">
      <c r="AR1063" s="11">
        <v>0.90000000000000058</v>
      </c>
      <c r="AS1063" s="7">
        <v>8.6602540378443879E-2</v>
      </c>
    </row>
    <row r="1064" spans="44:45" x14ac:dyDescent="0.25">
      <c r="AR1064" s="11">
        <v>0.91000000000000059</v>
      </c>
      <c r="AS1064" s="7">
        <v>8.6602540378443879E-2</v>
      </c>
    </row>
    <row r="1065" spans="44:45" x14ac:dyDescent="0.25">
      <c r="AR1065" s="11">
        <v>0.9200000000000006</v>
      </c>
      <c r="AS1065" s="7">
        <v>8.6602540378443879E-2</v>
      </c>
    </row>
    <row r="1066" spans="44:45" x14ac:dyDescent="0.25">
      <c r="AR1066" s="11">
        <v>0.9300000000000006</v>
      </c>
      <c r="AS1066" s="7">
        <v>8.6602540378443879E-2</v>
      </c>
    </row>
    <row r="1067" spans="44:45" x14ac:dyDescent="0.25">
      <c r="AR1067" s="11">
        <v>0.94000000000000061</v>
      </c>
      <c r="AS1067" s="7">
        <v>8.6602540378443879E-2</v>
      </c>
    </row>
    <row r="1068" spans="44:45" x14ac:dyDescent="0.25">
      <c r="AR1068" s="11">
        <v>0.95000000000000062</v>
      </c>
      <c r="AS1068" s="7">
        <v>8.6602540378443879E-2</v>
      </c>
    </row>
    <row r="1069" spans="44:45" x14ac:dyDescent="0.25">
      <c r="AR1069" s="11"/>
      <c r="AS1069" s="7"/>
    </row>
    <row r="1070" spans="44:45" x14ac:dyDescent="0.25">
      <c r="AR1070" s="11">
        <v>5.5000000000000007E-2</v>
      </c>
      <c r="AS1070" s="7">
        <v>9.5262794416288252E-2</v>
      </c>
    </row>
    <row r="1071" spans="44:45" x14ac:dyDescent="0.25">
      <c r="AR1071" s="11">
        <v>6.5000000000000002E-2</v>
      </c>
      <c r="AS1071" s="7">
        <v>9.5262794416288252E-2</v>
      </c>
    </row>
    <row r="1072" spans="44:45" x14ac:dyDescent="0.25">
      <c r="AR1072" s="11">
        <v>7.4999999999999997E-2</v>
      </c>
      <c r="AS1072" s="7">
        <v>9.5262794416288252E-2</v>
      </c>
    </row>
    <row r="1073" spans="44:45" x14ac:dyDescent="0.25">
      <c r="AR1073" s="11">
        <v>8.4999999999999992E-2</v>
      </c>
      <c r="AS1073" s="7">
        <v>9.5262794416288252E-2</v>
      </c>
    </row>
    <row r="1074" spans="44:45" x14ac:dyDescent="0.25">
      <c r="AR1074" s="11">
        <v>9.4999999999999987E-2</v>
      </c>
      <c r="AS1074" s="7">
        <v>9.5262794416288252E-2</v>
      </c>
    </row>
    <row r="1075" spans="44:45" x14ac:dyDescent="0.25">
      <c r="AR1075" s="11">
        <v>0.10499999999999998</v>
      </c>
      <c r="AS1075" s="7">
        <v>9.5262794416288252E-2</v>
      </c>
    </row>
    <row r="1076" spans="44:45" x14ac:dyDescent="0.25">
      <c r="AR1076" s="11">
        <v>0.11499999999999998</v>
      </c>
      <c r="AS1076" s="7">
        <v>9.5262794416288252E-2</v>
      </c>
    </row>
    <row r="1077" spans="44:45" x14ac:dyDescent="0.25">
      <c r="AR1077" s="11">
        <v>0.12499999999999997</v>
      </c>
      <c r="AS1077" s="7">
        <v>9.5262794416288252E-2</v>
      </c>
    </row>
    <row r="1078" spans="44:45" x14ac:dyDescent="0.25">
      <c r="AR1078" s="11">
        <v>0.13499999999999998</v>
      </c>
      <c r="AS1078" s="7">
        <v>9.5262794416288252E-2</v>
      </c>
    </row>
    <row r="1079" spans="44:45" x14ac:dyDescent="0.25">
      <c r="AR1079" s="11">
        <v>0.14499999999999999</v>
      </c>
      <c r="AS1079" s="7">
        <v>9.5262794416288252E-2</v>
      </c>
    </row>
    <row r="1080" spans="44:45" x14ac:dyDescent="0.25">
      <c r="AR1080" s="11">
        <v>0.155</v>
      </c>
      <c r="AS1080" s="7">
        <v>9.5262794416288252E-2</v>
      </c>
    </row>
    <row r="1081" spans="44:45" x14ac:dyDescent="0.25">
      <c r="AR1081" s="11">
        <v>0.16500000000000001</v>
      </c>
      <c r="AS1081" s="7">
        <v>9.5262794416288252E-2</v>
      </c>
    </row>
    <row r="1082" spans="44:45" x14ac:dyDescent="0.25">
      <c r="AR1082" s="11">
        <v>0.17500000000000002</v>
      </c>
      <c r="AS1082" s="7">
        <v>9.5262794416288252E-2</v>
      </c>
    </row>
    <row r="1083" spans="44:45" x14ac:dyDescent="0.25">
      <c r="AR1083" s="11">
        <v>0.18500000000000003</v>
      </c>
      <c r="AS1083" s="7">
        <v>9.5262794416288252E-2</v>
      </c>
    </row>
    <row r="1084" spans="44:45" x14ac:dyDescent="0.25">
      <c r="AR1084" s="11">
        <v>0.19500000000000003</v>
      </c>
      <c r="AS1084" s="7">
        <v>9.5262794416288252E-2</v>
      </c>
    </row>
    <row r="1085" spans="44:45" x14ac:dyDescent="0.25">
      <c r="AR1085" s="11">
        <v>0.20500000000000004</v>
      </c>
      <c r="AS1085" s="7">
        <v>9.5262794416288252E-2</v>
      </c>
    </row>
    <row r="1086" spans="44:45" x14ac:dyDescent="0.25">
      <c r="AR1086" s="11">
        <v>0.21500000000000005</v>
      </c>
      <c r="AS1086" s="7">
        <v>9.5262794416288252E-2</v>
      </c>
    </row>
    <row r="1087" spans="44:45" x14ac:dyDescent="0.25">
      <c r="AR1087" s="11">
        <v>0.22500000000000006</v>
      </c>
      <c r="AS1087" s="7">
        <v>9.5262794416288252E-2</v>
      </c>
    </row>
    <row r="1088" spans="44:45" x14ac:dyDescent="0.25">
      <c r="AR1088" s="11">
        <v>0.23500000000000007</v>
      </c>
      <c r="AS1088" s="7">
        <v>9.5262794416288252E-2</v>
      </c>
    </row>
    <row r="1089" spans="44:45" x14ac:dyDescent="0.25">
      <c r="AR1089" s="11">
        <v>0.24500000000000008</v>
      </c>
      <c r="AS1089" s="7">
        <v>9.5262794416288252E-2</v>
      </c>
    </row>
    <row r="1090" spans="44:45" x14ac:dyDescent="0.25">
      <c r="AR1090" s="11">
        <v>0.25500000000000006</v>
      </c>
      <c r="AS1090" s="7">
        <v>9.5262794416288252E-2</v>
      </c>
    </row>
    <row r="1091" spans="44:45" x14ac:dyDescent="0.25">
      <c r="AR1091" s="11">
        <v>0.26500000000000007</v>
      </c>
      <c r="AS1091" s="7">
        <v>9.5262794416288252E-2</v>
      </c>
    </row>
    <row r="1092" spans="44:45" x14ac:dyDescent="0.25">
      <c r="AR1092" s="11">
        <v>0.27500000000000008</v>
      </c>
      <c r="AS1092" s="7">
        <v>9.5262794416288252E-2</v>
      </c>
    </row>
    <row r="1093" spans="44:45" x14ac:dyDescent="0.25">
      <c r="AR1093" s="11">
        <v>0.28500000000000009</v>
      </c>
      <c r="AS1093" s="7">
        <v>9.5262794416288252E-2</v>
      </c>
    </row>
    <row r="1094" spans="44:45" x14ac:dyDescent="0.25">
      <c r="AR1094" s="11">
        <v>0.2950000000000001</v>
      </c>
      <c r="AS1094" s="7">
        <v>9.5262794416288252E-2</v>
      </c>
    </row>
    <row r="1095" spans="44:45" x14ac:dyDescent="0.25">
      <c r="AR1095" s="11">
        <v>0.3050000000000001</v>
      </c>
      <c r="AS1095" s="7">
        <v>9.5262794416288252E-2</v>
      </c>
    </row>
    <row r="1096" spans="44:45" x14ac:dyDescent="0.25">
      <c r="AR1096" s="11">
        <v>0.31500000000000011</v>
      </c>
      <c r="AS1096" s="7">
        <v>9.5262794416288252E-2</v>
      </c>
    </row>
    <row r="1097" spans="44:45" x14ac:dyDescent="0.25">
      <c r="AR1097" s="11">
        <v>0.32500000000000012</v>
      </c>
      <c r="AS1097" s="7">
        <v>9.5262794416288252E-2</v>
      </c>
    </row>
    <row r="1098" spans="44:45" x14ac:dyDescent="0.25">
      <c r="AR1098" s="11">
        <v>0.33500000000000013</v>
      </c>
      <c r="AS1098" s="7">
        <v>9.5262794416288252E-2</v>
      </c>
    </row>
    <row r="1099" spans="44:45" x14ac:dyDescent="0.25">
      <c r="AR1099" s="11">
        <v>0.34500000000000014</v>
      </c>
      <c r="AS1099" s="7">
        <v>9.5262794416288252E-2</v>
      </c>
    </row>
    <row r="1100" spans="44:45" x14ac:dyDescent="0.25">
      <c r="AR1100" s="11">
        <v>0.35500000000000015</v>
      </c>
      <c r="AS1100" s="7">
        <v>9.5262794416288252E-2</v>
      </c>
    </row>
    <row r="1101" spans="44:45" x14ac:dyDescent="0.25">
      <c r="AR1101" s="11">
        <v>0.36500000000000016</v>
      </c>
      <c r="AS1101" s="7">
        <v>9.5262794416288252E-2</v>
      </c>
    </row>
    <row r="1102" spans="44:45" x14ac:dyDescent="0.25">
      <c r="AR1102" s="11">
        <v>0.37500000000000017</v>
      </c>
      <c r="AS1102" s="7">
        <v>9.5262794416288252E-2</v>
      </c>
    </row>
    <row r="1103" spans="44:45" x14ac:dyDescent="0.25">
      <c r="AR1103" s="11">
        <v>0.38500000000000018</v>
      </c>
      <c r="AS1103" s="7">
        <v>9.5262794416288252E-2</v>
      </c>
    </row>
    <row r="1104" spans="44:45" x14ac:dyDescent="0.25">
      <c r="AR1104" s="11">
        <v>0.39500000000000018</v>
      </c>
      <c r="AS1104" s="7">
        <v>9.5262794416288252E-2</v>
      </c>
    </row>
    <row r="1105" spans="44:45" x14ac:dyDescent="0.25">
      <c r="AR1105" s="11">
        <v>0.40500000000000019</v>
      </c>
      <c r="AS1105" s="7">
        <v>9.5262794416288252E-2</v>
      </c>
    </row>
    <row r="1106" spans="44:45" x14ac:dyDescent="0.25">
      <c r="AR1106" s="11">
        <v>0.4150000000000002</v>
      </c>
      <c r="AS1106" s="7">
        <v>9.5262794416288252E-2</v>
      </c>
    </row>
    <row r="1107" spans="44:45" x14ac:dyDescent="0.25">
      <c r="AR1107" s="11">
        <v>0.42500000000000021</v>
      </c>
      <c r="AS1107" s="7">
        <v>9.5262794416288252E-2</v>
      </c>
    </row>
    <row r="1108" spans="44:45" x14ac:dyDescent="0.25">
      <c r="AR1108" s="11">
        <v>0.43500000000000022</v>
      </c>
      <c r="AS1108" s="7">
        <v>9.5262794416288252E-2</v>
      </c>
    </row>
    <row r="1109" spans="44:45" x14ac:dyDescent="0.25">
      <c r="AR1109" s="11">
        <v>0.44500000000000023</v>
      </c>
      <c r="AS1109" s="7">
        <v>9.5262794416288252E-2</v>
      </c>
    </row>
    <row r="1110" spans="44:45" x14ac:dyDescent="0.25">
      <c r="AR1110" s="11">
        <v>0.45500000000000024</v>
      </c>
      <c r="AS1110" s="7">
        <v>9.5262794416288252E-2</v>
      </c>
    </row>
    <row r="1111" spans="44:45" x14ac:dyDescent="0.25">
      <c r="AR1111" s="11">
        <v>0.46500000000000025</v>
      </c>
      <c r="AS1111" s="7">
        <v>9.5262794416288252E-2</v>
      </c>
    </row>
    <row r="1112" spans="44:45" x14ac:dyDescent="0.25">
      <c r="AR1112" s="11">
        <v>0.47500000000000026</v>
      </c>
      <c r="AS1112" s="7">
        <v>9.5262794416288252E-2</v>
      </c>
    </row>
    <row r="1113" spans="44:45" x14ac:dyDescent="0.25">
      <c r="AR1113" s="11">
        <v>0.48500000000000026</v>
      </c>
      <c r="AS1113" s="7">
        <v>9.5262794416288252E-2</v>
      </c>
    </row>
    <row r="1114" spans="44:45" x14ac:dyDescent="0.25">
      <c r="AR1114" s="11">
        <v>0.49500000000000027</v>
      </c>
      <c r="AS1114" s="7">
        <v>9.5262794416288252E-2</v>
      </c>
    </row>
    <row r="1115" spans="44:45" x14ac:dyDescent="0.25">
      <c r="AR1115" s="11">
        <v>0.50500000000000023</v>
      </c>
      <c r="AS1115" s="7">
        <v>9.5262794416288252E-2</v>
      </c>
    </row>
    <row r="1116" spans="44:45" x14ac:dyDescent="0.25">
      <c r="AR1116" s="11">
        <v>0.51500000000000024</v>
      </c>
      <c r="AS1116" s="7">
        <v>9.5262794416288252E-2</v>
      </c>
    </row>
    <row r="1117" spans="44:45" x14ac:dyDescent="0.25">
      <c r="AR1117" s="11">
        <v>0.52500000000000024</v>
      </c>
      <c r="AS1117" s="7">
        <v>9.5262794416288252E-2</v>
      </c>
    </row>
    <row r="1118" spans="44:45" x14ac:dyDescent="0.25">
      <c r="AR1118" s="11">
        <v>0.53500000000000025</v>
      </c>
      <c r="AS1118" s="7">
        <v>9.5262794416288252E-2</v>
      </c>
    </row>
    <row r="1119" spans="44:45" x14ac:dyDescent="0.25">
      <c r="AR1119" s="11">
        <v>0.54500000000000026</v>
      </c>
      <c r="AS1119" s="7">
        <v>9.5262794416288252E-2</v>
      </c>
    </row>
    <row r="1120" spans="44:45" x14ac:dyDescent="0.25">
      <c r="AR1120" s="11">
        <v>0.55500000000000027</v>
      </c>
      <c r="AS1120" s="7">
        <v>9.5262794416288252E-2</v>
      </c>
    </row>
    <row r="1121" spans="44:45" x14ac:dyDescent="0.25">
      <c r="AR1121" s="11">
        <v>0.56500000000000028</v>
      </c>
      <c r="AS1121" s="7">
        <v>9.5262794416288252E-2</v>
      </c>
    </row>
    <row r="1122" spans="44:45" x14ac:dyDescent="0.25">
      <c r="AR1122" s="11">
        <v>0.57500000000000029</v>
      </c>
      <c r="AS1122" s="7">
        <v>9.5262794416288252E-2</v>
      </c>
    </row>
    <row r="1123" spans="44:45" x14ac:dyDescent="0.25">
      <c r="AR1123" s="11">
        <v>0.5850000000000003</v>
      </c>
      <c r="AS1123" s="7">
        <v>9.5262794416288252E-2</v>
      </c>
    </row>
    <row r="1124" spans="44:45" x14ac:dyDescent="0.25">
      <c r="AR1124" s="11">
        <v>0.59500000000000031</v>
      </c>
      <c r="AS1124" s="7">
        <v>9.5262794416288252E-2</v>
      </c>
    </row>
    <row r="1125" spans="44:45" x14ac:dyDescent="0.25">
      <c r="AR1125" s="11">
        <v>0.60500000000000032</v>
      </c>
      <c r="AS1125" s="7">
        <v>9.5262794416288252E-2</v>
      </c>
    </row>
    <row r="1126" spans="44:45" x14ac:dyDescent="0.25">
      <c r="AR1126" s="11">
        <v>0.61500000000000032</v>
      </c>
      <c r="AS1126" s="7">
        <v>9.5262794416288252E-2</v>
      </c>
    </row>
    <row r="1127" spans="44:45" x14ac:dyDescent="0.25">
      <c r="AR1127" s="11">
        <v>0.62500000000000033</v>
      </c>
      <c r="AS1127" s="7">
        <v>9.5262794416288252E-2</v>
      </c>
    </row>
    <row r="1128" spans="44:45" x14ac:dyDescent="0.25">
      <c r="AR1128" s="11">
        <v>0.63500000000000034</v>
      </c>
      <c r="AS1128" s="7">
        <v>9.5262794416288252E-2</v>
      </c>
    </row>
    <row r="1129" spans="44:45" x14ac:dyDescent="0.25">
      <c r="AR1129" s="11">
        <v>0.64500000000000035</v>
      </c>
      <c r="AS1129" s="7">
        <v>9.5262794416288252E-2</v>
      </c>
    </row>
    <row r="1130" spans="44:45" x14ac:dyDescent="0.25">
      <c r="AR1130" s="11">
        <v>0.65500000000000036</v>
      </c>
      <c r="AS1130" s="7">
        <v>9.5262794416288252E-2</v>
      </c>
    </row>
    <row r="1131" spans="44:45" x14ac:dyDescent="0.25">
      <c r="AR1131" s="11">
        <v>0.66500000000000037</v>
      </c>
      <c r="AS1131" s="7">
        <v>9.5262794416288252E-2</v>
      </c>
    </row>
    <row r="1132" spans="44:45" x14ac:dyDescent="0.25">
      <c r="AR1132" s="11">
        <v>0.67500000000000038</v>
      </c>
      <c r="AS1132" s="7">
        <v>9.5262794416288252E-2</v>
      </c>
    </row>
    <row r="1133" spans="44:45" x14ac:dyDescent="0.25">
      <c r="AR1133" s="11">
        <v>0.68500000000000039</v>
      </c>
      <c r="AS1133" s="7">
        <v>9.5262794416288252E-2</v>
      </c>
    </row>
    <row r="1134" spans="44:45" x14ac:dyDescent="0.25">
      <c r="AR1134" s="11">
        <v>0.6950000000000004</v>
      </c>
      <c r="AS1134" s="7">
        <v>9.5262794416288252E-2</v>
      </c>
    </row>
    <row r="1135" spans="44:45" x14ac:dyDescent="0.25">
      <c r="AR1135" s="11">
        <v>0.7050000000000004</v>
      </c>
      <c r="AS1135" s="7">
        <v>9.5262794416288252E-2</v>
      </c>
    </row>
    <row r="1136" spans="44:45" x14ac:dyDescent="0.25">
      <c r="AR1136" s="11">
        <v>0.71500000000000041</v>
      </c>
      <c r="AS1136" s="7">
        <v>9.5262794416288252E-2</v>
      </c>
    </row>
    <row r="1137" spans="44:45" x14ac:dyDescent="0.25">
      <c r="AR1137" s="11">
        <v>0.72500000000000042</v>
      </c>
      <c r="AS1137" s="7">
        <v>9.5262794416288252E-2</v>
      </c>
    </row>
    <row r="1138" spans="44:45" x14ac:dyDescent="0.25">
      <c r="AR1138" s="11">
        <v>0.73500000000000043</v>
      </c>
      <c r="AS1138" s="7">
        <v>9.5262794416288252E-2</v>
      </c>
    </row>
    <row r="1139" spans="44:45" x14ac:dyDescent="0.25">
      <c r="AR1139" s="11">
        <v>0.74500000000000044</v>
      </c>
      <c r="AS1139" s="7">
        <v>9.5262794416288252E-2</v>
      </c>
    </row>
    <row r="1140" spans="44:45" x14ac:dyDescent="0.25">
      <c r="AR1140" s="11">
        <v>0.75500000000000045</v>
      </c>
      <c r="AS1140" s="7">
        <v>9.5262794416288252E-2</v>
      </c>
    </row>
    <row r="1141" spans="44:45" x14ac:dyDescent="0.25">
      <c r="AR1141" s="11">
        <v>0.76500000000000046</v>
      </c>
      <c r="AS1141" s="7">
        <v>9.5262794416288252E-2</v>
      </c>
    </row>
    <row r="1142" spans="44:45" x14ac:dyDescent="0.25">
      <c r="AR1142" s="11">
        <v>0.77500000000000047</v>
      </c>
      <c r="AS1142" s="7">
        <v>9.5262794416288252E-2</v>
      </c>
    </row>
    <row r="1143" spans="44:45" x14ac:dyDescent="0.25">
      <c r="AR1143" s="11">
        <v>0.78500000000000048</v>
      </c>
      <c r="AS1143" s="7">
        <v>9.5262794416288252E-2</v>
      </c>
    </row>
    <row r="1144" spans="44:45" x14ac:dyDescent="0.25">
      <c r="AR1144" s="11">
        <v>0.79500000000000048</v>
      </c>
      <c r="AS1144" s="7">
        <v>9.5262794416288252E-2</v>
      </c>
    </row>
    <row r="1145" spans="44:45" x14ac:dyDescent="0.25">
      <c r="AR1145" s="11">
        <v>0.80500000000000049</v>
      </c>
      <c r="AS1145" s="7">
        <v>9.5262794416288252E-2</v>
      </c>
    </row>
    <row r="1146" spans="44:45" x14ac:dyDescent="0.25">
      <c r="AR1146" s="11">
        <v>0.8150000000000005</v>
      </c>
      <c r="AS1146" s="7">
        <v>9.5262794416288252E-2</v>
      </c>
    </row>
    <row r="1147" spans="44:45" x14ac:dyDescent="0.25">
      <c r="AR1147" s="11">
        <v>0.82500000000000051</v>
      </c>
      <c r="AS1147" s="7">
        <v>9.5262794416288252E-2</v>
      </c>
    </row>
    <row r="1148" spans="44:45" x14ac:dyDescent="0.25">
      <c r="AR1148" s="11">
        <v>0.83500000000000052</v>
      </c>
      <c r="AS1148" s="7">
        <v>9.5262794416288252E-2</v>
      </c>
    </row>
    <row r="1149" spans="44:45" x14ac:dyDescent="0.25">
      <c r="AR1149" s="11">
        <v>0.84500000000000053</v>
      </c>
      <c r="AS1149" s="7">
        <v>9.5262794416288252E-2</v>
      </c>
    </row>
    <row r="1150" spans="44:45" x14ac:dyDescent="0.25">
      <c r="AR1150" s="11">
        <v>0.85500000000000054</v>
      </c>
      <c r="AS1150" s="7">
        <v>9.5262794416288252E-2</v>
      </c>
    </row>
    <row r="1151" spans="44:45" x14ac:dyDescent="0.25">
      <c r="AR1151" s="11">
        <v>0.86500000000000055</v>
      </c>
      <c r="AS1151" s="7">
        <v>9.5262794416288252E-2</v>
      </c>
    </row>
    <row r="1152" spans="44:45" x14ac:dyDescent="0.25">
      <c r="AR1152" s="11">
        <v>0.87500000000000056</v>
      </c>
      <c r="AS1152" s="7">
        <v>9.5262794416288252E-2</v>
      </c>
    </row>
    <row r="1153" spans="44:45" x14ac:dyDescent="0.25">
      <c r="AR1153" s="11">
        <v>0.88500000000000056</v>
      </c>
      <c r="AS1153" s="7">
        <v>9.5262794416288252E-2</v>
      </c>
    </row>
    <row r="1154" spans="44:45" x14ac:dyDescent="0.25">
      <c r="AR1154" s="11">
        <v>0.89500000000000057</v>
      </c>
      <c r="AS1154" s="7">
        <v>9.5262794416288252E-2</v>
      </c>
    </row>
    <row r="1155" spans="44:45" x14ac:dyDescent="0.25">
      <c r="AR1155" s="11">
        <v>0.90500000000000058</v>
      </c>
      <c r="AS1155" s="7">
        <v>9.5262794416288252E-2</v>
      </c>
    </row>
    <row r="1156" spans="44:45" x14ac:dyDescent="0.25">
      <c r="AR1156" s="11">
        <v>0.91500000000000059</v>
      </c>
      <c r="AS1156" s="7">
        <v>9.5262794416288252E-2</v>
      </c>
    </row>
    <row r="1157" spans="44:45" x14ac:dyDescent="0.25">
      <c r="AR1157" s="11">
        <v>0.9250000000000006</v>
      </c>
      <c r="AS1157" s="7">
        <v>9.5262794416288252E-2</v>
      </c>
    </row>
    <row r="1158" spans="44:45" x14ac:dyDescent="0.25">
      <c r="AR1158" s="11">
        <v>0.93500000000000061</v>
      </c>
      <c r="AS1158" s="7">
        <v>9.5262794416288252E-2</v>
      </c>
    </row>
    <row r="1159" spans="44:45" x14ac:dyDescent="0.25">
      <c r="AR1159" s="11">
        <v>0.94500000000000062</v>
      </c>
      <c r="AS1159" s="7">
        <v>9.5262794416288252E-2</v>
      </c>
    </row>
    <row r="1160" spans="44:45" x14ac:dyDescent="0.25">
      <c r="AR1160" s="11"/>
      <c r="AS1160" s="7"/>
    </row>
    <row r="1161" spans="44:45" x14ac:dyDescent="0.25">
      <c r="AR1161" s="11">
        <v>6.0000000000000005E-2</v>
      </c>
      <c r="AS1161" s="7">
        <v>0.10392304845413264</v>
      </c>
    </row>
    <row r="1162" spans="44:45" x14ac:dyDescent="0.25">
      <c r="AR1162" s="11">
        <v>7.0000000000000007E-2</v>
      </c>
      <c r="AS1162" s="7">
        <v>0.10392304845413264</v>
      </c>
    </row>
    <row r="1163" spans="44:45" x14ac:dyDescent="0.25">
      <c r="AR1163" s="11">
        <v>0.08</v>
      </c>
      <c r="AS1163" s="7">
        <v>0.10392304845413264</v>
      </c>
    </row>
    <row r="1164" spans="44:45" x14ac:dyDescent="0.25">
      <c r="AR1164" s="11">
        <v>0.09</v>
      </c>
      <c r="AS1164" s="7">
        <v>0.10392304845413264</v>
      </c>
    </row>
    <row r="1165" spans="44:45" x14ac:dyDescent="0.25">
      <c r="AR1165" s="11">
        <v>9.9999999999999992E-2</v>
      </c>
      <c r="AS1165" s="7">
        <v>0.10392304845413264</v>
      </c>
    </row>
    <row r="1166" spans="44:45" x14ac:dyDescent="0.25">
      <c r="AR1166" s="11">
        <v>0.10999999999999999</v>
      </c>
      <c r="AS1166" s="7">
        <v>0.10392304845413264</v>
      </c>
    </row>
    <row r="1167" spans="44:45" x14ac:dyDescent="0.25">
      <c r="AR1167" s="11">
        <v>0.11999999999999998</v>
      </c>
      <c r="AS1167" s="7">
        <v>0.10392304845413264</v>
      </c>
    </row>
    <row r="1168" spans="44:45" x14ac:dyDescent="0.25">
      <c r="AR1168" s="11">
        <v>0.12999999999999998</v>
      </c>
      <c r="AS1168" s="7">
        <v>0.10392304845413264</v>
      </c>
    </row>
    <row r="1169" spans="44:45" x14ac:dyDescent="0.25">
      <c r="AR1169" s="11">
        <v>0.13999999999999999</v>
      </c>
      <c r="AS1169" s="7">
        <v>0.10392304845413264</v>
      </c>
    </row>
    <row r="1170" spans="44:45" x14ac:dyDescent="0.25">
      <c r="AR1170" s="11">
        <v>0.15</v>
      </c>
      <c r="AS1170" s="7">
        <v>0.10392304845413264</v>
      </c>
    </row>
    <row r="1171" spans="44:45" x14ac:dyDescent="0.25">
      <c r="AR1171" s="11">
        <v>0.16</v>
      </c>
      <c r="AS1171" s="7">
        <v>0.10392304845413264</v>
      </c>
    </row>
    <row r="1172" spans="44:45" x14ac:dyDescent="0.25">
      <c r="AR1172" s="11">
        <v>0.17</v>
      </c>
      <c r="AS1172" s="7">
        <v>0.10392304845413264</v>
      </c>
    </row>
    <row r="1173" spans="44:45" x14ac:dyDescent="0.25">
      <c r="AR1173" s="11">
        <v>0.18000000000000002</v>
      </c>
      <c r="AS1173" s="7">
        <v>0.10392304845413264</v>
      </c>
    </row>
    <row r="1174" spans="44:45" x14ac:dyDescent="0.25">
      <c r="AR1174" s="11">
        <v>0.19000000000000003</v>
      </c>
      <c r="AS1174" s="7">
        <v>0.10392304845413264</v>
      </c>
    </row>
    <row r="1175" spans="44:45" x14ac:dyDescent="0.25">
      <c r="AR1175" s="11">
        <v>0.20000000000000004</v>
      </c>
      <c r="AS1175" s="7">
        <v>0.10392304845413264</v>
      </c>
    </row>
    <row r="1176" spans="44:45" x14ac:dyDescent="0.25">
      <c r="AR1176" s="11">
        <v>0.21000000000000005</v>
      </c>
      <c r="AS1176" s="7">
        <v>0.10392304845413264</v>
      </c>
    </row>
    <row r="1177" spans="44:45" x14ac:dyDescent="0.25">
      <c r="AR1177" s="11">
        <v>0.22000000000000006</v>
      </c>
      <c r="AS1177" s="7">
        <v>0.10392304845413264</v>
      </c>
    </row>
    <row r="1178" spans="44:45" x14ac:dyDescent="0.25">
      <c r="AR1178" s="11">
        <v>0.23000000000000007</v>
      </c>
      <c r="AS1178" s="7">
        <v>0.10392304845413264</v>
      </c>
    </row>
    <row r="1179" spans="44:45" x14ac:dyDescent="0.25">
      <c r="AR1179" s="11">
        <v>0.24000000000000007</v>
      </c>
      <c r="AS1179" s="7">
        <v>0.10392304845413264</v>
      </c>
    </row>
    <row r="1180" spans="44:45" x14ac:dyDescent="0.25">
      <c r="AR1180" s="11">
        <v>0.25000000000000006</v>
      </c>
      <c r="AS1180" s="7">
        <v>0.10392304845413264</v>
      </c>
    </row>
    <row r="1181" spans="44:45" x14ac:dyDescent="0.25">
      <c r="AR1181" s="11">
        <v>0.26000000000000006</v>
      </c>
      <c r="AS1181" s="7">
        <v>0.10392304845413264</v>
      </c>
    </row>
    <row r="1182" spans="44:45" x14ac:dyDescent="0.25">
      <c r="AR1182" s="11">
        <v>0.27000000000000007</v>
      </c>
      <c r="AS1182" s="7">
        <v>0.10392304845413264</v>
      </c>
    </row>
    <row r="1183" spans="44:45" x14ac:dyDescent="0.25">
      <c r="AR1183" s="11">
        <v>0.28000000000000008</v>
      </c>
      <c r="AS1183" s="7">
        <v>0.10392304845413264</v>
      </c>
    </row>
    <row r="1184" spans="44:45" x14ac:dyDescent="0.25">
      <c r="AR1184" s="11">
        <v>0.29000000000000009</v>
      </c>
      <c r="AS1184" s="7">
        <v>0.10392304845413264</v>
      </c>
    </row>
    <row r="1185" spans="44:45" x14ac:dyDescent="0.25">
      <c r="AR1185" s="11">
        <v>0.3000000000000001</v>
      </c>
      <c r="AS1185" s="7">
        <v>0.10392304845413264</v>
      </c>
    </row>
    <row r="1186" spans="44:45" x14ac:dyDescent="0.25">
      <c r="AR1186" s="11">
        <v>0.31000000000000011</v>
      </c>
      <c r="AS1186" s="7">
        <v>0.10392304845413264</v>
      </c>
    </row>
    <row r="1187" spans="44:45" x14ac:dyDescent="0.25">
      <c r="AR1187" s="11">
        <v>0.32000000000000012</v>
      </c>
      <c r="AS1187" s="7">
        <v>0.10392304845413264</v>
      </c>
    </row>
    <row r="1188" spans="44:45" x14ac:dyDescent="0.25">
      <c r="AR1188" s="11">
        <v>0.33000000000000013</v>
      </c>
      <c r="AS1188" s="7">
        <v>0.10392304845413264</v>
      </c>
    </row>
    <row r="1189" spans="44:45" x14ac:dyDescent="0.25">
      <c r="AR1189" s="11">
        <v>0.34000000000000014</v>
      </c>
      <c r="AS1189" s="7">
        <v>0.10392304845413264</v>
      </c>
    </row>
    <row r="1190" spans="44:45" x14ac:dyDescent="0.25">
      <c r="AR1190" s="11">
        <v>0.35000000000000014</v>
      </c>
      <c r="AS1190" s="7">
        <v>0.10392304845413264</v>
      </c>
    </row>
    <row r="1191" spans="44:45" x14ac:dyDescent="0.25">
      <c r="AR1191" s="11">
        <v>0.36000000000000015</v>
      </c>
      <c r="AS1191" s="7">
        <v>0.10392304845413264</v>
      </c>
    </row>
    <row r="1192" spans="44:45" x14ac:dyDescent="0.25">
      <c r="AR1192" s="11">
        <v>0.37000000000000016</v>
      </c>
      <c r="AS1192" s="7">
        <v>0.10392304845413264</v>
      </c>
    </row>
    <row r="1193" spans="44:45" x14ac:dyDescent="0.25">
      <c r="AR1193" s="11">
        <v>0.38000000000000017</v>
      </c>
      <c r="AS1193" s="7">
        <v>0.10392304845413264</v>
      </c>
    </row>
    <row r="1194" spans="44:45" x14ac:dyDescent="0.25">
      <c r="AR1194" s="11">
        <v>0.39000000000000018</v>
      </c>
      <c r="AS1194" s="7">
        <v>0.10392304845413264</v>
      </c>
    </row>
    <row r="1195" spans="44:45" x14ac:dyDescent="0.25">
      <c r="AR1195" s="11">
        <v>0.40000000000000019</v>
      </c>
      <c r="AS1195" s="7">
        <v>0.10392304845413264</v>
      </c>
    </row>
    <row r="1196" spans="44:45" x14ac:dyDescent="0.25">
      <c r="AR1196" s="11">
        <v>0.4100000000000002</v>
      </c>
      <c r="AS1196" s="7">
        <v>0.10392304845413264</v>
      </c>
    </row>
    <row r="1197" spans="44:45" x14ac:dyDescent="0.25">
      <c r="AR1197" s="11">
        <v>0.42000000000000021</v>
      </c>
      <c r="AS1197" s="7">
        <v>0.10392304845413264</v>
      </c>
    </row>
    <row r="1198" spans="44:45" x14ac:dyDescent="0.25">
      <c r="AR1198" s="11">
        <v>0.43000000000000022</v>
      </c>
      <c r="AS1198" s="7">
        <v>0.10392304845413264</v>
      </c>
    </row>
    <row r="1199" spans="44:45" x14ac:dyDescent="0.25">
      <c r="AR1199" s="11">
        <v>0.44000000000000022</v>
      </c>
      <c r="AS1199" s="7">
        <v>0.10392304845413264</v>
      </c>
    </row>
    <row r="1200" spans="44:45" x14ac:dyDescent="0.25">
      <c r="AR1200" s="11">
        <v>0.45000000000000023</v>
      </c>
      <c r="AS1200" s="7">
        <v>0.10392304845413264</v>
      </c>
    </row>
    <row r="1201" spans="44:45" x14ac:dyDescent="0.25">
      <c r="AR1201" s="11">
        <v>0.46000000000000024</v>
      </c>
      <c r="AS1201" s="7">
        <v>0.10392304845413264</v>
      </c>
    </row>
    <row r="1202" spans="44:45" x14ac:dyDescent="0.25">
      <c r="AR1202" s="11">
        <v>0.47000000000000025</v>
      </c>
      <c r="AS1202" s="7">
        <v>0.10392304845413264</v>
      </c>
    </row>
    <row r="1203" spans="44:45" x14ac:dyDescent="0.25">
      <c r="AR1203" s="11">
        <v>0.48000000000000026</v>
      </c>
      <c r="AS1203" s="7">
        <v>0.10392304845413264</v>
      </c>
    </row>
    <row r="1204" spans="44:45" x14ac:dyDescent="0.25">
      <c r="AR1204" s="11">
        <v>0.49000000000000027</v>
      </c>
      <c r="AS1204" s="7">
        <v>0.10392304845413264</v>
      </c>
    </row>
    <row r="1205" spans="44:45" x14ac:dyDescent="0.25">
      <c r="AR1205" s="11">
        <v>0.50000000000000022</v>
      </c>
      <c r="AS1205" s="7">
        <v>0.10392304845413264</v>
      </c>
    </row>
    <row r="1206" spans="44:45" x14ac:dyDescent="0.25">
      <c r="AR1206" s="11">
        <v>0.51000000000000023</v>
      </c>
      <c r="AS1206" s="7">
        <v>0.10392304845413264</v>
      </c>
    </row>
    <row r="1207" spans="44:45" x14ac:dyDescent="0.25">
      <c r="AR1207" s="11">
        <v>0.52000000000000024</v>
      </c>
      <c r="AS1207" s="7">
        <v>0.10392304845413264</v>
      </c>
    </row>
    <row r="1208" spans="44:45" x14ac:dyDescent="0.25">
      <c r="AR1208" s="11">
        <v>0.53000000000000025</v>
      </c>
      <c r="AS1208" s="7">
        <v>0.10392304845413264</v>
      </c>
    </row>
    <row r="1209" spans="44:45" x14ac:dyDescent="0.25">
      <c r="AR1209" s="11">
        <v>0.54000000000000026</v>
      </c>
      <c r="AS1209" s="7">
        <v>0.10392304845413264</v>
      </c>
    </row>
    <row r="1210" spans="44:45" x14ac:dyDescent="0.25">
      <c r="AR1210" s="11">
        <v>0.55000000000000027</v>
      </c>
      <c r="AS1210" s="7">
        <v>0.10392304845413264</v>
      </c>
    </row>
    <row r="1211" spans="44:45" x14ac:dyDescent="0.25">
      <c r="AR1211" s="11">
        <v>0.56000000000000028</v>
      </c>
      <c r="AS1211" s="7">
        <v>0.10392304845413264</v>
      </c>
    </row>
    <row r="1212" spans="44:45" x14ac:dyDescent="0.25">
      <c r="AR1212" s="11">
        <v>0.57000000000000028</v>
      </c>
      <c r="AS1212" s="7">
        <v>0.10392304845413264</v>
      </c>
    </row>
    <row r="1213" spans="44:45" x14ac:dyDescent="0.25">
      <c r="AR1213" s="11">
        <v>0.58000000000000029</v>
      </c>
      <c r="AS1213" s="7">
        <v>0.10392304845413264</v>
      </c>
    </row>
    <row r="1214" spans="44:45" x14ac:dyDescent="0.25">
      <c r="AR1214" s="11">
        <v>0.5900000000000003</v>
      </c>
      <c r="AS1214" s="7">
        <v>0.10392304845413264</v>
      </c>
    </row>
    <row r="1215" spans="44:45" x14ac:dyDescent="0.25">
      <c r="AR1215" s="11">
        <v>0.60000000000000031</v>
      </c>
      <c r="AS1215" s="7">
        <v>0.10392304845413264</v>
      </c>
    </row>
    <row r="1216" spans="44:45" x14ac:dyDescent="0.25">
      <c r="AR1216" s="11">
        <v>0.61000000000000032</v>
      </c>
      <c r="AS1216" s="7">
        <v>0.10392304845413264</v>
      </c>
    </row>
    <row r="1217" spans="44:45" x14ac:dyDescent="0.25">
      <c r="AR1217" s="11">
        <v>0.62000000000000033</v>
      </c>
      <c r="AS1217" s="7">
        <v>0.10392304845413264</v>
      </c>
    </row>
    <row r="1218" spans="44:45" x14ac:dyDescent="0.25">
      <c r="AR1218" s="11">
        <v>0.63000000000000034</v>
      </c>
      <c r="AS1218" s="7">
        <v>0.10392304845413264</v>
      </c>
    </row>
    <row r="1219" spans="44:45" x14ac:dyDescent="0.25">
      <c r="AR1219" s="11">
        <v>0.64000000000000035</v>
      </c>
      <c r="AS1219" s="7">
        <v>0.10392304845413264</v>
      </c>
    </row>
    <row r="1220" spans="44:45" x14ac:dyDescent="0.25">
      <c r="AR1220" s="11">
        <v>0.65000000000000036</v>
      </c>
      <c r="AS1220" s="7">
        <v>0.10392304845413264</v>
      </c>
    </row>
    <row r="1221" spans="44:45" x14ac:dyDescent="0.25">
      <c r="AR1221" s="11">
        <v>0.66000000000000036</v>
      </c>
      <c r="AS1221" s="7">
        <v>0.10392304845413264</v>
      </c>
    </row>
    <row r="1222" spans="44:45" x14ac:dyDescent="0.25">
      <c r="AR1222" s="11">
        <v>0.67000000000000037</v>
      </c>
      <c r="AS1222" s="7">
        <v>0.10392304845413264</v>
      </c>
    </row>
    <row r="1223" spans="44:45" x14ac:dyDescent="0.25">
      <c r="AR1223" s="11">
        <v>0.68000000000000038</v>
      </c>
      <c r="AS1223" s="7">
        <v>0.10392304845413264</v>
      </c>
    </row>
    <row r="1224" spans="44:45" x14ac:dyDescent="0.25">
      <c r="AR1224" s="11">
        <v>0.69000000000000039</v>
      </c>
      <c r="AS1224" s="7">
        <v>0.10392304845413264</v>
      </c>
    </row>
    <row r="1225" spans="44:45" x14ac:dyDescent="0.25">
      <c r="AR1225" s="11">
        <v>0.7000000000000004</v>
      </c>
      <c r="AS1225" s="7">
        <v>0.10392304845413264</v>
      </c>
    </row>
    <row r="1226" spans="44:45" x14ac:dyDescent="0.25">
      <c r="AR1226" s="11">
        <v>0.71000000000000041</v>
      </c>
      <c r="AS1226" s="7">
        <v>0.10392304845413264</v>
      </c>
    </row>
    <row r="1227" spans="44:45" x14ac:dyDescent="0.25">
      <c r="AR1227" s="11">
        <v>0.72000000000000042</v>
      </c>
      <c r="AS1227" s="7">
        <v>0.10392304845413264</v>
      </c>
    </row>
    <row r="1228" spans="44:45" x14ac:dyDescent="0.25">
      <c r="AR1228" s="11">
        <v>0.73000000000000043</v>
      </c>
      <c r="AS1228" s="7">
        <v>0.10392304845413264</v>
      </c>
    </row>
    <row r="1229" spans="44:45" x14ac:dyDescent="0.25">
      <c r="AR1229" s="11">
        <v>0.74000000000000044</v>
      </c>
      <c r="AS1229" s="7">
        <v>0.10392304845413264</v>
      </c>
    </row>
    <row r="1230" spans="44:45" x14ac:dyDescent="0.25">
      <c r="AR1230" s="11">
        <v>0.75000000000000044</v>
      </c>
      <c r="AS1230" s="7">
        <v>0.10392304845413264</v>
      </c>
    </row>
    <row r="1231" spans="44:45" x14ac:dyDescent="0.25">
      <c r="AR1231" s="11">
        <v>0.76000000000000045</v>
      </c>
      <c r="AS1231" s="7">
        <v>0.10392304845413264</v>
      </c>
    </row>
    <row r="1232" spans="44:45" x14ac:dyDescent="0.25">
      <c r="AR1232" s="11">
        <v>0.77000000000000046</v>
      </c>
      <c r="AS1232" s="7">
        <v>0.10392304845413264</v>
      </c>
    </row>
    <row r="1233" spans="44:45" x14ac:dyDescent="0.25">
      <c r="AR1233" s="11">
        <v>0.78000000000000047</v>
      </c>
      <c r="AS1233" s="7">
        <v>0.10392304845413264</v>
      </c>
    </row>
    <row r="1234" spans="44:45" x14ac:dyDescent="0.25">
      <c r="AR1234" s="11">
        <v>0.79000000000000048</v>
      </c>
      <c r="AS1234" s="7">
        <v>0.10392304845413264</v>
      </c>
    </row>
    <row r="1235" spans="44:45" x14ac:dyDescent="0.25">
      <c r="AR1235" s="11">
        <v>0.80000000000000049</v>
      </c>
      <c r="AS1235" s="7">
        <v>0.10392304845413264</v>
      </c>
    </row>
    <row r="1236" spans="44:45" x14ac:dyDescent="0.25">
      <c r="AR1236" s="11">
        <v>0.8100000000000005</v>
      </c>
      <c r="AS1236" s="7">
        <v>0.10392304845413264</v>
      </c>
    </row>
    <row r="1237" spans="44:45" x14ac:dyDescent="0.25">
      <c r="AR1237" s="11">
        <v>0.82000000000000051</v>
      </c>
      <c r="AS1237" s="7">
        <v>0.10392304845413264</v>
      </c>
    </row>
    <row r="1238" spans="44:45" x14ac:dyDescent="0.25">
      <c r="AR1238" s="11">
        <v>0.83000000000000052</v>
      </c>
      <c r="AS1238" s="7">
        <v>0.10392304845413264</v>
      </c>
    </row>
    <row r="1239" spans="44:45" x14ac:dyDescent="0.25">
      <c r="AR1239" s="11">
        <v>0.84000000000000052</v>
      </c>
      <c r="AS1239" s="7">
        <v>0.10392304845413264</v>
      </c>
    </row>
    <row r="1240" spans="44:45" x14ac:dyDescent="0.25">
      <c r="AR1240" s="11">
        <v>0.85000000000000053</v>
      </c>
      <c r="AS1240" s="7">
        <v>0.10392304845413264</v>
      </c>
    </row>
    <row r="1241" spans="44:45" x14ac:dyDescent="0.25">
      <c r="AR1241" s="11">
        <v>0.86000000000000054</v>
      </c>
      <c r="AS1241" s="7">
        <v>0.10392304845413264</v>
      </c>
    </row>
    <row r="1242" spans="44:45" x14ac:dyDescent="0.25">
      <c r="AR1242" s="11">
        <v>0.87000000000000055</v>
      </c>
      <c r="AS1242" s="7">
        <v>0.10392304845413264</v>
      </c>
    </row>
    <row r="1243" spans="44:45" x14ac:dyDescent="0.25">
      <c r="AR1243" s="11">
        <v>0.88000000000000056</v>
      </c>
      <c r="AS1243" s="7">
        <v>0.10392304845413264</v>
      </c>
    </row>
    <row r="1244" spans="44:45" x14ac:dyDescent="0.25">
      <c r="AR1244" s="11">
        <v>0.89000000000000057</v>
      </c>
      <c r="AS1244" s="7">
        <v>0.10392304845413264</v>
      </c>
    </row>
    <row r="1245" spans="44:45" x14ac:dyDescent="0.25">
      <c r="AR1245" s="11">
        <v>0.90000000000000058</v>
      </c>
      <c r="AS1245" s="7">
        <v>0.10392304845413264</v>
      </c>
    </row>
    <row r="1246" spans="44:45" x14ac:dyDescent="0.25">
      <c r="AR1246" s="11">
        <v>0.91000000000000059</v>
      </c>
      <c r="AS1246" s="7">
        <v>0.10392304845413264</v>
      </c>
    </row>
    <row r="1247" spans="44:45" x14ac:dyDescent="0.25">
      <c r="AR1247" s="11">
        <v>0.9200000000000006</v>
      </c>
      <c r="AS1247" s="7">
        <v>0.10392304845413264</v>
      </c>
    </row>
    <row r="1248" spans="44:45" x14ac:dyDescent="0.25">
      <c r="AR1248" s="11">
        <v>0.9300000000000006</v>
      </c>
      <c r="AS1248" s="7">
        <v>0.10392304845413264</v>
      </c>
    </row>
    <row r="1249" spans="44:45" x14ac:dyDescent="0.25">
      <c r="AR1249" s="11">
        <v>0.94000000000000061</v>
      </c>
      <c r="AS1249" s="7">
        <v>0.10392304845413264</v>
      </c>
    </row>
    <row r="1250" spans="44:45" x14ac:dyDescent="0.25">
      <c r="AR1250" s="11"/>
      <c r="AS1250" s="7"/>
    </row>
    <row r="1251" spans="44:45" x14ac:dyDescent="0.25">
      <c r="AR1251" s="11">
        <v>6.5000000000000002E-2</v>
      </c>
      <c r="AS1251" s="7">
        <v>0.11258330249197704</v>
      </c>
    </row>
    <row r="1252" spans="44:45" x14ac:dyDescent="0.25">
      <c r="AR1252" s="11">
        <v>7.4999999999999997E-2</v>
      </c>
      <c r="AS1252" s="7">
        <v>0.11258330249197704</v>
      </c>
    </row>
    <row r="1253" spans="44:45" x14ac:dyDescent="0.25">
      <c r="AR1253" s="11">
        <v>8.4999999999999992E-2</v>
      </c>
      <c r="AS1253" s="7">
        <v>0.11258330249197704</v>
      </c>
    </row>
    <row r="1254" spans="44:45" x14ac:dyDescent="0.25">
      <c r="AR1254" s="11">
        <v>9.4999999999999987E-2</v>
      </c>
      <c r="AS1254" s="7">
        <v>0.11258330249197704</v>
      </c>
    </row>
    <row r="1255" spans="44:45" x14ac:dyDescent="0.25">
      <c r="AR1255" s="11">
        <v>0.10499999999999998</v>
      </c>
      <c r="AS1255" s="7">
        <v>0.11258330249197704</v>
      </c>
    </row>
    <row r="1256" spans="44:45" x14ac:dyDescent="0.25">
      <c r="AR1256" s="11">
        <v>0.11499999999999998</v>
      </c>
      <c r="AS1256" s="7">
        <v>0.11258330249197704</v>
      </c>
    </row>
    <row r="1257" spans="44:45" x14ac:dyDescent="0.25">
      <c r="AR1257" s="11">
        <v>0.12499999999999997</v>
      </c>
      <c r="AS1257" s="7">
        <v>0.11258330249197704</v>
      </c>
    </row>
    <row r="1258" spans="44:45" x14ac:dyDescent="0.25">
      <c r="AR1258" s="11">
        <v>0.13499999999999998</v>
      </c>
      <c r="AS1258" s="7">
        <v>0.11258330249197704</v>
      </c>
    </row>
    <row r="1259" spans="44:45" x14ac:dyDescent="0.25">
      <c r="AR1259" s="11">
        <v>0.14499999999999999</v>
      </c>
      <c r="AS1259" s="7">
        <v>0.11258330249197704</v>
      </c>
    </row>
    <row r="1260" spans="44:45" x14ac:dyDescent="0.25">
      <c r="AR1260" s="11">
        <v>0.155</v>
      </c>
      <c r="AS1260" s="7">
        <v>0.11258330249197704</v>
      </c>
    </row>
    <row r="1261" spans="44:45" x14ac:dyDescent="0.25">
      <c r="AR1261" s="11">
        <v>0.16500000000000001</v>
      </c>
      <c r="AS1261" s="7">
        <v>0.11258330249197704</v>
      </c>
    </row>
    <row r="1262" spans="44:45" x14ac:dyDescent="0.25">
      <c r="AR1262" s="11">
        <v>0.17500000000000002</v>
      </c>
      <c r="AS1262" s="7">
        <v>0.11258330249197704</v>
      </c>
    </row>
    <row r="1263" spans="44:45" x14ac:dyDescent="0.25">
      <c r="AR1263" s="11">
        <v>0.18500000000000003</v>
      </c>
      <c r="AS1263" s="7">
        <v>0.11258330249197704</v>
      </c>
    </row>
    <row r="1264" spans="44:45" x14ac:dyDescent="0.25">
      <c r="AR1264" s="11">
        <v>0.19500000000000003</v>
      </c>
      <c r="AS1264" s="7">
        <v>0.11258330249197704</v>
      </c>
    </row>
    <row r="1265" spans="44:45" x14ac:dyDescent="0.25">
      <c r="AR1265" s="11">
        <v>0.20500000000000004</v>
      </c>
      <c r="AS1265" s="7">
        <v>0.11258330249197704</v>
      </c>
    </row>
    <row r="1266" spans="44:45" x14ac:dyDescent="0.25">
      <c r="AR1266" s="11">
        <v>0.21500000000000005</v>
      </c>
      <c r="AS1266" s="7">
        <v>0.11258330249197704</v>
      </c>
    </row>
    <row r="1267" spans="44:45" x14ac:dyDescent="0.25">
      <c r="AR1267" s="11">
        <v>0.22500000000000006</v>
      </c>
      <c r="AS1267" s="7">
        <v>0.11258330249197704</v>
      </c>
    </row>
    <row r="1268" spans="44:45" x14ac:dyDescent="0.25">
      <c r="AR1268" s="11">
        <v>0.23500000000000007</v>
      </c>
      <c r="AS1268" s="7">
        <v>0.11258330249197704</v>
      </c>
    </row>
    <row r="1269" spans="44:45" x14ac:dyDescent="0.25">
      <c r="AR1269" s="11">
        <v>0.24500000000000008</v>
      </c>
      <c r="AS1269" s="7">
        <v>0.11258330249197704</v>
      </c>
    </row>
    <row r="1270" spans="44:45" x14ac:dyDescent="0.25">
      <c r="AR1270" s="11">
        <v>0.25500000000000006</v>
      </c>
      <c r="AS1270" s="7">
        <v>0.11258330249197704</v>
      </c>
    </row>
    <row r="1271" spans="44:45" x14ac:dyDescent="0.25">
      <c r="AR1271" s="11">
        <v>0.26500000000000007</v>
      </c>
      <c r="AS1271" s="7">
        <v>0.11258330249197704</v>
      </c>
    </row>
    <row r="1272" spans="44:45" x14ac:dyDescent="0.25">
      <c r="AR1272" s="11">
        <v>0.27500000000000008</v>
      </c>
      <c r="AS1272" s="7">
        <v>0.11258330249197704</v>
      </c>
    </row>
    <row r="1273" spans="44:45" x14ac:dyDescent="0.25">
      <c r="AR1273" s="11">
        <v>0.28500000000000009</v>
      </c>
      <c r="AS1273" s="7">
        <v>0.11258330249197704</v>
      </c>
    </row>
    <row r="1274" spans="44:45" x14ac:dyDescent="0.25">
      <c r="AR1274" s="11">
        <v>0.2950000000000001</v>
      </c>
      <c r="AS1274" s="7">
        <v>0.11258330249197704</v>
      </c>
    </row>
    <row r="1275" spans="44:45" x14ac:dyDescent="0.25">
      <c r="AR1275" s="11">
        <v>0.3050000000000001</v>
      </c>
      <c r="AS1275" s="7">
        <v>0.11258330249197704</v>
      </c>
    </row>
    <row r="1276" spans="44:45" x14ac:dyDescent="0.25">
      <c r="AR1276" s="11">
        <v>0.31500000000000011</v>
      </c>
      <c r="AS1276" s="7">
        <v>0.11258330249197704</v>
      </c>
    </row>
    <row r="1277" spans="44:45" x14ac:dyDescent="0.25">
      <c r="AR1277" s="11">
        <v>0.32500000000000012</v>
      </c>
      <c r="AS1277" s="7">
        <v>0.11258330249197704</v>
      </c>
    </row>
    <row r="1278" spans="44:45" x14ac:dyDescent="0.25">
      <c r="AR1278" s="11">
        <v>0.33500000000000013</v>
      </c>
      <c r="AS1278" s="7">
        <v>0.11258330249197704</v>
      </c>
    </row>
    <row r="1279" spans="44:45" x14ac:dyDescent="0.25">
      <c r="AR1279" s="11">
        <v>0.34500000000000014</v>
      </c>
      <c r="AS1279" s="7">
        <v>0.11258330249197704</v>
      </c>
    </row>
    <row r="1280" spans="44:45" x14ac:dyDescent="0.25">
      <c r="AR1280" s="11">
        <v>0.35500000000000015</v>
      </c>
      <c r="AS1280" s="7">
        <v>0.11258330249197704</v>
      </c>
    </row>
    <row r="1281" spans="44:45" x14ac:dyDescent="0.25">
      <c r="AR1281" s="11">
        <v>0.36500000000000016</v>
      </c>
      <c r="AS1281" s="7">
        <v>0.11258330249197704</v>
      </c>
    </row>
    <row r="1282" spans="44:45" x14ac:dyDescent="0.25">
      <c r="AR1282" s="11">
        <v>0.37500000000000017</v>
      </c>
      <c r="AS1282" s="7">
        <v>0.11258330249197704</v>
      </c>
    </row>
    <row r="1283" spans="44:45" x14ac:dyDescent="0.25">
      <c r="AR1283" s="11">
        <v>0.38500000000000018</v>
      </c>
      <c r="AS1283" s="7">
        <v>0.11258330249197704</v>
      </c>
    </row>
    <row r="1284" spans="44:45" x14ac:dyDescent="0.25">
      <c r="AR1284" s="11">
        <v>0.39500000000000018</v>
      </c>
      <c r="AS1284" s="7">
        <v>0.11258330249197704</v>
      </c>
    </row>
    <row r="1285" spans="44:45" x14ac:dyDescent="0.25">
      <c r="AR1285" s="11">
        <v>0.40500000000000019</v>
      </c>
      <c r="AS1285" s="7">
        <v>0.11258330249197704</v>
      </c>
    </row>
    <row r="1286" spans="44:45" x14ac:dyDescent="0.25">
      <c r="AR1286" s="11">
        <v>0.4150000000000002</v>
      </c>
      <c r="AS1286" s="7">
        <v>0.11258330249197704</v>
      </c>
    </row>
    <row r="1287" spans="44:45" x14ac:dyDescent="0.25">
      <c r="AR1287" s="11">
        <v>0.42500000000000021</v>
      </c>
      <c r="AS1287" s="7">
        <v>0.11258330249197704</v>
      </c>
    </row>
    <row r="1288" spans="44:45" x14ac:dyDescent="0.25">
      <c r="AR1288" s="11">
        <v>0.43500000000000022</v>
      </c>
      <c r="AS1288" s="7">
        <v>0.11258330249197704</v>
      </c>
    </row>
    <row r="1289" spans="44:45" x14ac:dyDescent="0.25">
      <c r="AR1289" s="11">
        <v>0.44500000000000023</v>
      </c>
      <c r="AS1289" s="7">
        <v>0.11258330249197704</v>
      </c>
    </row>
    <row r="1290" spans="44:45" x14ac:dyDescent="0.25">
      <c r="AR1290" s="11">
        <v>0.45500000000000024</v>
      </c>
      <c r="AS1290" s="7">
        <v>0.11258330249197704</v>
      </c>
    </row>
    <row r="1291" spans="44:45" x14ac:dyDescent="0.25">
      <c r="AR1291" s="11">
        <v>0.46500000000000025</v>
      </c>
      <c r="AS1291" s="7">
        <v>0.11258330249197704</v>
      </c>
    </row>
    <row r="1292" spans="44:45" x14ac:dyDescent="0.25">
      <c r="AR1292" s="11">
        <v>0.47500000000000026</v>
      </c>
      <c r="AS1292" s="7">
        <v>0.11258330249197704</v>
      </c>
    </row>
    <row r="1293" spans="44:45" x14ac:dyDescent="0.25">
      <c r="AR1293" s="11">
        <v>0.48500000000000026</v>
      </c>
      <c r="AS1293" s="7">
        <v>0.11258330249197704</v>
      </c>
    </row>
    <row r="1294" spans="44:45" x14ac:dyDescent="0.25">
      <c r="AR1294" s="11">
        <v>0.49500000000000027</v>
      </c>
      <c r="AS1294" s="7">
        <v>0.11258330249197704</v>
      </c>
    </row>
    <row r="1295" spans="44:45" x14ac:dyDescent="0.25">
      <c r="AR1295" s="11">
        <v>0.50500000000000023</v>
      </c>
      <c r="AS1295" s="7">
        <v>0.11258330249197704</v>
      </c>
    </row>
    <row r="1296" spans="44:45" x14ac:dyDescent="0.25">
      <c r="AR1296" s="11">
        <v>0.51500000000000024</v>
      </c>
      <c r="AS1296" s="7">
        <v>0.11258330249197704</v>
      </c>
    </row>
    <row r="1297" spans="44:45" x14ac:dyDescent="0.25">
      <c r="AR1297" s="11">
        <v>0.52500000000000024</v>
      </c>
      <c r="AS1297" s="7">
        <v>0.11258330249197704</v>
      </c>
    </row>
    <row r="1298" spans="44:45" x14ac:dyDescent="0.25">
      <c r="AR1298" s="11">
        <v>0.53500000000000025</v>
      </c>
      <c r="AS1298" s="7">
        <v>0.11258330249197704</v>
      </c>
    </row>
    <row r="1299" spans="44:45" x14ac:dyDescent="0.25">
      <c r="AR1299" s="11">
        <v>0.54500000000000026</v>
      </c>
      <c r="AS1299" s="7">
        <v>0.11258330249197704</v>
      </c>
    </row>
    <row r="1300" spans="44:45" x14ac:dyDescent="0.25">
      <c r="AR1300" s="11">
        <v>0.55500000000000027</v>
      </c>
      <c r="AS1300" s="7">
        <v>0.11258330249197704</v>
      </c>
    </row>
    <row r="1301" spans="44:45" x14ac:dyDescent="0.25">
      <c r="AR1301" s="11">
        <v>0.56500000000000028</v>
      </c>
      <c r="AS1301" s="7">
        <v>0.11258330249197704</v>
      </c>
    </row>
    <row r="1302" spans="44:45" x14ac:dyDescent="0.25">
      <c r="AR1302" s="11">
        <v>0.57500000000000029</v>
      </c>
      <c r="AS1302" s="7">
        <v>0.11258330249197704</v>
      </c>
    </row>
    <row r="1303" spans="44:45" x14ac:dyDescent="0.25">
      <c r="AR1303" s="11">
        <v>0.5850000000000003</v>
      </c>
      <c r="AS1303" s="7">
        <v>0.11258330249197704</v>
      </c>
    </row>
    <row r="1304" spans="44:45" x14ac:dyDescent="0.25">
      <c r="AR1304" s="11">
        <v>0.59500000000000031</v>
      </c>
      <c r="AS1304" s="7">
        <v>0.11258330249197704</v>
      </c>
    </row>
    <row r="1305" spans="44:45" x14ac:dyDescent="0.25">
      <c r="AR1305" s="11">
        <v>0.60500000000000032</v>
      </c>
      <c r="AS1305" s="7">
        <v>0.11258330249197704</v>
      </c>
    </row>
    <row r="1306" spans="44:45" x14ac:dyDescent="0.25">
      <c r="AR1306" s="11">
        <v>0.61500000000000032</v>
      </c>
      <c r="AS1306" s="7">
        <v>0.11258330249197704</v>
      </c>
    </row>
    <row r="1307" spans="44:45" x14ac:dyDescent="0.25">
      <c r="AR1307" s="11">
        <v>0.62500000000000033</v>
      </c>
      <c r="AS1307" s="7">
        <v>0.11258330249197704</v>
      </c>
    </row>
    <row r="1308" spans="44:45" x14ac:dyDescent="0.25">
      <c r="AR1308" s="11">
        <v>0.63500000000000034</v>
      </c>
      <c r="AS1308" s="7">
        <v>0.11258330249197704</v>
      </c>
    </row>
    <row r="1309" spans="44:45" x14ac:dyDescent="0.25">
      <c r="AR1309" s="11">
        <v>0.64500000000000035</v>
      </c>
      <c r="AS1309" s="7">
        <v>0.11258330249197704</v>
      </c>
    </row>
    <row r="1310" spans="44:45" x14ac:dyDescent="0.25">
      <c r="AR1310" s="11">
        <v>0.65500000000000036</v>
      </c>
      <c r="AS1310" s="7">
        <v>0.11258330249197704</v>
      </c>
    </row>
    <row r="1311" spans="44:45" x14ac:dyDescent="0.25">
      <c r="AR1311" s="11">
        <v>0.66500000000000037</v>
      </c>
      <c r="AS1311" s="7">
        <v>0.11258330249197704</v>
      </c>
    </row>
    <row r="1312" spans="44:45" x14ac:dyDescent="0.25">
      <c r="AR1312" s="11">
        <v>0.67500000000000038</v>
      </c>
      <c r="AS1312" s="7">
        <v>0.11258330249197704</v>
      </c>
    </row>
    <row r="1313" spans="44:45" x14ac:dyDescent="0.25">
      <c r="AR1313" s="11">
        <v>0.68500000000000039</v>
      </c>
      <c r="AS1313" s="7">
        <v>0.11258330249197704</v>
      </c>
    </row>
    <row r="1314" spans="44:45" x14ac:dyDescent="0.25">
      <c r="AR1314" s="11">
        <v>0.6950000000000004</v>
      </c>
      <c r="AS1314" s="7">
        <v>0.11258330249197704</v>
      </c>
    </row>
    <row r="1315" spans="44:45" x14ac:dyDescent="0.25">
      <c r="AR1315" s="11">
        <v>0.7050000000000004</v>
      </c>
      <c r="AS1315" s="7">
        <v>0.11258330249197704</v>
      </c>
    </row>
    <row r="1316" spans="44:45" x14ac:dyDescent="0.25">
      <c r="AR1316" s="11">
        <v>0.71500000000000041</v>
      </c>
      <c r="AS1316" s="7">
        <v>0.11258330249197704</v>
      </c>
    </row>
    <row r="1317" spans="44:45" x14ac:dyDescent="0.25">
      <c r="AR1317" s="11">
        <v>0.72500000000000042</v>
      </c>
      <c r="AS1317" s="7">
        <v>0.11258330249197704</v>
      </c>
    </row>
    <row r="1318" spans="44:45" x14ac:dyDescent="0.25">
      <c r="AR1318" s="11">
        <v>0.73500000000000043</v>
      </c>
      <c r="AS1318" s="7">
        <v>0.11258330249197704</v>
      </c>
    </row>
    <row r="1319" spans="44:45" x14ac:dyDescent="0.25">
      <c r="AR1319" s="11">
        <v>0.74500000000000044</v>
      </c>
      <c r="AS1319" s="7">
        <v>0.11258330249197704</v>
      </c>
    </row>
    <row r="1320" spans="44:45" x14ac:dyDescent="0.25">
      <c r="AR1320" s="11">
        <v>0.75500000000000045</v>
      </c>
      <c r="AS1320" s="7">
        <v>0.11258330249197704</v>
      </c>
    </row>
    <row r="1321" spans="44:45" x14ac:dyDescent="0.25">
      <c r="AR1321" s="11">
        <v>0.76500000000000046</v>
      </c>
      <c r="AS1321" s="7">
        <v>0.11258330249197704</v>
      </c>
    </row>
    <row r="1322" spans="44:45" x14ac:dyDescent="0.25">
      <c r="AR1322" s="11">
        <v>0.77500000000000047</v>
      </c>
      <c r="AS1322" s="7">
        <v>0.11258330249197704</v>
      </c>
    </row>
    <row r="1323" spans="44:45" x14ac:dyDescent="0.25">
      <c r="AR1323" s="11">
        <v>0.78500000000000048</v>
      </c>
      <c r="AS1323" s="7">
        <v>0.11258330249197704</v>
      </c>
    </row>
    <row r="1324" spans="44:45" x14ac:dyDescent="0.25">
      <c r="AR1324" s="11">
        <v>0.79500000000000048</v>
      </c>
      <c r="AS1324" s="7">
        <v>0.11258330249197704</v>
      </c>
    </row>
    <row r="1325" spans="44:45" x14ac:dyDescent="0.25">
      <c r="AR1325" s="11">
        <v>0.80500000000000049</v>
      </c>
      <c r="AS1325" s="7">
        <v>0.11258330249197704</v>
      </c>
    </row>
    <row r="1326" spans="44:45" x14ac:dyDescent="0.25">
      <c r="AR1326" s="11">
        <v>0.8150000000000005</v>
      </c>
      <c r="AS1326" s="7">
        <v>0.11258330249197704</v>
      </c>
    </row>
    <row r="1327" spans="44:45" x14ac:dyDescent="0.25">
      <c r="AR1327" s="11">
        <v>0.82500000000000051</v>
      </c>
      <c r="AS1327" s="7">
        <v>0.11258330249197704</v>
      </c>
    </row>
    <row r="1328" spans="44:45" x14ac:dyDescent="0.25">
      <c r="AR1328" s="11">
        <v>0.83500000000000052</v>
      </c>
      <c r="AS1328" s="7">
        <v>0.11258330249197704</v>
      </c>
    </row>
    <row r="1329" spans="44:45" x14ac:dyDescent="0.25">
      <c r="AR1329" s="11">
        <v>0.84500000000000053</v>
      </c>
      <c r="AS1329" s="7">
        <v>0.11258330249197704</v>
      </c>
    </row>
    <row r="1330" spans="44:45" x14ac:dyDescent="0.25">
      <c r="AR1330" s="11">
        <v>0.85500000000000054</v>
      </c>
      <c r="AS1330" s="7">
        <v>0.11258330249197704</v>
      </c>
    </row>
    <row r="1331" spans="44:45" x14ac:dyDescent="0.25">
      <c r="AR1331" s="11">
        <v>0.86500000000000055</v>
      </c>
      <c r="AS1331" s="7">
        <v>0.11258330249197704</v>
      </c>
    </row>
    <row r="1332" spans="44:45" x14ac:dyDescent="0.25">
      <c r="AR1332" s="11">
        <v>0.87500000000000056</v>
      </c>
      <c r="AS1332" s="7">
        <v>0.11258330249197704</v>
      </c>
    </row>
    <row r="1333" spans="44:45" x14ac:dyDescent="0.25">
      <c r="AR1333" s="11">
        <v>0.88500000000000056</v>
      </c>
      <c r="AS1333" s="7">
        <v>0.11258330249197704</v>
      </c>
    </row>
    <row r="1334" spans="44:45" x14ac:dyDescent="0.25">
      <c r="AR1334" s="11">
        <v>0.89500000000000057</v>
      </c>
      <c r="AS1334" s="7">
        <v>0.11258330249197704</v>
      </c>
    </row>
    <row r="1335" spans="44:45" x14ac:dyDescent="0.25">
      <c r="AR1335" s="11">
        <v>0.90500000000000058</v>
      </c>
      <c r="AS1335" s="7">
        <v>0.11258330249197704</v>
      </c>
    </row>
    <row r="1336" spans="44:45" x14ac:dyDescent="0.25">
      <c r="AR1336" s="11">
        <v>0.91500000000000059</v>
      </c>
      <c r="AS1336" s="7">
        <v>0.11258330249197704</v>
      </c>
    </row>
    <row r="1337" spans="44:45" x14ac:dyDescent="0.25">
      <c r="AR1337" s="11">
        <v>0.9250000000000006</v>
      </c>
      <c r="AS1337" s="7">
        <v>0.11258330249197704</v>
      </c>
    </row>
    <row r="1338" spans="44:45" x14ac:dyDescent="0.25">
      <c r="AR1338" s="11">
        <v>0.93500000000000061</v>
      </c>
      <c r="AS1338" s="7">
        <v>0.11258330249197704</v>
      </c>
    </row>
    <row r="1339" spans="44:45" x14ac:dyDescent="0.25">
      <c r="AR1339" s="11"/>
      <c r="AS1339" s="7"/>
    </row>
    <row r="1340" spans="44:45" x14ac:dyDescent="0.25">
      <c r="AR1340" s="11">
        <v>7.0000000000000007E-2</v>
      </c>
      <c r="AS1340" s="7">
        <v>0.12124355652982141</v>
      </c>
    </row>
    <row r="1341" spans="44:45" x14ac:dyDescent="0.25">
      <c r="AR1341" s="11">
        <v>0.08</v>
      </c>
      <c r="AS1341" s="7">
        <v>0.12124355652982141</v>
      </c>
    </row>
    <row r="1342" spans="44:45" x14ac:dyDescent="0.25">
      <c r="AR1342" s="11">
        <v>0.09</v>
      </c>
      <c r="AS1342" s="7">
        <v>0.12124355652982141</v>
      </c>
    </row>
    <row r="1343" spans="44:45" x14ac:dyDescent="0.25">
      <c r="AR1343" s="11">
        <v>9.9999999999999992E-2</v>
      </c>
      <c r="AS1343" s="7">
        <v>0.12124355652982141</v>
      </c>
    </row>
    <row r="1344" spans="44:45" x14ac:dyDescent="0.25">
      <c r="AR1344" s="11">
        <v>0.10999999999999999</v>
      </c>
      <c r="AS1344" s="7">
        <v>0.12124355652982141</v>
      </c>
    </row>
    <row r="1345" spans="44:45" x14ac:dyDescent="0.25">
      <c r="AR1345" s="11">
        <v>0.11999999999999998</v>
      </c>
      <c r="AS1345" s="7">
        <v>0.12124355652982141</v>
      </c>
    </row>
    <row r="1346" spans="44:45" x14ac:dyDescent="0.25">
      <c r="AR1346" s="11">
        <v>0.12999999999999998</v>
      </c>
      <c r="AS1346" s="7">
        <v>0.12124355652982141</v>
      </c>
    </row>
    <row r="1347" spans="44:45" x14ac:dyDescent="0.25">
      <c r="AR1347" s="11">
        <v>0.13999999999999999</v>
      </c>
      <c r="AS1347" s="7">
        <v>0.12124355652982141</v>
      </c>
    </row>
    <row r="1348" spans="44:45" x14ac:dyDescent="0.25">
      <c r="AR1348" s="11">
        <v>0.15</v>
      </c>
      <c r="AS1348" s="7">
        <v>0.12124355652982141</v>
      </c>
    </row>
    <row r="1349" spans="44:45" x14ac:dyDescent="0.25">
      <c r="AR1349" s="11">
        <v>0.16</v>
      </c>
      <c r="AS1349" s="7">
        <v>0.12124355652982141</v>
      </c>
    </row>
    <row r="1350" spans="44:45" x14ac:dyDescent="0.25">
      <c r="AR1350" s="11">
        <v>0.17</v>
      </c>
      <c r="AS1350" s="7">
        <v>0.12124355652982141</v>
      </c>
    </row>
    <row r="1351" spans="44:45" x14ac:dyDescent="0.25">
      <c r="AR1351" s="11">
        <v>0.18000000000000002</v>
      </c>
      <c r="AS1351" s="7">
        <v>0.12124355652982141</v>
      </c>
    </row>
    <row r="1352" spans="44:45" x14ac:dyDescent="0.25">
      <c r="AR1352" s="11">
        <v>0.19000000000000003</v>
      </c>
      <c r="AS1352" s="7">
        <v>0.12124355652982141</v>
      </c>
    </row>
    <row r="1353" spans="44:45" x14ac:dyDescent="0.25">
      <c r="AR1353" s="11">
        <v>0.20000000000000004</v>
      </c>
      <c r="AS1353" s="7">
        <v>0.12124355652982141</v>
      </c>
    </row>
    <row r="1354" spans="44:45" x14ac:dyDescent="0.25">
      <c r="AR1354" s="11">
        <v>0.21000000000000005</v>
      </c>
      <c r="AS1354" s="7">
        <v>0.12124355652982141</v>
      </c>
    </row>
    <row r="1355" spans="44:45" x14ac:dyDescent="0.25">
      <c r="AR1355" s="11">
        <v>0.22000000000000006</v>
      </c>
      <c r="AS1355" s="7">
        <v>0.12124355652982141</v>
      </c>
    </row>
    <row r="1356" spans="44:45" x14ac:dyDescent="0.25">
      <c r="AR1356" s="11">
        <v>0.23000000000000007</v>
      </c>
      <c r="AS1356" s="7">
        <v>0.12124355652982141</v>
      </c>
    </row>
    <row r="1357" spans="44:45" x14ac:dyDescent="0.25">
      <c r="AR1357" s="11">
        <v>0.24000000000000007</v>
      </c>
      <c r="AS1357" s="7">
        <v>0.12124355652982141</v>
      </c>
    </row>
    <row r="1358" spans="44:45" x14ac:dyDescent="0.25">
      <c r="AR1358" s="11">
        <v>0.25000000000000006</v>
      </c>
      <c r="AS1358" s="7">
        <v>0.12124355652982141</v>
      </c>
    </row>
    <row r="1359" spans="44:45" x14ac:dyDescent="0.25">
      <c r="AR1359" s="11">
        <v>0.26000000000000006</v>
      </c>
      <c r="AS1359" s="7">
        <v>0.12124355652982141</v>
      </c>
    </row>
    <row r="1360" spans="44:45" x14ac:dyDescent="0.25">
      <c r="AR1360" s="11">
        <v>0.27000000000000007</v>
      </c>
      <c r="AS1360" s="7">
        <v>0.12124355652982141</v>
      </c>
    </row>
    <row r="1361" spans="44:45" x14ac:dyDescent="0.25">
      <c r="AR1361" s="11">
        <v>0.28000000000000008</v>
      </c>
      <c r="AS1361" s="7">
        <v>0.12124355652982141</v>
      </c>
    </row>
    <row r="1362" spans="44:45" x14ac:dyDescent="0.25">
      <c r="AR1362" s="11">
        <v>0.29000000000000009</v>
      </c>
      <c r="AS1362" s="7">
        <v>0.12124355652982141</v>
      </c>
    </row>
    <row r="1363" spans="44:45" x14ac:dyDescent="0.25">
      <c r="AR1363" s="11">
        <v>0.3000000000000001</v>
      </c>
      <c r="AS1363" s="7">
        <v>0.12124355652982141</v>
      </c>
    </row>
    <row r="1364" spans="44:45" x14ac:dyDescent="0.25">
      <c r="AR1364" s="11">
        <v>0.31000000000000011</v>
      </c>
      <c r="AS1364" s="7">
        <v>0.12124355652982141</v>
      </c>
    </row>
    <row r="1365" spans="44:45" x14ac:dyDescent="0.25">
      <c r="AR1365" s="11">
        <v>0.32000000000000012</v>
      </c>
      <c r="AS1365" s="7">
        <v>0.12124355652982141</v>
      </c>
    </row>
    <row r="1366" spans="44:45" x14ac:dyDescent="0.25">
      <c r="AR1366" s="11">
        <v>0.33000000000000013</v>
      </c>
      <c r="AS1366" s="7">
        <v>0.12124355652982141</v>
      </c>
    </row>
    <row r="1367" spans="44:45" x14ac:dyDescent="0.25">
      <c r="AR1367" s="11">
        <v>0.34000000000000014</v>
      </c>
      <c r="AS1367" s="7">
        <v>0.12124355652982141</v>
      </c>
    </row>
    <row r="1368" spans="44:45" x14ac:dyDescent="0.25">
      <c r="AR1368" s="11">
        <v>0.35000000000000014</v>
      </c>
      <c r="AS1368" s="7">
        <v>0.12124355652982141</v>
      </c>
    </row>
    <row r="1369" spans="44:45" x14ac:dyDescent="0.25">
      <c r="AR1369" s="11">
        <v>0.36000000000000015</v>
      </c>
      <c r="AS1369" s="7">
        <v>0.12124355652982141</v>
      </c>
    </row>
    <row r="1370" spans="44:45" x14ac:dyDescent="0.25">
      <c r="AR1370" s="11">
        <v>0.37000000000000016</v>
      </c>
      <c r="AS1370" s="7">
        <v>0.12124355652982141</v>
      </c>
    </row>
    <row r="1371" spans="44:45" x14ac:dyDescent="0.25">
      <c r="AR1371" s="11">
        <v>0.38000000000000017</v>
      </c>
      <c r="AS1371" s="7">
        <v>0.12124355652982141</v>
      </c>
    </row>
    <row r="1372" spans="44:45" x14ac:dyDescent="0.25">
      <c r="AR1372" s="11">
        <v>0.39000000000000018</v>
      </c>
      <c r="AS1372" s="7">
        <v>0.12124355652982141</v>
      </c>
    </row>
    <row r="1373" spans="44:45" x14ac:dyDescent="0.25">
      <c r="AR1373" s="11">
        <v>0.40000000000000019</v>
      </c>
      <c r="AS1373" s="7">
        <v>0.12124355652982141</v>
      </c>
    </row>
    <row r="1374" spans="44:45" x14ac:dyDescent="0.25">
      <c r="AR1374" s="11">
        <v>0.4100000000000002</v>
      </c>
      <c r="AS1374" s="7">
        <v>0.12124355652982141</v>
      </c>
    </row>
    <row r="1375" spans="44:45" x14ac:dyDescent="0.25">
      <c r="AR1375" s="11">
        <v>0.42000000000000021</v>
      </c>
      <c r="AS1375" s="7">
        <v>0.12124355652982141</v>
      </c>
    </row>
    <row r="1376" spans="44:45" x14ac:dyDescent="0.25">
      <c r="AR1376" s="11">
        <v>0.43000000000000022</v>
      </c>
      <c r="AS1376" s="7">
        <v>0.12124355652982141</v>
      </c>
    </row>
    <row r="1377" spans="44:45" x14ac:dyDescent="0.25">
      <c r="AR1377" s="11">
        <v>0.44000000000000022</v>
      </c>
      <c r="AS1377" s="7">
        <v>0.12124355652982141</v>
      </c>
    </row>
    <row r="1378" spans="44:45" x14ac:dyDescent="0.25">
      <c r="AR1378" s="11">
        <v>0.45000000000000023</v>
      </c>
      <c r="AS1378" s="7">
        <v>0.12124355652982141</v>
      </c>
    </row>
    <row r="1379" spans="44:45" x14ac:dyDescent="0.25">
      <c r="AR1379" s="11">
        <v>0.46000000000000024</v>
      </c>
      <c r="AS1379" s="7">
        <v>0.12124355652982141</v>
      </c>
    </row>
    <row r="1380" spans="44:45" x14ac:dyDescent="0.25">
      <c r="AR1380" s="11">
        <v>0.47000000000000025</v>
      </c>
      <c r="AS1380" s="7">
        <v>0.12124355652982141</v>
      </c>
    </row>
    <row r="1381" spans="44:45" x14ac:dyDescent="0.25">
      <c r="AR1381" s="11">
        <v>0.48000000000000026</v>
      </c>
      <c r="AS1381" s="7">
        <v>0.12124355652982141</v>
      </c>
    </row>
    <row r="1382" spans="44:45" x14ac:dyDescent="0.25">
      <c r="AR1382" s="11">
        <v>0.49000000000000027</v>
      </c>
      <c r="AS1382" s="7">
        <v>0.12124355652982141</v>
      </c>
    </row>
    <row r="1383" spans="44:45" x14ac:dyDescent="0.25">
      <c r="AR1383" s="11">
        <v>0.50000000000000022</v>
      </c>
      <c r="AS1383" s="7">
        <v>0.12124355652982141</v>
      </c>
    </row>
    <row r="1384" spans="44:45" x14ac:dyDescent="0.25">
      <c r="AR1384" s="11">
        <v>0.51000000000000023</v>
      </c>
      <c r="AS1384" s="7">
        <v>0.12124355652982141</v>
      </c>
    </row>
    <row r="1385" spans="44:45" x14ac:dyDescent="0.25">
      <c r="AR1385" s="11">
        <v>0.52000000000000024</v>
      </c>
      <c r="AS1385" s="7">
        <v>0.12124355652982141</v>
      </c>
    </row>
    <row r="1386" spans="44:45" x14ac:dyDescent="0.25">
      <c r="AR1386" s="11">
        <v>0.53000000000000025</v>
      </c>
      <c r="AS1386" s="7">
        <v>0.12124355652982141</v>
      </c>
    </row>
    <row r="1387" spans="44:45" x14ac:dyDescent="0.25">
      <c r="AR1387" s="11">
        <v>0.54000000000000026</v>
      </c>
      <c r="AS1387" s="7">
        <v>0.12124355652982141</v>
      </c>
    </row>
    <row r="1388" spans="44:45" x14ac:dyDescent="0.25">
      <c r="AR1388" s="11">
        <v>0.55000000000000027</v>
      </c>
      <c r="AS1388" s="7">
        <v>0.12124355652982141</v>
      </c>
    </row>
    <row r="1389" spans="44:45" x14ac:dyDescent="0.25">
      <c r="AR1389" s="11">
        <v>0.56000000000000028</v>
      </c>
      <c r="AS1389" s="7">
        <v>0.12124355652982141</v>
      </c>
    </row>
    <row r="1390" spans="44:45" x14ac:dyDescent="0.25">
      <c r="AR1390" s="11">
        <v>0.57000000000000028</v>
      </c>
      <c r="AS1390" s="7">
        <v>0.12124355652982141</v>
      </c>
    </row>
    <row r="1391" spans="44:45" x14ac:dyDescent="0.25">
      <c r="AR1391" s="11">
        <v>0.58000000000000029</v>
      </c>
      <c r="AS1391" s="7">
        <v>0.12124355652982141</v>
      </c>
    </row>
    <row r="1392" spans="44:45" x14ac:dyDescent="0.25">
      <c r="AR1392" s="11">
        <v>0.5900000000000003</v>
      </c>
      <c r="AS1392" s="7">
        <v>0.12124355652982141</v>
      </c>
    </row>
    <row r="1393" spans="44:45" x14ac:dyDescent="0.25">
      <c r="AR1393" s="11">
        <v>0.60000000000000031</v>
      </c>
      <c r="AS1393" s="7">
        <v>0.12124355652982141</v>
      </c>
    </row>
    <row r="1394" spans="44:45" x14ac:dyDescent="0.25">
      <c r="AR1394" s="11">
        <v>0.61000000000000032</v>
      </c>
      <c r="AS1394" s="7">
        <v>0.12124355652982141</v>
      </c>
    </row>
    <row r="1395" spans="44:45" x14ac:dyDescent="0.25">
      <c r="AR1395" s="11">
        <v>0.62000000000000033</v>
      </c>
      <c r="AS1395" s="7">
        <v>0.12124355652982141</v>
      </c>
    </row>
    <row r="1396" spans="44:45" x14ac:dyDescent="0.25">
      <c r="AR1396" s="11">
        <v>0.63000000000000034</v>
      </c>
      <c r="AS1396" s="7">
        <v>0.12124355652982141</v>
      </c>
    </row>
    <row r="1397" spans="44:45" x14ac:dyDescent="0.25">
      <c r="AR1397" s="11">
        <v>0.64000000000000035</v>
      </c>
      <c r="AS1397" s="7">
        <v>0.12124355652982141</v>
      </c>
    </row>
    <row r="1398" spans="44:45" x14ac:dyDescent="0.25">
      <c r="AR1398" s="11">
        <v>0.65000000000000036</v>
      </c>
      <c r="AS1398" s="7">
        <v>0.12124355652982141</v>
      </c>
    </row>
    <row r="1399" spans="44:45" x14ac:dyDescent="0.25">
      <c r="AR1399" s="11">
        <v>0.66000000000000036</v>
      </c>
      <c r="AS1399" s="7">
        <v>0.12124355652982141</v>
      </c>
    </row>
    <row r="1400" spans="44:45" x14ac:dyDescent="0.25">
      <c r="AR1400" s="11">
        <v>0.67000000000000037</v>
      </c>
      <c r="AS1400" s="7">
        <v>0.12124355652982141</v>
      </c>
    </row>
    <row r="1401" spans="44:45" x14ac:dyDescent="0.25">
      <c r="AR1401" s="11">
        <v>0.68000000000000038</v>
      </c>
      <c r="AS1401" s="7">
        <v>0.12124355652982141</v>
      </c>
    </row>
    <row r="1402" spans="44:45" x14ac:dyDescent="0.25">
      <c r="AR1402" s="11">
        <v>0.69000000000000039</v>
      </c>
      <c r="AS1402" s="7">
        <v>0.12124355652982141</v>
      </c>
    </row>
    <row r="1403" spans="44:45" x14ac:dyDescent="0.25">
      <c r="AR1403" s="11">
        <v>0.7000000000000004</v>
      </c>
      <c r="AS1403" s="7">
        <v>0.12124355652982141</v>
      </c>
    </row>
    <row r="1404" spans="44:45" x14ac:dyDescent="0.25">
      <c r="AR1404" s="11">
        <v>0.71000000000000041</v>
      </c>
      <c r="AS1404" s="7">
        <v>0.12124355652982141</v>
      </c>
    </row>
    <row r="1405" spans="44:45" x14ac:dyDescent="0.25">
      <c r="AR1405" s="11">
        <v>0.72000000000000042</v>
      </c>
      <c r="AS1405" s="7">
        <v>0.12124355652982141</v>
      </c>
    </row>
    <row r="1406" spans="44:45" x14ac:dyDescent="0.25">
      <c r="AR1406" s="11">
        <v>0.73000000000000043</v>
      </c>
      <c r="AS1406" s="7">
        <v>0.12124355652982141</v>
      </c>
    </row>
    <row r="1407" spans="44:45" x14ac:dyDescent="0.25">
      <c r="AR1407" s="11">
        <v>0.74000000000000044</v>
      </c>
      <c r="AS1407" s="7">
        <v>0.12124355652982141</v>
      </c>
    </row>
    <row r="1408" spans="44:45" x14ac:dyDescent="0.25">
      <c r="AR1408" s="11">
        <v>0.75000000000000044</v>
      </c>
      <c r="AS1408" s="7">
        <v>0.12124355652982141</v>
      </c>
    </row>
    <row r="1409" spans="44:45" x14ac:dyDescent="0.25">
      <c r="AR1409" s="11">
        <v>0.76000000000000045</v>
      </c>
      <c r="AS1409" s="7">
        <v>0.12124355652982141</v>
      </c>
    </row>
    <row r="1410" spans="44:45" x14ac:dyDescent="0.25">
      <c r="AR1410" s="11">
        <v>0.77000000000000046</v>
      </c>
      <c r="AS1410" s="7">
        <v>0.12124355652982141</v>
      </c>
    </row>
    <row r="1411" spans="44:45" x14ac:dyDescent="0.25">
      <c r="AR1411" s="11">
        <v>0.78000000000000047</v>
      </c>
      <c r="AS1411" s="7">
        <v>0.12124355652982141</v>
      </c>
    </row>
    <row r="1412" spans="44:45" x14ac:dyDescent="0.25">
      <c r="AR1412" s="11">
        <v>0.79000000000000048</v>
      </c>
      <c r="AS1412" s="7">
        <v>0.12124355652982141</v>
      </c>
    </row>
    <row r="1413" spans="44:45" x14ac:dyDescent="0.25">
      <c r="AR1413" s="11">
        <v>0.80000000000000049</v>
      </c>
      <c r="AS1413" s="7">
        <v>0.12124355652982141</v>
      </c>
    </row>
    <row r="1414" spans="44:45" x14ac:dyDescent="0.25">
      <c r="AR1414" s="11">
        <v>0.8100000000000005</v>
      </c>
      <c r="AS1414" s="7">
        <v>0.12124355652982141</v>
      </c>
    </row>
    <row r="1415" spans="44:45" x14ac:dyDescent="0.25">
      <c r="AR1415" s="11">
        <v>0.82000000000000051</v>
      </c>
      <c r="AS1415" s="7">
        <v>0.12124355652982141</v>
      </c>
    </row>
    <row r="1416" spans="44:45" x14ac:dyDescent="0.25">
      <c r="AR1416" s="11">
        <v>0.83000000000000052</v>
      </c>
      <c r="AS1416" s="7">
        <v>0.12124355652982141</v>
      </c>
    </row>
    <row r="1417" spans="44:45" x14ac:dyDescent="0.25">
      <c r="AR1417" s="11">
        <v>0.84000000000000052</v>
      </c>
      <c r="AS1417" s="7">
        <v>0.12124355652982141</v>
      </c>
    </row>
    <row r="1418" spans="44:45" x14ac:dyDescent="0.25">
      <c r="AR1418" s="11">
        <v>0.85000000000000053</v>
      </c>
      <c r="AS1418" s="7">
        <v>0.12124355652982141</v>
      </c>
    </row>
    <row r="1419" spans="44:45" x14ac:dyDescent="0.25">
      <c r="AR1419" s="11">
        <v>0.86000000000000054</v>
      </c>
      <c r="AS1419" s="7">
        <v>0.12124355652982141</v>
      </c>
    </row>
    <row r="1420" spans="44:45" x14ac:dyDescent="0.25">
      <c r="AR1420" s="11">
        <v>0.87000000000000055</v>
      </c>
      <c r="AS1420" s="7">
        <v>0.12124355652982141</v>
      </c>
    </row>
    <row r="1421" spans="44:45" x14ac:dyDescent="0.25">
      <c r="AR1421" s="11">
        <v>0.88000000000000056</v>
      </c>
      <c r="AS1421" s="7">
        <v>0.12124355652982141</v>
      </c>
    </row>
    <row r="1422" spans="44:45" x14ac:dyDescent="0.25">
      <c r="AR1422" s="11">
        <v>0.89000000000000057</v>
      </c>
      <c r="AS1422" s="7">
        <v>0.12124355652982141</v>
      </c>
    </row>
    <row r="1423" spans="44:45" x14ac:dyDescent="0.25">
      <c r="AR1423" s="11">
        <v>0.90000000000000058</v>
      </c>
      <c r="AS1423" s="7">
        <v>0.12124355652982141</v>
      </c>
    </row>
    <row r="1424" spans="44:45" x14ac:dyDescent="0.25">
      <c r="AR1424" s="11">
        <v>0.91000000000000059</v>
      </c>
      <c r="AS1424" s="7">
        <v>0.12124355652982141</v>
      </c>
    </row>
    <row r="1425" spans="44:45" x14ac:dyDescent="0.25">
      <c r="AR1425" s="11">
        <v>0.9200000000000006</v>
      </c>
      <c r="AS1425" s="7">
        <v>0.12124355652982141</v>
      </c>
    </row>
    <row r="1426" spans="44:45" x14ac:dyDescent="0.25">
      <c r="AR1426" s="11">
        <v>0.9300000000000006</v>
      </c>
      <c r="AS1426" s="7">
        <v>0.12124355652982141</v>
      </c>
    </row>
    <row r="1427" spans="44:45" x14ac:dyDescent="0.25">
      <c r="AR1427" s="11"/>
      <c r="AS1427" s="7"/>
    </row>
    <row r="1428" spans="44:45" x14ac:dyDescent="0.25">
      <c r="AR1428" s="11">
        <v>7.4999999999999997E-2</v>
      </c>
      <c r="AS1428" s="7">
        <v>0.12990381056766581</v>
      </c>
    </row>
    <row r="1429" spans="44:45" x14ac:dyDescent="0.25">
      <c r="AR1429" s="11">
        <v>8.4999999999999992E-2</v>
      </c>
      <c r="AS1429" s="7">
        <v>0.12990381056766581</v>
      </c>
    </row>
    <row r="1430" spans="44:45" x14ac:dyDescent="0.25">
      <c r="AR1430" s="11">
        <v>9.4999999999999987E-2</v>
      </c>
      <c r="AS1430" s="7">
        <v>0.12990381056766581</v>
      </c>
    </row>
    <row r="1431" spans="44:45" x14ac:dyDescent="0.25">
      <c r="AR1431" s="11">
        <v>0.10499999999999998</v>
      </c>
      <c r="AS1431" s="7">
        <v>0.12990381056766581</v>
      </c>
    </row>
    <row r="1432" spans="44:45" x14ac:dyDescent="0.25">
      <c r="AR1432" s="11">
        <v>0.11499999999999998</v>
      </c>
      <c r="AS1432" s="7">
        <v>0.12990381056766581</v>
      </c>
    </row>
    <row r="1433" spans="44:45" x14ac:dyDescent="0.25">
      <c r="AR1433" s="11">
        <v>0.12499999999999997</v>
      </c>
      <c r="AS1433" s="7">
        <v>0.12990381056766581</v>
      </c>
    </row>
    <row r="1434" spans="44:45" x14ac:dyDescent="0.25">
      <c r="AR1434" s="11">
        <v>0.13499999999999998</v>
      </c>
      <c r="AS1434" s="7">
        <v>0.12990381056766581</v>
      </c>
    </row>
    <row r="1435" spans="44:45" x14ac:dyDescent="0.25">
      <c r="AR1435" s="11">
        <v>0.14499999999999999</v>
      </c>
      <c r="AS1435" s="7">
        <v>0.12990381056766581</v>
      </c>
    </row>
    <row r="1436" spans="44:45" x14ac:dyDescent="0.25">
      <c r="AR1436" s="11">
        <v>0.155</v>
      </c>
      <c r="AS1436" s="7">
        <v>0.12990381056766581</v>
      </c>
    </row>
    <row r="1437" spans="44:45" x14ac:dyDescent="0.25">
      <c r="AR1437" s="11">
        <v>0.16500000000000001</v>
      </c>
      <c r="AS1437" s="7">
        <v>0.12990381056766581</v>
      </c>
    </row>
    <row r="1438" spans="44:45" x14ac:dyDescent="0.25">
      <c r="AR1438" s="11">
        <v>0.17500000000000002</v>
      </c>
      <c r="AS1438" s="7">
        <v>0.12990381056766581</v>
      </c>
    </row>
    <row r="1439" spans="44:45" x14ac:dyDescent="0.25">
      <c r="AR1439" s="11">
        <v>0.18500000000000003</v>
      </c>
      <c r="AS1439" s="7">
        <v>0.12990381056766581</v>
      </c>
    </row>
    <row r="1440" spans="44:45" x14ac:dyDescent="0.25">
      <c r="AR1440" s="11">
        <v>0.19500000000000003</v>
      </c>
      <c r="AS1440" s="7">
        <v>0.12990381056766581</v>
      </c>
    </row>
    <row r="1441" spans="44:45" x14ac:dyDescent="0.25">
      <c r="AR1441" s="11">
        <v>0.20500000000000004</v>
      </c>
      <c r="AS1441" s="7">
        <v>0.12990381056766581</v>
      </c>
    </row>
    <row r="1442" spans="44:45" x14ac:dyDescent="0.25">
      <c r="AR1442" s="11">
        <v>0.21500000000000005</v>
      </c>
      <c r="AS1442" s="7">
        <v>0.12990381056766581</v>
      </c>
    </row>
    <row r="1443" spans="44:45" x14ac:dyDescent="0.25">
      <c r="AR1443" s="11">
        <v>0.22500000000000006</v>
      </c>
      <c r="AS1443" s="7">
        <v>0.12990381056766581</v>
      </c>
    </row>
    <row r="1444" spans="44:45" x14ac:dyDescent="0.25">
      <c r="AR1444" s="11">
        <v>0.23500000000000007</v>
      </c>
      <c r="AS1444" s="7">
        <v>0.12990381056766581</v>
      </c>
    </row>
    <row r="1445" spans="44:45" x14ac:dyDescent="0.25">
      <c r="AR1445" s="11">
        <v>0.24500000000000008</v>
      </c>
      <c r="AS1445" s="7">
        <v>0.12990381056766581</v>
      </c>
    </row>
    <row r="1446" spans="44:45" x14ac:dyDescent="0.25">
      <c r="AR1446" s="11">
        <v>0.25500000000000006</v>
      </c>
      <c r="AS1446" s="7">
        <v>0.12990381056766581</v>
      </c>
    </row>
    <row r="1447" spans="44:45" x14ac:dyDescent="0.25">
      <c r="AR1447" s="11">
        <v>0.26500000000000007</v>
      </c>
      <c r="AS1447" s="7">
        <v>0.12990381056766581</v>
      </c>
    </row>
    <row r="1448" spans="44:45" x14ac:dyDescent="0.25">
      <c r="AR1448" s="11">
        <v>0.27500000000000008</v>
      </c>
      <c r="AS1448" s="7">
        <v>0.12990381056766581</v>
      </c>
    </row>
    <row r="1449" spans="44:45" x14ac:dyDescent="0.25">
      <c r="AR1449" s="11">
        <v>0.28500000000000009</v>
      </c>
      <c r="AS1449" s="7">
        <v>0.12990381056766581</v>
      </c>
    </row>
    <row r="1450" spans="44:45" x14ac:dyDescent="0.25">
      <c r="AR1450" s="11">
        <v>0.2950000000000001</v>
      </c>
      <c r="AS1450" s="7">
        <v>0.12990381056766581</v>
      </c>
    </row>
    <row r="1451" spans="44:45" x14ac:dyDescent="0.25">
      <c r="AR1451" s="11">
        <v>0.3050000000000001</v>
      </c>
      <c r="AS1451" s="7">
        <v>0.12990381056766581</v>
      </c>
    </row>
    <row r="1452" spans="44:45" x14ac:dyDescent="0.25">
      <c r="AR1452" s="11">
        <v>0.31500000000000011</v>
      </c>
      <c r="AS1452" s="7">
        <v>0.12990381056766581</v>
      </c>
    </row>
    <row r="1453" spans="44:45" x14ac:dyDescent="0.25">
      <c r="AR1453" s="11">
        <v>0.32500000000000012</v>
      </c>
      <c r="AS1453" s="7">
        <v>0.12990381056766581</v>
      </c>
    </row>
    <row r="1454" spans="44:45" x14ac:dyDescent="0.25">
      <c r="AR1454" s="11">
        <v>0.33500000000000013</v>
      </c>
      <c r="AS1454" s="7">
        <v>0.12990381056766581</v>
      </c>
    </row>
    <row r="1455" spans="44:45" x14ac:dyDescent="0.25">
      <c r="AR1455" s="11">
        <v>0.34500000000000014</v>
      </c>
      <c r="AS1455" s="7">
        <v>0.12990381056766581</v>
      </c>
    </row>
    <row r="1456" spans="44:45" x14ac:dyDescent="0.25">
      <c r="AR1456" s="11">
        <v>0.35500000000000015</v>
      </c>
      <c r="AS1456" s="7">
        <v>0.12990381056766581</v>
      </c>
    </row>
    <row r="1457" spans="44:45" x14ac:dyDescent="0.25">
      <c r="AR1457" s="11">
        <v>0.36500000000000016</v>
      </c>
      <c r="AS1457" s="7">
        <v>0.12990381056766581</v>
      </c>
    </row>
    <row r="1458" spans="44:45" x14ac:dyDescent="0.25">
      <c r="AR1458" s="11">
        <v>0.37500000000000017</v>
      </c>
      <c r="AS1458" s="7">
        <v>0.12990381056766581</v>
      </c>
    </row>
    <row r="1459" spans="44:45" x14ac:dyDescent="0.25">
      <c r="AR1459" s="11">
        <v>0.38500000000000018</v>
      </c>
      <c r="AS1459" s="7">
        <v>0.12990381056766581</v>
      </c>
    </row>
    <row r="1460" spans="44:45" x14ac:dyDescent="0.25">
      <c r="AR1460" s="11">
        <v>0.39500000000000018</v>
      </c>
      <c r="AS1460" s="7">
        <v>0.12990381056766581</v>
      </c>
    </row>
    <row r="1461" spans="44:45" x14ac:dyDescent="0.25">
      <c r="AR1461" s="11">
        <v>0.40500000000000019</v>
      </c>
      <c r="AS1461" s="7">
        <v>0.12990381056766581</v>
      </c>
    </row>
    <row r="1462" spans="44:45" x14ac:dyDescent="0.25">
      <c r="AR1462" s="11">
        <v>0.4150000000000002</v>
      </c>
      <c r="AS1462" s="7">
        <v>0.12990381056766581</v>
      </c>
    </row>
    <row r="1463" spans="44:45" x14ac:dyDescent="0.25">
      <c r="AR1463" s="11">
        <v>0.42500000000000021</v>
      </c>
      <c r="AS1463" s="7">
        <v>0.12990381056766581</v>
      </c>
    </row>
    <row r="1464" spans="44:45" x14ac:dyDescent="0.25">
      <c r="AR1464" s="11">
        <v>0.43500000000000022</v>
      </c>
      <c r="AS1464" s="7">
        <v>0.12990381056766581</v>
      </c>
    </row>
    <row r="1465" spans="44:45" x14ac:dyDescent="0.25">
      <c r="AR1465" s="11">
        <v>0.44500000000000023</v>
      </c>
      <c r="AS1465" s="7">
        <v>0.12990381056766581</v>
      </c>
    </row>
    <row r="1466" spans="44:45" x14ac:dyDescent="0.25">
      <c r="AR1466" s="11">
        <v>0.45500000000000024</v>
      </c>
      <c r="AS1466" s="7">
        <v>0.12990381056766581</v>
      </c>
    </row>
    <row r="1467" spans="44:45" x14ac:dyDescent="0.25">
      <c r="AR1467" s="11">
        <v>0.46500000000000025</v>
      </c>
      <c r="AS1467" s="7">
        <v>0.12990381056766581</v>
      </c>
    </row>
    <row r="1468" spans="44:45" x14ac:dyDescent="0.25">
      <c r="AR1468" s="11">
        <v>0.47500000000000026</v>
      </c>
      <c r="AS1468" s="7">
        <v>0.12990381056766581</v>
      </c>
    </row>
    <row r="1469" spans="44:45" x14ac:dyDescent="0.25">
      <c r="AR1469" s="11">
        <v>0.48500000000000026</v>
      </c>
      <c r="AS1469" s="7">
        <v>0.12990381056766581</v>
      </c>
    </row>
    <row r="1470" spans="44:45" x14ac:dyDescent="0.25">
      <c r="AR1470" s="11">
        <v>0.49500000000000027</v>
      </c>
      <c r="AS1470" s="7">
        <v>0.12990381056766581</v>
      </c>
    </row>
    <row r="1471" spans="44:45" x14ac:dyDescent="0.25">
      <c r="AR1471" s="11">
        <v>0.50500000000000023</v>
      </c>
      <c r="AS1471" s="7">
        <v>0.12990381056766581</v>
      </c>
    </row>
    <row r="1472" spans="44:45" x14ac:dyDescent="0.25">
      <c r="AR1472" s="11">
        <v>0.51500000000000024</v>
      </c>
      <c r="AS1472" s="7">
        <v>0.12990381056766581</v>
      </c>
    </row>
    <row r="1473" spans="44:45" x14ac:dyDescent="0.25">
      <c r="AR1473" s="11">
        <v>0.52500000000000024</v>
      </c>
      <c r="AS1473" s="7">
        <v>0.12990381056766581</v>
      </c>
    </row>
    <row r="1474" spans="44:45" x14ac:dyDescent="0.25">
      <c r="AR1474" s="11">
        <v>0.53500000000000025</v>
      </c>
      <c r="AS1474" s="7">
        <v>0.12990381056766581</v>
      </c>
    </row>
    <row r="1475" spans="44:45" x14ac:dyDescent="0.25">
      <c r="AR1475" s="11">
        <v>0.54500000000000026</v>
      </c>
      <c r="AS1475" s="7">
        <v>0.12990381056766581</v>
      </c>
    </row>
    <row r="1476" spans="44:45" x14ac:dyDescent="0.25">
      <c r="AR1476" s="11">
        <v>0.55500000000000027</v>
      </c>
      <c r="AS1476" s="7">
        <v>0.12990381056766581</v>
      </c>
    </row>
    <row r="1477" spans="44:45" x14ac:dyDescent="0.25">
      <c r="AR1477" s="11">
        <v>0.56500000000000028</v>
      </c>
      <c r="AS1477" s="7">
        <v>0.12990381056766581</v>
      </c>
    </row>
    <row r="1478" spans="44:45" x14ac:dyDescent="0.25">
      <c r="AR1478" s="11">
        <v>0.57500000000000029</v>
      </c>
      <c r="AS1478" s="7">
        <v>0.12990381056766581</v>
      </c>
    </row>
    <row r="1479" spans="44:45" x14ac:dyDescent="0.25">
      <c r="AR1479" s="11">
        <v>0.5850000000000003</v>
      </c>
      <c r="AS1479" s="7">
        <v>0.12990381056766581</v>
      </c>
    </row>
    <row r="1480" spans="44:45" x14ac:dyDescent="0.25">
      <c r="AR1480" s="11">
        <v>0.59500000000000031</v>
      </c>
      <c r="AS1480" s="7">
        <v>0.12990381056766581</v>
      </c>
    </row>
    <row r="1481" spans="44:45" x14ac:dyDescent="0.25">
      <c r="AR1481" s="11">
        <v>0.60500000000000032</v>
      </c>
      <c r="AS1481" s="7">
        <v>0.12990381056766581</v>
      </c>
    </row>
    <row r="1482" spans="44:45" x14ac:dyDescent="0.25">
      <c r="AR1482" s="11">
        <v>0.61500000000000032</v>
      </c>
      <c r="AS1482" s="7">
        <v>0.12990381056766581</v>
      </c>
    </row>
    <row r="1483" spans="44:45" x14ac:dyDescent="0.25">
      <c r="AR1483" s="11">
        <v>0.62500000000000033</v>
      </c>
      <c r="AS1483" s="7">
        <v>0.12990381056766581</v>
      </c>
    </row>
    <row r="1484" spans="44:45" x14ac:dyDescent="0.25">
      <c r="AR1484" s="11">
        <v>0.63500000000000034</v>
      </c>
      <c r="AS1484" s="7">
        <v>0.12990381056766581</v>
      </c>
    </row>
    <row r="1485" spans="44:45" x14ac:dyDescent="0.25">
      <c r="AR1485" s="11">
        <v>0.64500000000000035</v>
      </c>
      <c r="AS1485" s="7">
        <v>0.12990381056766581</v>
      </c>
    </row>
    <row r="1486" spans="44:45" x14ac:dyDescent="0.25">
      <c r="AR1486" s="11">
        <v>0.65500000000000036</v>
      </c>
      <c r="AS1486" s="7">
        <v>0.12990381056766581</v>
      </c>
    </row>
    <row r="1487" spans="44:45" x14ac:dyDescent="0.25">
      <c r="AR1487" s="11">
        <v>0.66500000000000037</v>
      </c>
      <c r="AS1487" s="7">
        <v>0.12990381056766581</v>
      </c>
    </row>
    <row r="1488" spans="44:45" x14ac:dyDescent="0.25">
      <c r="AR1488" s="11">
        <v>0.67500000000000038</v>
      </c>
      <c r="AS1488" s="7">
        <v>0.12990381056766581</v>
      </c>
    </row>
    <row r="1489" spans="44:45" x14ac:dyDescent="0.25">
      <c r="AR1489" s="11">
        <v>0.68500000000000039</v>
      </c>
      <c r="AS1489" s="7">
        <v>0.12990381056766581</v>
      </c>
    </row>
    <row r="1490" spans="44:45" x14ac:dyDescent="0.25">
      <c r="AR1490" s="11">
        <v>0.6950000000000004</v>
      </c>
      <c r="AS1490" s="7">
        <v>0.12990381056766581</v>
      </c>
    </row>
    <row r="1491" spans="44:45" x14ac:dyDescent="0.25">
      <c r="AR1491" s="11">
        <v>0.7050000000000004</v>
      </c>
      <c r="AS1491" s="7">
        <v>0.12990381056766581</v>
      </c>
    </row>
    <row r="1492" spans="44:45" x14ac:dyDescent="0.25">
      <c r="AR1492" s="11">
        <v>0.71500000000000041</v>
      </c>
      <c r="AS1492" s="7">
        <v>0.12990381056766581</v>
      </c>
    </row>
    <row r="1493" spans="44:45" x14ac:dyDescent="0.25">
      <c r="AR1493" s="11">
        <v>0.72500000000000042</v>
      </c>
      <c r="AS1493" s="7">
        <v>0.12990381056766581</v>
      </c>
    </row>
    <row r="1494" spans="44:45" x14ac:dyDescent="0.25">
      <c r="AR1494" s="11">
        <v>0.73500000000000043</v>
      </c>
      <c r="AS1494" s="7">
        <v>0.12990381056766581</v>
      </c>
    </row>
    <row r="1495" spans="44:45" x14ac:dyDescent="0.25">
      <c r="AR1495" s="11">
        <v>0.74500000000000044</v>
      </c>
      <c r="AS1495" s="7">
        <v>0.12990381056766581</v>
      </c>
    </row>
    <row r="1496" spans="44:45" x14ac:dyDescent="0.25">
      <c r="AR1496" s="11">
        <v>0.75500000000000045</v>
      </c>
      <c r="AS1496" s="7">
        <v>0.12990381056766581</v>
      </c>
    </row>
    <row r="1497" spans="44:45" x14ac:dyDescent="0.25">
      <c r="AR1497" s="11">
        <v>0.76500000000000046</v>
      </c>
      <c r="AS1497" s="7">
        <v>0.12990381056766581</v>
      </c>
    </row>
    <row r="1498" spans="44:45" x14ac:dyDescent="0.25">
      <c r="AR1498" s="11">
        <v>0.77500000000000047</v>
      </c>
      <c r="AS1498" s="7">
        <v>0.12990381056766581</v>
      </c>
    </row>
    <row r="1499" spans="44:45" x14ac:dyDescent="0.25">
      <c r="AR1499" s="11">
        <v>0.78500000000000048</v>
      </c>
      <c r="AS1499" s="7">
        <v>0.12990381056766581</v>
      </c>
    </row>
    <row r="1500" spans="44:45" x14ac:dyDescent="0.25">
      <c r="AR1500" s="11">
        <v>0.79500000000000048</v>
      </c>
      <c r="AS1500" s="7">
        <v>0.12990381056766581</v>
      </c>
    </row>
    <row r="1501" spans="44:45" x14ac:dyDescent="0.25">
      <c r="AR1501" s="11">
        <v>0.80500000000000049</v>
      </c>
      <c r="AS1501" s="7">
        <v>0.12990381056766581</v>
      </c>
    </row>
    <row r="1502" spans="44:45" x14ac:dyDescent="0.25">
      <c r="AR1502" s="11">
        <v>0.8150000000000005</v>
      </c>
      <c r="AS1502" s="7">
        <v>0.12990381056766581</v>
      </c>
    </row>
    <row r="1503" spans="44:45" x14ac:dyDescent="0.25">
      <c r="AR1503" s="11">
        <v>0.82500000000000051</v>
      </c>
      <c r="AS1503" s="7">
        <v>0.12990381056766581</v>
      </c>
    </row>
    <row r="1504" spans="44:45" x14ac:dyDescent="0.25">
      <c r="AR1504" s="11">
        <v>0.83500000000000052</v>
      </c>
      <c r="AS1504" s="7">
        <v>0.12990381056766581</v>
      </c>
    </row>
    <row r="1505" spans="44:45" x14ac:dyDescent="0.25">
      <c r="AR1505" s="11">
        <v>0.84500000000000053</v>
      </c>
      <c r="AS1505" s="7">
        <v>0.12990381056766581</v>
      </c>
    </row>
    <row r="1506" spans="44:45" x14ac:dyDescent="0.25">
      <c r="AR1506" s="11">
        <v>0.85500000000000054</v>
      </c>
      <c r="AS1506" s="7">
        <v>0.12990381056766581</v>
      </c>
    </row>
    <row r="1507" spans="44:45" x14ac:dyDescent="0.25">
      <c r="AR1507" s="11">
        <v>0.86500000000000055</v>
      </c>
      <c r="AS1507" s="7">
        <v>0.12990381056766581</v>
      </c>
    </row>
    <row r="1508" spans="44:45" x14ac:dyDescent="0.25">
      <c r="AR1508" s="11">
        <v>0.87500000000000056</v>
      </c>
      <c r="AS1508" s="7">
        <v>0.12990381056766581</v>
      </c>
    </row>
    <row r="1509" spans="44:45" x14ac:dyDescent="0.25">
      <c r="AR1509" s="11">
        <v>0.88500000000000056</v>
      </c>
      <c r="AS1509" s="7">
        <v>0.12990381056766581</v>
      </c>
    </row>
    <row r="1510" spans="44:45" x14ac:dyDescent="0.25">
      <c r="AR1510" s="11">
        <v>0.89500000000000057</v>
      </c>
      <c r="AS1510" s="7">
        <v>0.12990381056766581</v>
      </c>
    </row>
    <row r="1511" spans="44:45" x14ac:dyDescent="0.25">
      <c r="AR1511" s="11">
        <v>0.90500000000000058</v>
      </c>
      <c r="AS1511" s="7">
        <v>0.12990381056766581</v>
      </c>
    </row>
    <row r="1512" spans="44:45" x14ac:dyDescent="0.25">
      <c r="AR1512" s="11">
        <v>0.91500000000000059</v>
      </c>
      <c r="AS1512" s="7">
        <v>0.12990381056766581</v>
      </c>
    </row>
    <row r="1513" spans="44:45" x14ac:dyDescent="0.25">
      <c r="AR1513" s="11">
        <v>0.9250000000000006</v>
      </c>
      <c r="AS1513" s="7">
        <v>0.12990381056766581</v>
      </c>
    </row>
    <row r="1514" spans="44:45" x14ac:dyDescent="0.25">
      <c r="AR1514" s="11"/>
      <c r="AS1514" s="7"/>
    </row>
    <row r="1515" spans="44:45" x14ac:dyDescent="0.25">
      <c r="AR1515" s="11">
        <v>0.08</v>
      </c>
      <c r="AS1515" s="7">
        <v>0.13856406460551018</v>
      </c>
    </row>
    <row r="1516" spans="44:45" x14ac:dyDescent="0.25">
      <c r="AR1516" s="11">
        <v>0.09</v>
      </c>
      <c r="AS1516" s="7">
        <v>0.13856406460551018</v>
      </c>
    </row>
    <row r="1517" spans="44:45" x14ac:dyDescent="0.25">
      <c r="AR1517" s="11">
        <v>9.9999999999999992E-2</v>
      </c>
      <c r="AS1517" s="7">
        <v>0.13856406460551018</v>
      </c>
    </row>
    <row r="1518" spans="44:45" x14ac:dyDescent="0.25">
      <c r="AR1518" s="11">
        <v>0.10999999999999999</v>
      </c>
      <c r="AS1518" s="7">
        <v>0.13856406460551018</v>
      </c>
    </row>
    <row r="1519" spans="44:45" x14ac:dyDescent="0.25">
      <c r="AR1519" s="11">
        <v>0.11999999999999998</v>
      </c>
      <c r="AS1519" s="7">
        <v>0.13856406460551018</v>
      </c>
    </row>
    <row r="1520" spans="44:45" x14ac:dyDescent="0.25">
      <c r="AR1520" s="11">
        <v>0.12999999999999998</v>
      </c>
      <c r="AS1520" s="7">
        <v>0.13856406460551018</v>
      </c>
    </row>
    <row r="1521" spans="44:45" x14ac:dyDescent="0.25">
      <c r="AR1521" s="11">
        <v>0.13999999999999999</v>
      </c>
      <c r="AS1521" s="7">
        <v>0.13856406460551018</v>
      </c>
    </row>
    <row r="1522" spans="44:45" x14ac:dyDescent="0.25">
      <c r="AR1522" s="11">
        <v>0.15</v>
      </c>
      <c r="AS1522" s="7">
        <v>0.13856406460551018</v>
      </c>
    </row>
    <row r="1523" spans="44:45" x14ac:dyDescent="0.25">
      <c r="AR1523" s="11">
        <v>0.16</v>
      </c>
      <c r="AS1523" s="7">
        <v>0.13856406460551018</v>
      </c>
    </row>
    <row r="1524" spans="44:45" x14ac:dyDescent="0.25">
      <c r="AR1524" s="11">
        <v>0.17</v>
      </c>
      <c r="AS1524" s="7">
        <v>0.13856406460551018</v>
      </c>
    </row>
    <row r="1525" spans="44:45" x14ac:dyDescent="0.25">
      <c r="AR1525" s="11">
        <v>0.18000000000000002</v>
      </c>
      <c r="AS1525" s="7">
        <v>0.13856406460551018</v>
      </c>
    </row>
    <row r="1526" spans="44:45" x14ac:dyDescent="0.25">
      <c r="AR1526" s="11">
        <v>0.19000000000000003</v>
      </c>
      <c r="AS1526" s="7">
        <v>0.13856406460551018</v>
      </c>
    </row>
    <row r="1527" spans="44:45" x14ac:dyDescent="0.25">
      <c r="AR1527" s="11">
        <v>0.20000000000000004</v>
      </c>
      <c r="AS1527" s="7">
        <v>0.13856406460551018</v>
      </c>
    </row>
    <row r="1528" spans="44:45" x14ac:dyDescent="0.25">
      <c r="AR1528" s="11">
        <v>0.21000000000000005</v>
      </c>
      <c r="AS1528" s="7">
        <v>0.13856406460551018</v>
      </c>
    </row>
    <row r="1529" spans="44:45" x14ac:dyDescent="0.25">
      <c r="AR1529" s="11">
        <v>0.22000000000000006</v>
      </c>
      <c r="AS1529" s="7">
        <v>0.13856406460551018</v>
      </c>
    </row>
    <row r="1530" spans="44:45" x14ac:dyDescent="0.25">
      <c r="AR1530" s="11">
        <v>0.23000000000000007</v>
      </c>
      <c r="AS1530" s="7">
        <v>0.13856406460551018</v>
      </c>
    </row>
    <row r="1531" spans="44:45" x14ac:dyDescent="0.25">
      <c r="AR1531" s="11">
        <v>0.24000000000000007</v>
      </c>
      <c r="AS1531" s="7">
        <v>0.13856406460551018</v>
      </c>
    </row>
    <row r="1532" spans="44:45" x14ac:dyDescent="0.25">
      <c r="AR1532" s="11">
        <v>0.25000000000000006</v>
      </c>
      <c r="AS1532" s="7">
        <v>0.13856406460551018</v>
      </c>
    </row>
    <row r="1533" spans="44:45" x14ac:dyDescent="0.25">
      <c r="AR1533" s="11">
        <v>0.26000000000000006</v>
      </c>
      <c r="AS1533" s="7">
        <v>0.13856406460551018</v>
      </c>
    </row>
    <row r="1534" spans="44:45" x14ac:dyDescent="0.25">
      <c r="AR1534" s="11">
        <v>0.27000000000000007</v>
      </c>
      <c r="AS1534" s="7">
        <v>0.13856406460551018</v>
      </c>
    </row>
    <row r="1535" spans="44:45" x14ac:dyDescent="0.25">
      <c r="AR1535" s="11">
        <v>0.28000000000000008</v>
      </c>
      <c r="AS1535" s="7">
        <v>0.13856406460551018</v>
      </c>
    </row>
    <row r="1536" spans="44:45" x14ac:dyDescent="0.25">
      <c r="AR1536" s="11">
        <v>0.29000000000000009</v>
      </c>
      <c r="AS1536" s="7">
        <v>0.13856406460551018</v>
      </c>
    </row>
    <row r="1537" spans="44:45" x14ac:dyDescent="0.25">
      <c r="AR1537" s="11">
        <v>0.3000000000000001</v>
      </c>
      <c r="AS1537" s="7">
        <v>0.13856406460551018</v>
      </c>
    </row>
    <row r="1538" spans="44:45" x14ac:dyDescent="0.25">
      <c r="AR1538" s="11">
        <v>0.31000000000000011</v>
      </c>
      <c r="AS1538" s="7">
        <v>0.13856406460551018</v>
      </c>
    </row>
    <row r="1539" spans="44:45" x14ac:dyDescent="0.25">
      <c r="AR1539" s="11">
        <v>0.32000000000000012</v>
      </c>
      <c r="AS1539" s="7">
        <v>0.13856406460551018</v>
      </c>
    </row>
    <row r="1540" spans="44:45" x14ac:dyDescent="0.25">
      <c r="AR1540" s="11">
        <v>0.33000000000000013</v>
      </c>
      <c r="AS1540" s="7">
        <v>0.13856406460551018</v>
      </c>
    </row>
    <row r="1541" spans="44:45" x14ac:dyDescent="0.25">
      <c r="AR1541" s="11">
        <v>0.34000000000000014</v>
      </c>
      <c r="AS1541" s="7">
        <v>0.13856406460551018</v>
      </c>
    </row>
    <row r="1542" spans="44:45" x14ac:dyDescent="0.25">
      <c r="AR1542" s="11">
        <v>0.35000000000000014</v>
      </c>
      <c r="AS1542" s="7">
        <v>0.13856406460551018</v>
      </c>
    </row>
    <row r="1543" spans="44:45" x14ac:dyDescent="0.25">
      <c r="AR1543" s="11">
        <v>0.36000000000000015</v>
      </c>
      <c r="AS1543" s="7">
        <v>0.13856406460551018</v>
      </c>
    </row>
    <row r="1544" spans="44:45" x14ac:dyDescent="0.25">
      <c r="AR1544" s="11">
        <v>0.37000000000000016</v>
      </c>
      <c r="AS1544" s="7">
        <v>0.13856406460551018</v>
      </c>
    </row>
    <row r="1545" spans="44:45" x14ac:dyDescent="0.25">
      <c r="AR1545" s="11">
        <v>0.38000000000000017</v>
      </c>
      <c r="AS1545" s="7">
        <v>0.13856406460551018</v>
      </c>
    </row>
    <row r="1546" spans="44:45" x14ac:dyDescent="0.25">
      <c r="AR1546" s="11">
        <v>0.39000000000000018</v>
      </c>
      <c r="AS1546" s="7">
        <v>0.13856406460551018</v>
      </c>
    </row>
    <row r="1547" spans="44:45" x14ac:dyDescent="0.25">
      <c r="AR1547" s="11">
        <v>0.40000000000000019</v>
      </c>
      <c r="AS1547" s="7">
        <v>0.13856406460551018</v>
      </c>
    </row>
    <row r="1548" spans="44:45" x14ac:dyDescent="0.25">
      <c r="AR1548" s="11">
        <v>0.4100000000000002</v>
      </c>
      <c r="AS1548" s="7">
        <v>0.13856406460551018</v>
      </c>
    </row>
    <row r="1549" spans="44:45" x14ac:dyDescent="0.25">
      <c r="AR1549" s="11">
        <v>0.42000000000000021</v>
      </c>
      <c r="AS1549" s="7">
        <v>0.13856406460551018</v>
      </c>
    </row>
    <row r="1550" spans="44:45" x14ac:dyDescent="0.25">
      <c r="AR1550" s="11">
        <v>0.43000000000000022</v>
      </c>
      <c r="AS1550" s="7">
        <v>0.13856406460551018</v>
      </c>
    </row>
    <row r="1551" spans="44:45" x14ac:dyDescent="0.25">
      <c r="AR1551" s="11">
        <v>0.44000000000000022</v>
      </c>
      <c r="AS1551" s="7">
        <v>0.13856406460551018</v>
      </c>
    </row>
    <row r="1552" spans="44:45" x14ac:dyDescent="0.25">
      <c r="AR1552" s="11">
        <v>0.45000000000000023</v>
      </c>
      <c r="AS1552" s="7">
        <v>0.13856406460551018</v>
      </c>
    </row>
    <row r="1553" spans="44:45" x14ac:dyDescent="0.25">
      <c r="AR1553" s="11">
        <v>0.46000000000000024</v>
      </c>
      <c r="AS1553" s="7">
        <v>0.13856406460551018</v>
      </c>
    </row>
    <row r="1554" spans="44:45" x14ac:dyDescent="0.25">
      <c r="AR1554" s="11">
        <v>0.47000000000000025</v>
      </c>
      <c r="AS1554" s="7">
        <v>0.13856406460551018</v>
      </c>
    </row>
    <row r="1555" spans="44:45" x14ac:dyDescent="0.25">
      <c r="AR1555" s="11">
        <v>0.48000000000000026</v>
      </c>
      <c r="AS1555" s="7">
        <v>0.13856406460551018</v>
      </c>
    </row>
    <row r="1556" spans="44:45" x14ac:dyDescent="0.25">
      <c r="AR1556" s="11">
        <v>0.49000000000000027</v>
      </c>
      <c r="AS1556" s="7">
        <v>0.13856406460551018</v>
      </c>
    </row>
    <row r="1557" spans="44:45" x14ac:dyDescent="0.25">
      <c r="AR1557" s="11">
        <v>0.50000000000000022</v>
      </c>
      <c r="AS1557" s="7">
        <v>0.13856406460551018</v>
      </c>
    </row>
    <row r="1558" spans="44:45" x14ac:dyDescent="0.25">
      <c r="AR1558" s="11">
        <v>0.51000000000000023</v>
      </c>
      <c r="AS1558" s="7">
        <v>0.13856406460551018</v>
      </c>
    </row>
    <row r="1559" spans="44:45" x14ac:dyDescent="0.25">
      <c r="AR1559" s="11">
        <v>0.52000000000000024</v>
      </c>
      <c r="AS1559" s="7">
        <v>0.13856406460551018</v>
      </c>
    </row>
    <row r="1560" spans="44:45" x14ac:dyDescent="0.25">
      <c r="AR1560" s="11">
        <v>0.53000000000000025</v>
      </c>
      <c r="AS1560" s="7">
        <v>0.13856406460551018</v>
      </c>
    </row>
    <row r="1561" spans="44:45" x14ac:dyDescent="0.25">
      <c r="AR1561" s="11">
        <v>0.54000000000000026</v>
      </c>
      <c r="AS1561" s="7">
        <v>0.13856406460551018</v>
      </c>
    </row>
    <row r="1562" spans="44:45" x14ac:dyDescent="0.25">
      <c r="AR1562" s="11">
        <v>0.55000000000000027</v>
      </c>
      <c r="AS1562" s="7">
        <v>0.13856406460551018</v>
      </c>
    </row>
    <row r="1563" spans="44:45" x14ac:dyDescent="0.25">
      <c r="AR1563" s="11">
        <v>0.56000000000000028</v>
      </c>
      <c r="AS1563" s="7">
        <v>0.13856406460551018</v>
      </c>
    </row>
    <row r="1564" spans="44:45" x14ac:dyDescent="0.25">
      <c r="AR1564" s="11">
        <v>0.57000000000000028</v>
      </c>
      <c r="AS1564" s="7">
        <v>0.13856406460551018</v>
      </c>
    </row>
    <row r="1565" spans="44:45" x14ac:dyDescent="0.25">
      <c r="AR1565" s="11">
        <v>0.58000000000000029</v>
      </c>
      <c r="AS1565" s="7">
        <v>0.13856406460551018</v>
      </c>
    </row>
    <row r="1566" spans="44:45" x14ac:dyDescent="0.25">
      <c r="AR1566" s="11">
        <v>0.5900000000000003</v>
      </c>
      <c r="AS1566" s="7">
        <v>0.13856406460551018</v>
      </c>
    </row>
    <row r="1567" spans="44:45" x14ac:dyDescent="0.25">
      <c r="AR1567" s="11">
        <v>0.60000000000000031</v>
      </c>
      <c r="AS1567" s="7">
        <v>0.13856406460551018</v>
      </c>
    </row>
    <row r="1568" spans="44:45" x14ac:dyDescent="0.25">
      <c r="AR1568" s="11">
        <v>0.61000000000000032</v>
      </c>
      <c r="AS1568" s="7">
        <v>0.13856406460551018</v>
      </c>
    </row>
    <row r="1569" spans="44:45" x14ac:dyDescent="0.25">
      <c r="AR1569" s="11">
        <v>0.62000000000000033</v>
      </c>
      <c r="AS1569" s="7">
        <v>0.13856406460551018</v>
      </c>
    </row>
    <row r="1570" spans="44:45" x14ac:dyDescent="0.25">
      <c r="AR1570" s="11">
        <v>0.63000000000000034</v>
      </c>
      <c r="AS1570" s="7">
        <v>0.13856406460551018</v>
      </c>
    </row>
    <row r="1571" spans="44:45" x14ac:dyDescent="0.25">
      <c r="AR1571" s="11">
        <v>0.64000000000000035</v>
      </c>
      <c r="AS1571" s="7">
        <v>0.13856406460551018</v>
      </c>
    </row>
    <row r="1572" spans="44:45" x14ac:dyDescent="0.25">
      <c r="AR1572" s="11">
        <v>0.65000000000000036</v>
      </c>
      <c r="AS1572" s="7">
        <v>0.13856406460551018</v>
      </c>
    </row>
    <row r="1573" spans="44:45" x14ac:dyDescent="0.25">
      <c r="AR1573" s="11">
        <v>0.66000000000000036</v>
      </c>
      <c r="AS1573" s="7">
        <v>0.13856406460551018</v>
      </c>
    </row>
    <row r="1574" spans="44:45" x14ac:dyDescent="0.25">
      <c r="AR1574" s="11">
        <v>0.67000000000000037</v>
      </c>
      <c r="AS1574" s="7">
        <v>0.13856406460551018</v>
      </c>
    </row>
    <row r="1575" spans="44:45" x14ac:dyDescent="0.25">
      <c r="AR1575" s="11">
        <v>0.68000000000000038</v>
      </c>
      <c r="AS1575" s="7">
        <v>0.13856406460551018</v>
      </c>
    </row>
    <row r="1576" spans="44:45" x14ac:dyDescent="0.25">
      <c r="AR1576" s="11">
        <v>0.69000000000000039</v>
      </c>
      <c r="AS1576" s="7">
        <v>0.13856406460551018</v>
      </c>
    </row>
    <row r="1577" spans="44:45" x14ac:dyDescent="0.25">
      <c r="AR1577" s="11">
        <v>0.7000000000000004</v>
      </c>
      <c r="AS1577" s="7">
        <v>0.13856406460551018</v>
      </c>
    </row>
    <row r="1578" spans="44:45" x14ac:dyDescent="0.25">
      <c r="AR1578" s="11">
        <v>0.71000000000000041</v>
      </c>
      <c r="AS1578" s="7">
        <v>0.13856406460551018</v>
      </c>
    </row>
    <row r="1579" spans="44:45" x14ac:dyDescent="0.25">
      <c r="AR1579" s="11">
        <v>0.72000000000000042</v>
      </c>
      <c r="AS1579" s="7">
        <v>0.13856406460551018</v>
      </c>
    </row>
    <row r="1580" spans="44:45" x14ac:dyDescent="0.25">
      <c r="AR1580" s="11">
        <v>0.73000000000000043</v>
      </c>
      <c r="AS1580" s="7">
        <v>0.13856406460551018</v>
      </c>
    </row>
    <row r="1581" spans="44:45" x14ac:dyDescent="0.25">
      <c r="AR1581" s="11">
        <v>0.74000000000000044</v>
      </c>
      <c r="AS1581" s="7">
        <v>0.13856406460551018</v>
      </c>
    </row>
    <row r="1582" spans="44:45" x14ac:dyDescent="0.25">
      <c r="AR1582" s="11">
        <v>0.75000000000000044</v>
      </c>
      <c r="AS1582" s="7">
        <v>0.13856406460551018</v>
      </c>
    </row>
    <row r="1583" spans="44:45" x14ac:dyDescent="0.25">
      <c r="AR1583" s="11">
        <v>0.76000000000000045</v>
      </c>
      <c r="AS1583" s="7">
        <v>0.13856406460551018</v>
      </c>
    </row>
    <row r="1584" spans="44:45" x14ac:dyDescent="0.25">
      <c r="AR1584" s="11">
        <v>0.77000000000000046</v>
      </c>
      <c r="AS1584" s="7">
        <v>0.13856406460551018</v>
      </c>
    </row>
    <row r="1585" spans="44:45" x14ac:dyDescent="0.25">
      <c r="AR1585" s="11">
        <v>0.78000000000000047</v>
      </c>
      <c r="AS1585" s="7">
        <v>0.13856406460551018</v>
      </c>
    </row>
    <row r="1586" spans="44:45" x14ac:dyDescent="0.25">
      <c r="AR1586" s="11">
        <v>0.79000000000000048</v>
      </c>
      <c r="AS1586" s="7">
        <v>0.13856406460551018</v>
      </c>
    </row>
    <row r="1587" spans="44:45" x14ac:dyDescent="0.25">
      <c r="AR1587" s="11">
        <v>0.80000000000000049</v>
      </c>
      <c r="AS1587" s="7">
        <v>0.13856406460551018</v>
      </c>
    </row>
    <row r="1588" spans="44:45" x14ac:dyDescent="0.25">
      <c r="AR1588" s="11">
        <v>0.8100000000000005</v>
      </c>
      <c r="AS1588" s="7">
        <v>0.13856406460551018</v>
      </c>
    </row>
    <row r="1589" spans="44:45" x14ac:dyDescent="0.25">
      <c r="AR1589" s="11">
        <v>0.82000000000000051</v>
      </c>
      <c r="AS1589" s="7">
        <v>0.13856406460551018</v>
      </c>
    </row>
    <row r="1590" spans="44:45" x14ac:dyDescent="0.25">
      <c r="AR1590" s="11">
        <v>0.83000000000000052</v>
      </c>
      <c r="AS1590" s="7">
        <v>0.13856406460551018</v>
      </c>
    </row>
    <row r="1591" spans="44:45" x14ac:dyDescent="0.25">
      <c r="AR1591" s="11">
        <v>0.84000000000000052</v>
      </c>
      <c r="AS1591" s="7">
        <v>0.13856406460551018</v>
      </c>
    </row>
    <row r="1592" spans="44:45" x14ac:dyDescent="0.25">
      <c r="AR1592" s="11">
        <v>0.85000000000000053</v>
      </c>
      <c r="AS1592" s="7">
        <v>0.13856406460551018</v>
      </c>
    </row>
    <row r="1593" spans="44:45" x14ac:dyDescent="0.25">
      <c r="AR1593" s="11">
        <v>0.86000000000000054</v>
      </c>
      <c r="AS1593" s="7">
        <v>0.13856406460551018</v>
      </c>
    </row>
    <row r="1594" spans="44:45" x14ac:dyDescent="0.25">
      <c r="AR1594" s="11">
        <v>0.87000000000000055</v>
      </c>
      <c r="AS1594" s="7">
        <v>0.13856406460551018</v>
      </c>
    </row>
    <row r="1595" spans="44:45" x14ac:dyDescent="0.25">
      <c r="AR1595" s="11">
        <v>0.88000000000000056</v>
      </c>
      <c r="AS1595" s="7">
        <v>0.13856406460551018</v>
      </c>
    </row>
    <row r="1596" spans="44:45" x14ac:dyDescent="0.25">
      <c r="AR1596" s="11">
        <v>0.89000000000000057</v>
      </c>
      <c r="AS1596" s="7">
        <v>0.13856406460551018</v>
      </c>
    </row>
    <row r="1597" spans="44:45" x14ac:dyDescent="0.25">
      <c r="AR1597" s="11">
        <v>0.90000000000000058</v>
      </c>
      <c r="AS1597" s="7">
        <v>0.13856406460551018</v>
      </c>
    </row>
    <row r="1598" spans="44:45" x14ac:dyDescent="0.25">
      <c r="AR1598" s="11">
        <v>0.91000000000000059</v>
      </c>
      <c r="AS1598" s="7">
        <v>0.13856406460551018</v>
      </c>
    </row>
    <row r="1599" spans="44:45" x14ac:dyDescent="0.25">
      <c r="AR1599" s="11">
        <v>0.9200000000000006</v>
      </c>
      <c r="AS1599" s="7">
        <v>0.13856406460551018</v>
      </c>
    </row>
    <row r="1600" spans="44:45" x14ac:dyDescent="0.25">
      <c r="AR1600" s="11"/>
      <c r="AS1600" s="7"/>
    </row>
    <row r="1601" spans="44:45" x14ac:dyDescent="0.25">
      <c r="AR1601" s="11">
        <v>8.4999999999999992E-2</v>
      </c>
      <c r="AS1601" s="7">
        <v>0.14722431864335458</v>
      </c>
    </row>
    <row r="1602" spans="44:45" x14ac:dyDescent="0.25">
      <c r="AR1602" s="11">
        <v>9.4999999999999987E-2</v>
      </c>
      <c r="AS1602" s="7">
        <v>0.14722431864335458</v>
      </c>
    </row>
    <row r="1603" spans="44:45" x14ac:dyDescent="0.25">
      <c r="AR1603" s="11">
        <v>0.10499999999999998</v>
      </c>
      <c r="AS1603" s="7">
        <v>0.14722431864335458</v>
      </c>
    </row>
    <row r="1604" spans="44:45" x14ac:dyDescent="0.25">
      <c r="AR1604" s="11">
        <v>0.11499999999999998</v>
      </c>
      <c r="AS1604" s="7">
        <v>0.14722431864335458</v>
      </c>
    </row>
    <row r="1605" spans="44:45" x14ac:dyDescent="0.25">
      <c r="AR1605" s="11">
        <v>0.12499999999999997</v>
      </c>
      <c r="AS1605" s="7">
        <v>0.14722431864335458</v>
      </c>
    </row>
    <row r="1606" spans="44:45" x14ac:dyDescent="0.25">
      <c r="AR1606" s="11">
        <v>0.13499999999999998</v>
      </c>
      <c r="AS1606" s="7">
        <v>0.14722431864335458</v>
      </c>
    </row>
    <row r="1607" spans="44:45" x14ac:dyDescent="0.25">
      <c r="AR1607" s="11">
        <v>0.14499999999999999</v>
      </c>
      <c r="AS1607" s="7">
        <v>0.14722431864335458</v>
      </c>
    </row>
    <row r="1608" spans="44:45" x14ac:dyDescent="0.25">
      <c r="AR1608" s="11">
        <v>0.155</v>
      </c>
      <c r="AS1608" s="7">
        <v>0.14722431864335458</v>
      </c>
    </row>
    <row r="1609" spans="44:45" x14ac:dyDescent="0.25">
      <c r="AR1609" s="11">
        <v>0.16500000000000001</v>
      </c>
      <c r="AS1609" s="7">
        <v>0.14722431864335458</v>
      </c>
    </row>
    <row r="1610" spans="44:45" x14ac:dyDescent="0.25">
      <c r="AR1610" s="11">
        <v>0.17500000000000002</v>
      </c>
      <c r="AS1610" s="7">
        <v>0.14722431864335458</v>
      </c>
    </row>
    <row r="1611" spans="44:45" x14ac:dyDescent="0.25">
      <c r="AR1611" s="11">
        <v>0.18500000000000003</v>
      </c>
      <c r="AS1611" s="7">
        <v>0.14722431864335458</v>
      </c>
    </row>
    <row r="1612" spans="44:45" x14ac:dyDescent="0.25">
      <c r="AR1612" s="11">
        <v>0.19500000000000003</v>
      </c>
      <c r="AS1612" s="7">
        <v>0.14722431864335458</v>
      </c>
    </row>
    <row r="1613" spans="44:45" x14ac:dyDescent="0.25">
      <c r="AR1613" s="11">
        <v>0.20500000000000004</v>
      </c>
      <c r="AS1613" s="7">
        <v>0.14722431864335458</v>
      </c>
    </row>
    <row r="1614" spans="44:45" x14ac:dyDescent="0.25">
      <c r="AR1614" s="11">
        <v>0.21500000000000005</v>
      </c>
      <c r="AS1614" s="7">
        <v>0.14722431864335458</v>
      </c>
    </row>
    <row r="1615" spans="44:45" x14ac:dyDescent="0.25">
      <c r="AR1615" s="11">
        <v>0.22500000000000006</v>
      </c>
      <c r="AS1615" s="7">
        <v>0.14722431864335458</v>
      </c>
    </row>
    <row r="1616" spans="44:45" x14ac:dyDescent="0.25">
      <c r="AR1616" s="11">
        <v>0.23500000000000007</v>
      </c>
      <c r="AS1616" s="7">
        <v>0.14722431864335458</v>
      </c>
    </row>
    <row r="1617" spans="44:45" x14ac:dyDescent="0.25">
      <c r="AR1617" s="11">
        <v>0.24500000000000008</v>
      </c>
      <c r="AS1617" s="7">
        <v>0.14722431864335458</v>
      </c>
    </row>
    <row r="1618" spans="44:45" x14ac:dyDescent="0.25">
      <c r="AR1618" s="11">
        <v>0.25500000000000006</v>
      </c>
      <c r="AS1618" s="7">
        <v>0.14722431864335458</v>
      </c>
    </row>
    <row r="1619" spans="44:45" x14ac:dyDescent="0.25">
      <c r="AR1619" s="11">
        <v>0.26500000000000007</v>
      </c>
      <c r="AS1619" s="7">
        <v>0.14722431864335458</v>
      </c>
    </row>
    <row r="1620" spans="44:45" x14ac:dyDescent="0.25">
      <c r="AR1620" s="11">
        <v>0.27500000000000008</v>
      </c>
      <c r="AS1620" s="7">
        <v>0.14722431864335458</v>
      </c>
    </row>
    <row r="1621" spans="44:45" x14ac:dyDescent="0.25">
      <c r="AR1621" s="11">
        <v>0.28500000000000009</v>
      </c>
      <c r="AS1621" s="7">
        <v>0.14722431864335458</v>
      </c>
    </row>
    <row r="1622" spans="44:45" x14ac:dyDescent="0.25">
      <c r="AR1622" s="11">
        <v>0.2950000000000001</v>
      </c>
      <c r="AS1622" s="7">
        <v>0.14722431864335458</v>
      </c>
    </row>
    <row r="1623" spans="44:45" x14ac:dyDescent="0.25">
      <c r="AR1623" s="11">
        <v>0.3050000000000001</v>
      </c>
      <c r="AS1623" s="7">
        <v>0.14722431864335458</v>
      </c>
    </row>
    <row r="1624" spans="44:45" x14ac:dyDescent="0.25">
      <c r="AR1624" s="11">
        <v>0.31500000000000011</v>
      </c>
      <c r="AS1624" s="7">
        <v>0.14722431864335458</v>
      </c>
    </row>
    <row r="1625" spans="44:45" x14ac:dyDescent="0.25">
      <c r="AR1625" s="11">
        <v>0.32500000000000012</v>
      </c>
      <c r="AS1625" s="7">
        <v>0.14722431864335458</v>
      </c>
    </row>
    <row r="1626" spans="44:45" x14ac:dyDescent="0.25">
      <c r="AR1626" s="11">
        <v>0.33500000000000013</v>
      </c>
      <c r="AS1626" s="7">
        <v>0.14722431864335458</v>
      </c>
    </row>
    <row r="1627" spans="44:45" x14ac:dyDescent="0.25">
      <c r="AR1627" s="11">
        <v>0.34500000000000014</v>
      </c>
      <c r="AS1627" s="7">
        <v>0.14722431864335458</v>
      </c>
    </row>
    <row r="1628" spans="44:45" x14ac:dyDescent="0.25">
      <c r="AR1628" s="11">
        <v>0.35500000000000015</v>
      </c>
      <c r="AS1628" s="7">
        <v>0.14722431864335458</v>
      </c>
    </row>
    <row r="1629" spans="44:45" x14ac:dyDescent="0.25">
      <c r="AR1629" s="11">
        <v>0.36500000000000016</v>
      </c>
      <c r="AS1629" s="7">
        <v>0.14722431864335458</v>
      </c>
    </row>
    <row r="1630" spans="44:45" x14ac:dyDescent="0.25">
      <c r="AR1630" s="11">
        <v>0.37500000000000017</v>
      </c>
      <c r="AS1630" s="7">
        <v>0.14722431864335458</v>
      </c>
    </row>
    <row r="1631" spans="44:45" x14ac:dyDescent="0.25">
      <c r="AR1631" s="11">
        <v>0.38500000000000018</v>
      </c>
      <c r="AS1631" s="7">
        <v>0.14722431864335458</v>
      </c>
    </row>
    <row r="1632" spans="44:45" x14ac:dyDescent="0.25">
      <c r="AR1632" s="11">
        <v>0.39500000000000018</v>
      </c>
      <c r="AS1632" s="7">
        <v>0.14722431864335458</v>
      </c>
    </row>
    <row r="1633" spans="44:45" x14ac:dyDescent="0.25">
      <c r="AR1633" s="11">
        <v>0.40500000000000019</v>
      </c>
      <c r="AS1633" s="7">
        <v>0.14722431864335458</v>
      </c>
    </row>
    <row r="1634" spans="44:45" x14ac:dyDescent="0.25">
      <c r="AR1634" s="11">
        <v>0.4150000000000002</v>
      </c>
      <c r="AS1634" s="7">
        <v>0.14722431864335458</v>
      </c>
    </row>
    <row r="1635" spans="44:45" x14ac:dyDescent="0.25">
      <c r="AR1635" s="11">
        <v>0.42500000000000021</v>
      </c>
      <c r="AS1635" s="7">
        <v>0.14722431864335458</v>
      </c>
    </row>
    <row r="1636" spans="44:45" x14ac:dyDescent="0.25">
      <c r="AR1636" s="11">
        <v>0.43500000000000022</v>
      </c>
      <c r="AS1636" s="7">
        <v>0.14722431864335458</v>
      </c>
    </row>
    <row r="1637" spans="44:45" x14ac:dyDescent="0.25">
      <c r="AR1637" s="11">
        <v>0.44500000000000023</v>
      </c>
      <c r="AS1637" s="7">
        <v>0.14722431864335458</v>
      </c>
    </row>
    <row r="1638" spans="44:45" x14ac:dyDescent="0.25">
      <c r="AR1638" s="11">
        <v>0.45500000000000024</v>
      </c>
      <c r="AS1638" s="7">
        <v>0.14722431864335458</v>
      </c>
    </row>
    <row r="1639" spans="44:45" x14ac:dyDescent="0.25">
      <c r="AR1639" s="11">
        <v>0.46500000000000025</v>
      </c>
      <c r="AS1639" s="7">
        <v>0.14722431864335458</v>
      </c>
    </row>
    <row r="1640" spans="44:45" x14ac:dyDescent="0.25">
      <c r="AR1640" s="11">
        <v>0.47500000000000026</v>
      </c>
      <c r="AS1640" s="7">
        <v>0.14722431864335458</v>
      </c>
    </row>
    <row r="1641" spans="44:45" x14ac:dyDescent="0.25">
      <c r="AR1641" s="11">
        <v>0.48500000000000026</v>
      </c>
      <c r="AS1641" s="7">
        <v>0.14722431864335458</v>
      </c>
    </row>
    <row r="1642" spans="44:45" x14ac:dyDescent="0.25">
      <c r="AR1642" s="11">
        <v>0.49500000000000027</v>
      </c>
      <c r="AS1642" s="7">
        <v>0.14722431864335458</v>
      </c>
    </row>
    <row r="1643" spans="44:45" x14ac:dyDescent="0.25">
      <c r="AR1643" s="11">
        <v>0.50500000000000023</v>
      </c>
      <c r="AS1643" s="7">
        <v>0.14722431864335458</v>
      </c>
    </row>
    <row r="1644" spans="44:45" x14ac:dyDescent="0.25">
      <c r="AR1644" s="11">
        <v>0.51500000000000024</v>
      </c>
      <c r="AS1644" s="7">
        <v>0.14722431864335458</v>
      </c>
    </row>
    <row r="1645" spans="44:45" x14ac:dyDescent="0.25">
      <c r="AR1645" s="11">
        <v>0.52500000000000024</v>
      </c>
      <c r="AS1645" s="7">
        <v>0.14722431864335458</v>
      </c>
    </row>
    <row r="1646" spans="44:45" x14ac:dyDescent="0.25">
      <c r="AR1646" s="11">
        <v>0.53500000000000025</v>
      </c>
      <c r="AS1646" s="7">
        <v>0.14722431864335458</v>
      </c>
    </row>
    <row r="1647" spans="44:45" x14ac:dyDescent="0.25">
      <c r="AR1647" s="11">
        <v>0.54500000000000026</v>
      </c>
      <c r="AS1647" s="7">
        <v>0.14722431864335458</v>
      </c>
    </row>
    <row r="1648" spans="44:45" x14ac:dyDescent="0.25">
      <c r="AR1648" s="11">
        <v>0.55500000000000027</v>
      </c>
      <c r="AS1648" s="7">
        <v>0.14722431864335458</v>
      </c>
    </row>
    <row r="1649" spans="44:45" x14ac:dyDescent="0.25">
      <c r="AR1649" s="11">
        <v>0.56500000000000028</v>
      </c>
      <c r="AS1649" s="7">
        <v>0.14722431864335458</v>
      </c>
    </row>
    <row r="1650" spans="44:45" x14ac:dyDescent="0.25">
      <c r="AR1650" s="11">
        <v>0.57500000000000029</v>
      </c>
      <c r="AS1650" s="7">
        <v>0.14722431864335458</v>
      </c>
    </row>
    <row r="1651" spans="44:45" x14ac:dyDescent="0.25">
      <c r="AR1651" s="11">
        <v>0.5850000000000003</v>
      </c>
      <c r="AS1651" s="7">
        <v>0.14722431864335458</v>
      </c>
    </row>
    <row r="1652" spans="44:45" x14ac:dyDescent="0.25">
      <c r="AR1652" s="11">
        <v>0.59500000000000031</v>
      </c>
      <c r="AS1652" s="7">
        <v>0.14722431864335458</v>
      </c>
    </row>
    <row r="1653" spans="44:45" x14ac:dyDescent="0.25">
      <c r="AR1653" s="11">
        <v>0.60500000000000032</v>
      </c>
      <c r="AS1653" s="7">
        <v>0.14722431864335458</v>
      </c>
    </row>
    <row r="1654" spans="44:45" x14ac:dyDescent="0.25">
      <c r="AR1654" s="11">
        <v>0.61500000000000032</v>
      </c>
      <c r="AS1654" s="7">
        <v>0.14722431864335458</v>
      </c>
    </row>
    <row r="1655" spans="44:45" x14ac:dyDescent="0.25">
      <c r="AR1655" s="11">
        <v>0.62500000000000033</v>
      </c>
      <c r="AS1655" s="7">
        <v>0.14722431864335458</v>
      </c>
    </row>
    <row r="1656" spans="44:45" x14ac:dyDescent="0.25">
      <c r="AR1656" s="11">
        <v>0.63500000000000034</v>
      </c>
      <c r="AS1656" s="7">
        <v>0.14722431864335458</v>
      </c>
    </row>
    <row r="1657" spans="44:45" x14ac:dyDescent="0.25">
      <c r="AR1657" s="11">
        <v>0.64500000000000035</v>
      </c>
      <c r="AS1657" s="7">
        <v>0.14722431864335458</v>
      </c>
    </row>
    <row r="1658" spans="44:45" x14ac:dyDescent="0.25">
      <c r="AR1658" s="11">
        <v>0.65500000000000036</v>
      </c>
      <c r="AS1658" s="7">
        <v>0.14722431864335458</v>
      </c>
    </row>
    <row r="1659" spans="44:45" x14ac:dyDescent="0.25">
      <c r="AR1659" s="11">
        <v>0.66500000000000037</v>
      </c>
      <c r="AS1659" s="7">
        <v>0.14722431864335458</v>
      </c>
    </row>
    <row r="1660" spans="44:45" x14ac:dyDescent="0.25">
      <c r="AR1660" s="11">
        <v>0.67500000000000038</v>
      </c>
      <c r="AS1660" s="7">
        <v>0.14722431864335458</v>
      </c>
    </row>
    <row r="1661" spans="44:45" x14ac:dyDescent="0.25">
      <c r="AR1661" s="11">
        <v>0.68500000000000039</v>
      </c>
      <c r="AS1661" s="7">
        <v>0.14722431864335458</v>
      </c>
    </row>
    <row r="1662" spans="44:45" x14ac:dyDescent="0.25">
      <c r="AR1662" s="11">
        <v>0.6950000000000004</v>
      </c>
      <c r="AS1662" s="7">
        <v>0.14722431864335458</v>
      </c>
    </row>
    <row r="1663" spans="44:45" x14ac:dyDescent="0.25">
      <c r="AR1663" s="11">
        <v>0.7050000000000004</v>
      </c>
      <c r="AS1663" s="7">
        <v>0.14722431864335458</v>
      </c>
    </row>
    <row r="1664" spans="44:45" x14ac:dyDescent="0.25">
      <c r="AR1664" s="11">
        <v>0.71500000000000041</v>
      </c>
      <c r="AS1664" s="7">
        <v>0.14722431864335458</v>
      </c>
    </row>
    <row r="1665" spans="44:45" x14ac:dyDescent="0.25">
      <c r="AR1665" s="11">
        <v>0.72500000000000042</v>
      </c>
      <c r="AS1665" s="7">
        <v>0.14722431864335458</v>
      </c>
    </row>
    <row r="1666" spans="44:45" x14ac:dyDescent="0.25">
      <c r="AR1666" s="11">
        <v>0.73500000000000043</v>
      </c>
      <c r="AS1666" s="7">
        <v>0.14722431864335458</v>
      </c>
    </row>
    <row r="1667" spans="44:45" x14ac:dyDescent="0.25">
      <c r="AR1667" s="11">
        <v>0.74500000000000044</v>
      </c>
      <c r="AS1667" s="7">
        <v>0.14722431864335458</v>
      </c>
    </row>
    <row r="1668" spans="44:45" x14ac:dyDescent="0.25">
      <c r="AR1668" s="11">
        <v>0.75500000000000045</v>
      </c>
      <c r="AS1668" s="7">
        <v>0.14722431864335458</v>
      </c>
    </row>
    <row r="1669" spans="44:45" x14ac:dyDescent="0.25">
      <c r="AR1669" s="11">
        <v>0.76500000000000046</v>
      </c>
      <c r="AS1669" s="7">
        <v>0.14722431864335458</v>
      </c>
    </row>
    <row r="1670" spans="44:45" x14ac:dyDescent="0.25">
      <c r="AR1670" s="11">
        <v>0.77500000000000047</v>
      </c>
      <c r="AS1670" s="7">
        <v>0.14722431864335458</v>
      </c>
    </row>
    <row r="1671" spans="44:45" x14ac:dyDescent="0.25">
      <c r="AR1671" s="11">
        <v>0.78500000000000048</v>
      </c>
      <c r="AS1671" s="7">
        <v>0.14722431864335458</v>
      </c>
    </row>
    <row r="1672" spans="44:45" x14ac:dyDescent="0.25">
      <c r="AR1672" s="11">
        <v>0.79500000000000048</v>
      </c>
      <c r="AS1672" s="7">
        <v>0.14722431864335458</v>
      </c>
    </row>
    <row r="1673" spans="44:45" x14ac:dyDescent="0.25">
      <c r="AR1673" s="11">
        <v>0.80500000000000049</v>
      </c>
      <c r="AS1673" s="7">
        <v>0.14722431864335458</v>
      </c>
    </row>
    <row r="1674" spans="44:45" x14ac:dyDescent="0.25">
      <c r="AR1674" s="11">
        <v>0.8150000000000005</v>
      </c>
      <c r="AS1674" s="7">
        <v>0.14722431864335458</v>
      </c>
    </row>
    <row r="1675" spans="44:45" x14ac:dyDescent="0.25">
      <c r="AR1675" s="11">
        <v>0.82500000000000051</v>
      </c>
      <c r="AS1675" s="7">
        <v>0.14722431864335458</v>
      </c>
    </row>
    <row r="1676" spans="44:45" x14ac:dyDescent="0.25">
      <c r="AR1676" s="11">
        <v>0.83500000000000052</v>
      </c>
      <c r="AS1676" s="7">
        <v>0.14722431864335458</v>
      </c>
    </row>
    <row r="1677" spans="44:45" x14ac:dyDescent="0.25">
      <c r="AR1677" s="11">
        <v>0.84500000000000053</v>
      </c>
      <c r="AS1677" s="7">
        <v>0.14722431864335458</v>
      </c>
    </row>
    <row r="1678" spans="44:45" x14ac:dyDescent="0.25">
      <c r="AR1678" s="11">
        <v>0.85500000000000054</v>
      </c>
      <c r="AS1678" s="7">
        <v>0.14722431864335458</v>
      </c>
    </row>
    <row r="1679" spans="44:45" x14ac:dyDescent="0.25">
      <c r="AR1679" s="11">
        <v>0.86500000000000055</v>
      </c>
      <c r="AS1679" s="7">
        <v>0.14722431864335458</v>
      </c>
    </row>
    <row r="1680" spans="44:45" x14ac:dyDescent="0.25">
      <c r="AR1680" s="11">
        <v>0.87500000000000056</v>
      </c>
      <c r="AS1680" s="7">
        <v>0.14722431864335458</v>
      </c>
    </row>
    <row r="1681" spans="44:45" x14ac:dyDescent="0.25">
      <c r="AR1681" s="11">
        <v>0.88500000000000056</v>
      </c>
      <c r="AS1681" s="7">
        <v>0.14722431864335458</v>
      </c>
    </row>
    <row r="1682" spans="44:45" x14ac:dyDescent="0.25">
      <c r="AR1682" s="11">
        <v>0.89500000000000057</v>
      </c>
      <c r="AS1682" s="7">
        <v>0.14722431864335458</v>
      </c>
    </row>
    <row r="1683" spans="44:45" x14ac:dyDescent="0.25">
      <c r="AR1683" s="11">
        <v>0.90500000000000058</v>
      </c>
      <c r="AS1683" s="7">
        <v>0.14722431864335458</v>
      </c>
    </row>
    <row r="1684" spans="44:45" x14ac:dyDescent="0.25">
      <c r="AR1684" s="11">
        <v>0.91500000000000059</v>
      </c>
      <c r="AS1684" s="7">
        <v>0.14722431864335458</v>
      </c>
    </row>
    <row r="1685" spans="44:45" x14ac:dyDescent="0.25">
      <c r="AR1685" s="11"/>
      <c r="AS1685" s="7"/>
    </row>
    <row r="1686" spans="44:45" x14ac:dyDescent="0.25">
      <c r="AR1686" s="11">
        <v>0.09</v>
      </c>
      <c r="AS1686" s="7">
        <v>0.15588457268119896</v>
      </c>
    </row>
    <row r="1687" spans="44:45" x14ac:dyDescent="0.25">
      <c r="AR1687" s="11">
        <v>9.9999999999999992E-2</v>
      </c>
      <c r="AS1687" s="7">
        <v>0.15588457268119896</v>
      </c>
    </row>
    <row r="1688" spans="44:45" x14ac:dyDescent="0.25">
      <c r="AR1688" s="11">
        <v>0.10999999999999999</v>
      </c>
      <c r="AS1688" s="7">
        <v>0.15588457268119896</v>
      </c>
    </row>
    <row r="1689" spans="44:45" x14ac:dyDescent="0.25">
      <c r="AR1689" s="11">
        <v>0.11999999999999998</v>
      </c>
      <c r="AS1689" s="7">
        <v>0.15588457268119896</v>
      </c>
    </row>
    <row r="1690" spans="44:45" x14ac:dyDescent="0.25">
      <c r="AR1690" s="11">
        <v>0.12999999999999998</v>
      </c>
      <c r="AS1690" s="7">
        <v>0.15588457268119896</v>
      </c>
    </row>
    <row r="1691" spans="44:45" x14ac:dyDescent="0.25">
      <c r="AR1691" s="11">
        <v>0.13999999999999999</v>
      </c>
      <c r="AS1691" s="7">
        <v>0.15588457268119896</v>
      </c>
    </row>
    <row r="1692" spans="44:45" x14ac:dyDescent="0.25">
      <c r="AR1692" s="11">
        <v>0.15</v>
      </c>
      <c r="AS1692" s="7">
        <v>0.15588457268119896</v>
      </c>
    </row>
    <row r="1693" spans="44:45" x14ac:dyDescent="0.25">
      <c r="AR1693" s="11">
        <v>0.16</v>
      </c>
      <c r="AS1693" s="7">
        <v>0.15588457268119896</v>
      </c>
    </row>
    <row r="1694" spans="44:45" x14ac:dyDescent="0.25">
      <c r="AR1694" s="11">
        <v>0.17</v>
      </c>
      <c r="AS1694" s="7">
        <v>0.15588457268119896</v>
      </c>
    </row>
    <row r="1695" spans="44:45" x14ac:dyDescent="0.25">
      <c r="AR1695" s="11">
        <v>0.18000000000000002</v>
      </c>
      <c r="AS1695" s="7">
        <v>0.15588457268119896</v>
      </c>
    </row>
    <row r="1696" spans="44:45" x14ac:dyDescent="0.25">
      <c r="AR1696" s="11">
        <v>0.19000000000000003</v>
      </c>
      <c r="AS1696" s="7">
        <v>0.15588457268119896</v>
      </c>
    </row>
    <row r="1697" spans="44:45" x14ac:dyDescent="0.25">
      <c r="AR1697" s="11">
        <v>0.20000000000000004</v>
      </c>
      <c r="AS1697" s="7">
        <v>0.15588457268119896</v>
      </c>
    </row>
    <row r="1698" spans="44:45" x14ac:dyDescent="0.25">
      <c r="AR1698" s="11">
        <v>0.21000000000000005</v>
      </c>
      <c r="AS1698" s="7">
        <v>0.15588457268119896</v>
      </c>
    </row>
    <row r="1699" spans="44:45" x14ac:dyDescent="0.25">
      <c r="AR1699" s="11">
        <v>0.22000000000000006</v>
      </c>
      <c r="AS1699" s="7">
        <v>0.15588457268119896</v>
      </c>
    </row>
    <row r="1700" spans="44:45" x14ac:dyDescent="0.25">
      <c r="AR1700" s="11">
        <v>0.23000000000000007</v>
      </c>
      <c r="AS1700" s="7">
        <v>0.15588457268119896</v>
      </c>
    </row>
    <row r="1701" spans="44:45" x14ac:dyDescent="0.25">
      <c r="AR1701" s="11">
        <v>0.24000000000000007</v>
      </c>
      <c r="AS1701" s="7">
        <v>0.15588457268119896</v>
      </c>
    </row>
    <row r="1702" spans="44:45" x14ac:dyDescent="0.25">
      <c r="AR1702" s="11">
        <v>0.25000000000000006</v>
      </c>
      <c r="AS1702" s="7">
        <v>0.15588457268119896</v>
      </c>
    </row>
    <row r="1703" spans="44:45" x14ac:dyDescent="0.25">
      <c r="AR1703" s="11">
        <v>0.26000000000000006</v>
      </c>
      <c r="AS1703" s="7">
        <v>0.15588457268119896</v>
      </c>
    </row>
    <row r="1704" spans="44:45" x14ac:dyDescent="0.25">
      <c r="AR1704" s="11">
        <v>0.27000000000000007</v>
      </c>
      <c r="AS1704" s="7">
        <v>0.15588457268119896</v>
      </c>
    </row>
    <row r="1705" spans="44:45" x14ac:dyDescent="0.25">
      <c r="AR1705" s="11">
        <v>0.28000000000000008</v>
      </c>
      <c r="AS1705" s="7">
        <v>0.15588457268119896</v>
      </c>
    </row>
    <row r="1706" spans="44:45" x14ac:dyDescent="0.25">
      <c r="AR1706" s="11">
        <v>0.29000000000000009</v>
      </c>
      <c r="AS1706" s="7">
        <v>0.15588457268119896</v>
      </c>
    </row>
    <row r="1707" spans="44:45" x14ac:dyDescent="0.25">
      <c r="AR1707" s="11">
        <v>0.3000000000000001</v>
      </c>
      <c r="AS1707" s="7">
        <v>0.15588457268119896</v>
      </c>
    </row>
    <row r="1708" spans="44:45" x14ac:dyDescent="0.25">
      <c r="AR1708" s="11">
        <v>0.31000000000000011</v>
      </c>
      <c r="AS1708" s="7">
        <v>0.15588457268119896</v>
      </c>
    </row>
    <row r="1709" spans="44:45" x14ac:dyDescent="0.25">
      <c r="AR1709" s="11">
        <v>0.32000000000000012</v>
      </c>
      <c r="AS1709" s="7">
        <v>0.15588457268119896</v>
      </c>
    </row>
    <row r="1710" spans="44:45" x14ac:dyDescent="0.25">
      <c r="AR1710" s="11">
        <v>0.33000000000000013</v>
      </c>
      <c r="AS1710" s="7">
        <v>0.15588457268119896</v>
      </c>
    </row>
    <row r="1711" spans="44:45" x14ac:dyDescent="0.25">
      <c r="AR1711" s="11">
        <v>0.34000000000000014</v>
      </c>
      <c r="AS1711" s="7">
        <v>0.15588457268119896</v>
      </c>
    </row>
    <row r="1712" spans="44:45" x14ac:dyDescent="0.25">
      <c r="AR1712" s="11">
        <v>0.35000000000000014</v>
      </c>
      <c r="AS1712" s="7">
        <v>0.15588457268119896</v>
      </c>
    </row>
    <row r="1713" spans="44:45" x14ac:dyDescent="0.25">
      <c r="AR1713" s="11">
        <v>0.36000000000000015</v>
      </c>
      <c r="AS1713" s="7">
        <v>0.15588457268119896</v>
      </c>
    </row>
    <row r="1714" spans="44:45" x14ac:dyDescent="0.25">
      <c r="AR1714" s="11">
        <v>0.37000000000000016</v>
      </c>
      <c r="AS1714" s="7">
        <v>0.15588457268119896</v>
      </c>
    </row>
    <row r="1715" spans="44:45" x14ac:dyDescent="0.25">
      <c r="AR1715" s="11">
        <v>0.38000000000000017</v>
      </c>
      <c r="AS1715" s="7">
        <v>0.15588457268119896</v>
      </c>
    </row>
    <row r="1716" spans="44:45" x14ac:dyDescent="0.25">
      <c r="AR1716" s="11">
        <v>0.39000000000000018</v>
      </c>
      <c r="AS1716" s="7">
        <v>0.15588457268119896</v>
      </c>
    </row>
    <row r="1717" spans="44:45" x14ac:dyDescent="0.25">
      <c r="AR1717" s="11">
        <v>0.40000000000000019</v>
      </c>
      <c r="AS1717" s="7">
        <v>0.15588457268119896</v>
      </c>
    </row>
    <row r="1718" spans="44:45" x14ac:dyDescent="0.25">
      <c r="AR1718" s="11">
        <v>0.4100000000000002</v>
      </c>
      <c r="AS1718" s="7">
        <v>0.15588457268119896</v>
      </c>
    </row>
    <row r="1719" spans="44:45" x14ac:dyDescent="0.25">
      <c r="AR1719" s="11">
        <v>0.42000000000000021</v>
      </c>
      <c r="AS1719" s="7">
        <v>0.15588457268119896</v>
      </c>
    </row>
    <row r="1720" spans="44:45" x14ac:dyDescent="0.25">
      <c r="AR1720" s="11">
        <v>0.43000000000000022</v>
      </c>
      <c r="AS1720" s="7">
        <v>0.15588457268119896</v>
      </c>
    </row>
    <row r="1721" spans="44:45" x14ac:dyDescent="0.25">
      <c r="AR1721" s="11">
        <v>0.44000000000000022</v>
      </c>
      <c r="AS1721" s="7">
        <v>0.15588457268119896</v>
      </c>
    </row>
    <row r="1722" spans="44:45" x14ac:dyDescent="0.25">
      <c r="AR1722" s="11">
        <v>0.45000000000000023</v>
      </c>
      <c r="AS1722" s="7">
        <v>0.15588457268119896</v>
      </c>
    </row>
    <row r="1723" spans="44:45" x14ac:dyDescent="0.25">
      <c r="AR1723" s="11">
        <v>0.46000000000000024</v>
      </c>
      <c r="AS1723" s="7">
        <v>0.15588457268119896</v>
      </c>
    </row>
    <row r="1724" spans="44:45" x14ac:dyDescent="0.25">
      <c r="AR1724" s="11">
        <v>0.47000000000000025</v>
      </c>
      <c r="AS1724" s="7">
        <v>0.15588457268119896</v>
      </c>
    </row>
    <row r="1725" spans="44:45" x14ac:dyDescent="0.25">
      <c r="AR1725" s="11">
        <v>0.48000000000000026</v>
      </c>
      <c r="AS1725" s="7">
        <v>0.15588457268119896</v>
      </c>
    </row>
    <row r="1726" spans="44:45" x14ac:dyDescent="0.25">
      <c r="AR1726" s="11">
        <v>0.49000000000000027</v>
      </c>
      <c r="AS1726" s="7">
        <v>0.15588457268119896</v>
      </c>
    </row>
    <row r="1727" spans="44:45" x14ac:dyDescent="0.25">
      <c r="AR1727" s="11">
        <v>0.50000000000000022</v>
      </c>
      <c r="AS1727" s="7">
        <v>0.15588457268119896</v>
      </c>
    </row>
    <row r="1728" spans="44:45" x14ac:dyDescent="0.25">
      <c r="AR1728" s="11">
        <v>0.51000000000000023</v>
      </c>
      <c r="AS1728" s="7">
        <v>0.15588457268119896</v>
      </c>
    </row>
    <row r="1729" spans="44:45" x14ac:dyDescent="0.25">
      <c r="AR1729" s="11">
        <v>0.52000000000000024</v>
      </c>
      <c r="AS1729" s="7">
        <v>0.15588457268119896</v>
      </c>
    </row>
    <row r="1730" spans="44:45" x14ac:dyDescent="0.25">
      <c r="AR1730" s="11">
        <v>0.53000000000000025</v>
      </c>
      <c r="AS1730" s="7">
        <v>0.15588457268119896</v>
      </c>
    </row>
    <row r="1731" spans="44:45" x14ac:dyDescent="0.25">
      <c r="AR1731" s="11">
        <v>0.54000000000000026</v>
      </c>
      <c r="AS1731" s="7">
        <v>0.15588457268119896</v>
      </c>
    </row>
    <row r="1732" spans="44:45" x14ac:dyDescent="0.25">
      <c r="AR1732" s="11">
        <v>0.55000000000000027</v>
      </c>
      <c r="AS1732" s="7">
        <v>0.15588457268119896</v>
      </c>
    </row>
    <row r="1733" spans="44:45" x14ac:dyDescent="0.25">
      <c r="AR1733" s="11">
        <v>0.56000000000000028</v>
      </c>
      <c r="AS1733" s="7">
        <v>0.15588457268119896</v>
      </c>
    </row>
    <row r="1734" spans="44:45" x14ac:dyDescent="0.25">
      <c r="AR1734" s="11">
        <v>0.57000000000000028</v>
      </c>
      <c r="AS1734" s="7">
        <v>0.15588457268119896</v>
      </c>
    </row>
    <row r="1735" spans="44:45" x14ac:dyDescent="0.25">
      <c r="AR1735" s="11">
        <v>0.58000000000000029</v>
      </c>
      <c r="AS1735" s="7">
        <v>0.15588457268119896</v>
      </c>
    </row>
    <row r="1736" spans="44:45" x14ac:dyDescent="0.25">
      <c r="AR1736" s="11">
        <v>0.5900000000000003</v>
      </c>
      <c r="AS1736" s="7">
        <v>0.15588457268119896</v>
      </c>
    </row>
    <row r="1737" spans="44:45" x14ac:dyDescent="0.25">
      <c r="AR1737" s="11">
        <v>0.60000000000000031</v>
      </c>
      <c r="AS1737" s="7">
        <v>0.15588457268119896</v>
      </c>
    </row>
    <row r="1738" spans="44:45" x14ac:dyDescent="0.25">
      <c r="AR1738" s="11">
        <v>0.61000000000000032</v>
      </c>
      <c r="AS1738" s="7">
        <v>0.15588457268119896</v>
      </c>
    </row>
    <row r="1739" spans="44:45" x14ac:dyDescent="0.25">
      <c r="AR1739" s="11">
        <v>0.62000000000000033</v>
      </c>
      <c r="AS1739" s="7">
        <v>0.15588457268119896</v>
      </c>
    </row>
    <row r="1740" spans="44:45" x14ac:dyDescent="0.25">
      <c r="AR1740" s="11">
        <v>0.63000000000000034</v>
      </c>
      <c r="AS1740" s="7">
        <v>0.15588457268119896</v>
      </c>
    </row>
    <row r="1741" spans="44:45" x14ac:dyDescent="0.25">
      <c r="AR1741" s="11">
        <v>0.64000000000000035</v>
      </c>
      <c r="AS1741" s="7">
        <v>0.15588457268119896</v>
      </c>
    </row>
    <row r="1742" spans="44:45" x14ac:dyDescent="0.25">
      <c r="AR1742" s="11">
        <v>0.65000000000000036</v>
      </c>
      <c r="AS1742" s="7">
        <v>0.15588457268119896</v>
      </c>
    </row>
    <row r="1743" spans="44:45" x14ac:dyDescent="0.25">
      <c r="AR1743" s="11">
        <v>0.66000000000000036</v>
      </c>
      <c r="AS1743" s="7">
        <v>0.15588457268119896</v>
      </c>
    </row>
    <row r="1744" spans="44:45" x14ac:dyDescent="0.25">
      <c r="AR1744" s="11">
        <v>0.67000000000000037</v>
      </c>
      <c r="AS1744" s="7">
        <v>0.15588457268119896</v>
      </c>
    </row>
    <row r="1745" spans="44:45" x14ac:dyDescent="0.25">
      <c r="AR1745" s="11">
        <v>0.68000000000000038</v>
      </c>
      <c r="AS1745" s="7">
        <v>0.15588457268119896</v>
      </c>
    </row>
    <row r="1746" spans="44:45" x14ac:dyDescent="0.25">
      <c r="AR1746" s="11">
        <v>0.69000000000000039</v>
      </c>
      <c r="AS1746" s="7">
        <v>0.15588457268119896</v>
      </c>
    </row>
    <row r="1747" spans="44:45" x14ac:dyDescent="0.25">
      <c r="AR1747" s="11">
        <v>0.7000000000000004</v>
      </c>
      <c r="AS1747" s="7">
        <v>0.15588457268119896</v>
      </c>
    </row>
    <row r="1748" spans="44:45" x14ac:dyDescent="0.25">
      <c r="AR1748" s="11">
        <v>0.71000000000000041</v>
      </c>
      <c r="AS1748" s="7">
        <v>0.15588457268119896</v>
      </c>
    </row>
    <row r="1749" spans="44:45" x14ac:dyDescent="0.25">
      <c r="AR1749" s="11">
        <v>0.72000000000000042</v>
      </c>
      <c r="AS1749" s="7">
        <v>0.15588457268119896</v>
      </c>
    </row>
    <row r="1750" spans="44:45" x14ac:dyDescent="0.25">
      <c r="AR1750" s="11">
        <v>0.73000000000000043</v>
      </c>
      <c r="AS1750" s="7">
        <v>0.15588457268119896</v>
      </c>
    </row>
    <row r="1751" spans="44:45" x14ac:dyDescent="0.25">
      <c r="AR1751" s="11">
        <v>0.74000000000000044</v>
      </c>
      <c r="AS1751" s="7">
        <v>0.15588457268119896</v>
      </c>
    </row>
    <row r="1752" spans="44:45" x14ac:dyDescent="0.25">
      <c r="AR1752" s="11">
        <v>0.75000000000000044</v>
      </c>
      <c r="AS1752" s="7">
        <v>0.15588457268119896</v>
      </c>
    </row>
    <row r="1753" spans="44:45" x14ac:dyDescent="0.25">
      <c r="AR1753" s="11">
        <v>0.76000000000000045</v>
      </c>
      <c r="AS1753" s="7">
        <v>0.15588457268119896</v>
      </c>
    </row>
    <row r="1754" spans="44:45" x14ac:dyDescent="0.25">
      <c r="AR1754" s="11">
        <v>0.77000000000000046</v>
      </c>
      <c r="AS1754" s="7">
        <v>0.15588457268119896</v>
      </c>
    </row>
    <row r="1755" spans="44:45" x14ac:dyDescent="0.25">
      <c r="AR1755" s="11">
        <v>0.78000000000000047</v>
      </c>
      <c r="AS1755" s="7">
        <v>0.15588457268119896</v>
      </c>
    </row>
    <row r="1756" spans="44:45" x14ac:dyDescent="0.25">
      <c r="AR1756" s="11">
        <v>0.79000000000000048</v>
      </c>
      <c r="AS1756" s="7">
        <v>0.15588457268119896</v>
      </c>
    </row>
    <row r="1757" spans="44:45" x14ac:dyDescent="0.25">
      <c r="AR1757" s="11">
        <v>0.80000000000000049</v>
      </c>
      <c r="AS1757" s="7">
        <v>0.15588457268119896</v>
      </c>
    </row>
    <row r="1758" spans="44:45" x14ac:dyDescent="0.25">
      <c r="AR1758" s="11">
        <v>0.8100000000000005</v>
      </c>
      <c r="AS1758" s="7">
        <v>0.15588457268119896</v>
      </c>
    </row>
    <row r="1759" spans="44:45" x14ac:dyDescent="0.25">
      <c r="AR1759" s="11">
        <v>0.82000000000000051</v>
      </c>
      <c r="AS1759" s="7">
        <v>0.15588457268119896</v>
      </c>
    </row>
    <row r="1760" spans="44:45" x14ac:dyDescent="0.25">
      <c r="AR1760" s="11">
        <v>0.83000000000000052</v>
      </c>
      <c r="AS1760" s="7">
        <v>0.15588457268119896</v>
      </c>
    </row>
    <row r="1761" spans="44:45" x14ac:dyDescent="0.25">
      <c r="AR1761" s="11">
        <v>0.84000000000000052</v>
      </c>
      <c r="AS1761" s="7">
        <v>0.15588457268119896</v>
      </c>
    </row>
    <row r="1762" spans="44:45" x14ac:dyDescent="0.25">
      <c r="AR1762" s="11">
        <v>0.85000000000000053</v>
      </c>
      <c r="AS1762" s="7">
        <v>0.15588457268119896</v>
      </c>
    </row>
    <row r="1763" spans="44:45" x14ac:dyDescent="0.25">
      <c r="AR1763" s="11">
        <v>0.86000000000000054</v>
      </c>
      <c r="AS1763" s="7">
        <v>0.15588457268119896</v>
      </c>
    </row>
    <row r="1764" spans="44:45" x14ac:dyDescent="0.25">
      <c r="AR1764" s="11">
        <v>0.87000000000000055</v>
      </c>
      <c r="AS1764" s="7">
        <v>0.15588457268119896</v>
      </c>
    </row>
    <row r="1765" spans="44:45" x14ac:dyDescent="0.25">
      <c r="AR1765" s="11">
        <v>0.88000000000000056</v>
      </c>
      <c r="AS1765" s="7">
        <v>0.15588457268119896</v>
      </c>
    </row>
    <row r="1766" spans="44:45" x14ac:dyDescent="0.25">
      <c r="AR1766" s="11">
        <v>0.89000000000000057</v>
      </c>
      <c r="AS1766" s="7">
        <v>0.15588457268119896</v>
      </c>
    </row>
    <row r="1767" spans="44:45" x14ac:dyDescent="0.25">
      <c r="AR1767" s="11">
        <v>0.90000000000000058</v>
      </c>
      <c r="AS1767" s="7">
        <v>0.15588457268119896</v>
      </c>
    </row>
    <row r="1768" spans="44:45" x14ac:dyDescent="0.25">
      <c r="AR1768" s="11">
        <v>0.91000000000000059</v>
      </c>
      <c r="AS1768" s="7">
        <v>0.15588457268119896</v>
      </c>
    </row>
    <row r="1769" spans="44:45" x14ac:dyDescent="0.25">
      <c r="AR1769" s="11"/>
      <c r="AS1769" s="7"/>
    </row>
    <row r="1770" spans="44:45" x14ac:dyDescent="0.25">
      <c r="AR1770" s="11">
        <v>9.4999999999999987E-2</v>
      </c>
      <c r="AS1770" s="7">
        <v>0.16454482671904336</v>
      </c>
    </row>
    <row r="1771" spans="44:45" x14ac:dyDescent="0.25">
      <c r="AR1771" s="11">
        <v>0.10499999999999998</v>
      </c>
      <c r="AS1771" s="7">
        <v>0.16454482671904336</v>
      </c>
    </row>
    <row r="1772" spans="44:45" x14ac:dyDescent="0.25">
      <c r="AR1772" s="11">
        <v>0.11499999999999998</v>
      </c>
      <c r="AS1772" s="7">
        <v>0.16454482671904336</v>
      </c>
    </row>
    <row r="1773" spans="44:45" x14ac:dyDescent="0.25">
      <c r="AR1773" s="11">
        <v>0.12499999999999997</v>
      </c>
      <c r="AS1773" s="7">
        <v>0.16454482671904336</v>
      </c>
    </row>
    <row r="1774" spans="44:45" x14ac:dyDescent="0.25">
      <c r="AR1774" s="11">
        <v>0.13499999999999998</v>
      </c>
      <c r="AS1774" s="7">
        <v>0.16454482671904336</v>
      </c>
    </row>
    <row r="1775" spans="44:45" x14ac:dyDescent="0.25">
      <c r="AR1775" s="11">
        <v>0.14499999999999999</v>
      </c>
      <c r="AS1775" s="7">
        <v>0.16454482671904336</v>
      </c>
    </row>
    <row r="1776" spans="44:45" x14ac:dyDescent="0.25">
      <c r="AR1776" s="11">
        <v>0.155</v>
      </c>
      <c r="AS1776" s="7">
        <v>0.16454482671904336</v>
      </c>
    </row>
    <row r="1777" spans="44:45" x14ac:dyDescent="0.25">
      <c r="AR1777" s="11">
        <v>0.16500000000000001</v>
      </c>
      <c r="AS1777" s="7">
        <v>0.16454482671904336</v>
      </c>
    </row>
    <row r="1778" spans="44:45" x14ac:dyDescent="0.25">
      <c r="AR1778" s="11">
        <v>0.17500000000000002</v>
      </c>
      <c r="AS1778" s="7">
        <v>0.16454482671904336</v>
      </c>
    </row>
    <row r="1779" spans="44:45" x14ac:dyDescent="0.25">
      <c r="AR1779" s="11">
        <v>0.18500000000000003</v>
      </c>
      <c r="AS1779" s="7">
        <v>0.16454482671904336</v>
      </c>
    </row>
    <row r="1780" spans="44:45" x14ac:dyDescent="0.25">
      <c r="AR1780" s="11">
        <v>0.19500000000000003</v>
      </c>
      <c r="AS1780" s="7">
        <v>0.16454482671904336</v>
      </c>
    </row>
    <row r="1781" spans="44:45" x14ac:dyDescent="0.25">
      <c r="AR1781" s="11">
        <v>0.20500000000000004</v>
      </c>
      <c r="AS1781" s="7">
        <v>0.16454482671904336</v>
      </c>
    </row>
    <row r="1782" spans="44:45" x14ac:dyDescent="0.25">
      <c r="AR1782" s="11">
        <v>0.21500000000000005</v>
      </c>
      <c r="AS1782" s="7">
        <v>0.16454482671904336</v>
      </c>
    </row>
    <row r="1783" spans="44:45" x14ac:dyDescent="0.25">
      <c r="AR1783" s="11">
        <v>0.22500000000000006</v>
      </c>
      <c r="AS1783" s="7">
        <v>0.16454482671904336</v>
      </c>
    </row>
    <row r="1784" spans="44:45" x14ac:dyDescent="0.25">
      <c r="AR1784" s="11">
        <v>0.23500000000000007</v>
      </c>
      <c r="AS1784" s="7">
        <v>0.16454482671904336</v>
      </c>
    </row>
    <row r="1785" spans="44:45" x14ac:dyDescent="0.25">
      <c r="AR1785" s="11">
        <v>0.24500000000000008</v>
      </c>
      <c r="AS1785" s="7">
        <v>0.16454482671904336</v>
      </c>
    </row>
    <row r="1786" spans="44:45" x14ac:dyDescent="0.25">
      <c r="AR1786" s="11">
        <v>0.25500000000000006</v>
      </c>
      <c r="AS1786" s="7">
        <v>0.16454482671904336</v>
      </c>
    </row>
    <row r="1787" spans="44:45" x14ac:dyDescent="0.25">
      <c r="AR1787" s="11">
        <v>0.26500000000000007</v>
      </c>
      <c r="AS1787" s="7">
        <v>0.16454482671904336</v>
      </c>
    </row>
    <row r="1788" spans="44:45" x14ac:dyDescent="0.25">
      <c r="AR1788" s="11">
        <v>0.27500000000000008</v>
      </c>
      <c r="AS1788" s="7">
        <v>0.16454482671904336</v>
      </c>
    </row>
    <row r="1789" spans="44:45" x14ac:dyDescent="0.25">
      <c r="AR1789" s="11">
        <v>0.28500000000000009</v>
      </c>
      <c r="AS1789" s="7">
        <v>0.16454482671904336</v>
      </c>
    </row>
    <row r="1790" spans="44:45" x14ac:dyDescent="0.25">
      <c r="AR1790" s="11">
        <v>0.2950000000000001</v>
      </c>
      <c r="AS1790" s="7">
        <v>0.16454482671904336</v>
      </c>
    </row>
    <row r="1791" spans="44:45" x14ac:dyDescent="0.25">
      <c r="AR1791" s="11">
        <v>0.3050000000000001</v>
      </c>
      <c r="AS1791" s="7">
        <v>0.16454482671904336</v>
      </c>
    </row>
    <row r="1792" spans="44:45" x14ac:dyDescent="0.25">
      <c r="AR1792" s="11">
        <v>0.31500000000000011</v>
      </c>
      <c r="AS1792" s="7">
        <v>0.16454482671904336</v>
      </c>
    </row>
    <row r="1793" spans="44:45" x14ac:dyDescent="0.25">
      <c r="AR1793" s="11">
        <v>0.32500000000000012</v>
      </c>
      <c r="AS1793" s="7">
        <v>0.16454482671904336</v>
      </c>
    </row>
    <row r="1794" spans="44:45" x14ac:dyDescent="0.25">
      <c r="AR1794" s="11">
        <v>0.33500000000000013</v>
      </c>
      <c r="AS1794" s="7">
        <v>0.16454482671904336</v>
      </c>
    </row>
    <row r="1795" spans="44:45" x14ac:dyDescent="0.25">
      <c r="AR1795" s="11">
        <v>0.34500000000000014</v>
      </c>
      <c r="AS1795" s="7">
        <v>0.16454482671904336</v>
      </c>
    </row>
    <row r="1796" spans="44:45" x14ac:dyDescent="0.25">
      <c r="AR1796" s="11">
        <v>0.35500000000000015</v>
      </c>
      <c r="AS1796" s="7">
        <v>0.16454482671904336</v>
      </c>
    </row>
    <row r="1797" spans="44:45" x14ac:dyDescent="0.25">
      <c r="AR1797" s="11">
        <v>0.36500000000000016</v>
      </c>
      <c r="AS1797" s="7">
        <v>0.16454482671904336</v>
      </c>
    </row>
    <row r="1798" spans="44:45" x14ac:dyDescent="0.25">
      <c r="AR1798" s="11">
        <v>0.37500000000000017</v>
      </c>
      <c r="AS1798" s="7">
        <v>0.16454482671904336</v>
      </c>
    </row>
    <row r="1799" spans="44:45" x14ac:dyDescent="0.25">
      <c r="AR1799" s="11">
        <v>0.38500000000000018</v>
      </c>
      <c r="AS1799" s="7">
        <v>0.16454482671904336</v>
      </c>
    </row>
    <row r="1800" spans="44:45" x14ac:dyDescent="0.25">
      <c r="AR1800" s="11">
        <v>0.39500000000000018</v>
      </c>
      <c r="AS1800" s="7">
        <v>0.16454482671904336</v>
      </c>
    </row>
    <row r="1801" spans="44:45" x14ac:dyDescent="0.25">
      <c r="AR1801" s="11">
        <v>0.40500000000000019</v>
      </c>
      <c r="AS1801" s="7">
        <v>0.16454482671904336</v>
      </c>
    </row>
    <row r="1802" spans="44:45" x14ac:dyDescent="0.25">
      <c r="AR1802" s="11">
        <v>0.4150000000000002</v>
      </c>
      <c r="AS1802" s="7">
        <v>0.16454482671904336</v>
      </c>
    </row>
    <row r="1803" spans="44:45" x14ac:dyDescent="0.25">
      <c r="AR1803" s="11">
        <v>0.42500000000000021</v>
      </c>
      <c r="AS1803" s="7">
        <v>0.16454482671904336</v>
      </c>
    </row>
    <row r="1804" spans="44:45" x14ac:dyDescent="0.25">
      <c r="AR1804" s="11">
        <v>0.43500000000000022</v>
      </c>
      <c r="AS1804" s="7">
        <v>0.16454482671904336</v>
      </c>
    </row>
    <row r="1805" spans="44:45" x14ac:dyDescent="0.25">
      <c r="AR1805" s="11">
        <v>0.44500000000000023</v>
      </c>
      <c r="AS1805" s="7">
        <v>0.16454482671904336</v>
      </c>
    </row>
    <row r="1806" spans="44:45" x14ac:dyDescent="0.25">
      <c r="AR1806" s="11">
        <v>0.45500000000000024</v>
      </c>
      <c r="AS1806" s="7">
        <v>0.16454482671904336</v>
      </c>
    </row>
    <row r="1807" spans="44:45" x14ac:dyDescent="0.25">
      <c r="AR1807" s="11">
        <v>0.46500000000000025</v>
      </c>
      <c r="AS1807" s="7">
        <v>0.16454482671904336</v>
      </c>
    </row>
    <row r="1808" spans="44:45" x14ac:dyDescent="0.25">
      <c r="AR1808" s="11">
        <v>0.47500000000000026</v>
      </c>
      <c r="AS1808" s="7">
        <v>0.16454482671904336</v>
      </c>
    </row>
    <row r="1809" spans="44:45" x14ac:dyDescent="0.25">
      <c r="AR1809" s="11">
        <v>0.48500000000000026</v>
      </c>
      <c r="AS1809" s="7">
        <v>0.16454482671904336</v>
      </c>
    </row>
    <row r="1810" spans="44:45" x14ac:dyDescent="0.25">
      <c r="AR1810" s="11">
        <v>0.49500000000000027</v>
      </c>
      <c r="AS1810" s="7">
        <v>0.16454482671904336</v>
      </c>
    </row>
    <row r="1811" spans="44:45" x14ac:dyDescent="0.25">
      <c r="AR1811" s="11">
        <v>0.50500000000000023</v>
      </c>
      <c r="AS1811" s="7">
        <v>0.16454482671904336</v>
      </c>
    </row>
    <row r="1812" spans="44:45" x14ac:dyDescent="0.25">
      <c r="AR1812" s="11">
        <v>0.51500000000000024</v>
      </c>
      <c r="AS1812" s="7">
        <v>0.16454482671904336</v>
      </c>
    </row>
    <row r="1813" spans="44:45" x14ac:dyDescent="0.25">
      <c r="AR1813" s="11">
        <v>0.52500000000000024</v>
      </c>
      <c r="AS1813" s="7">
        <v>0.16454482671904336</v>
      </c>
    </row>
    <row r="1814" spans="44:45" x14ac:dyDescent="0.25">
      <c r="AR1814" s="11">
        <v>0.53500000000000025</v>
      </c>
      <c r="AS1814" s="7">
        <v>0.16454482671904336</v>
      </c>
    </row>
    <row r="1815" spans="44:45" x14ac:dyDescent="0.25">
      <c r="AR1815" s="11">
        <v>0.54500000000000026</v>
      </c>
      <c r="AS1815" s="7">
        <v>0.16454482671904336</v>
      </c>
    </row>
    <row r="1816" spans="44:45" x14ac:dyDescent="0.25">
      <c r="AR1816" s="11">
        <v>0.55500000000000027</v>
      </c>
      <c r="AS1816" s="7">
        <v>0.16454482671904336</v>
      </c>
    </row>
    <row r="1817" spans="44:45" x14ac:dyDescent="0.25">
      <c r="AR1817" s="11">
        <v>0.56500000000000028</v>
      </c>
      <c r="AS1817" s="7">
        <v>0.16454482671904336</v>
      </c>
    </row>
    <row r="1818" spans="44:45" x14ac:dyDescent="0.25">
      <c r="AR1818" s="11">
        <v>0.57500000000000029</v>
      </c>
      <c r="AS1818" s="7">
        <v>0.16454482671904336</v>
      </c>
    </row>
    <row r="1819" spans="44:45" x14ac:dyDescent="0.25">
      <c r="AR1819" s="11">
        <v>0.5850000000000003</v>
      </c>
      <c r="AS1819" s="7">
        <v>0.16454482671904336</v>
      </c>
    </row>
    <row r="1820" spans="44:45" x14ac:dyDescent="0.25">
      <c r="AR1820" s="11">
        <v>0.59500000000000031</v>
      </c>
      <c r="AS1820" s="7">
        <v>0.16454482671904336</v>
      </c>
    </row>
    <row r="1821" spans="44:45" x14ac:dyDescent="0.25">
      <c r="AR1821" s="11">
        <v>0.60500000000000032</v>
      </c>
      <c r="AS1821" s="7">
        <v>0.16454482671904336</v>
      </c>
    </row>
    <row r="1822" spans="44:45" x14ac:dyDescent="0.25">
      <c r="AR1822" s="11">
        <v>0.61500000000000032</v>
      </c>
      <c r="AS1822" s="7">
        <v>0.16454482671904336</v>
      </c>
    </row>
    <row r="1823" spans="44:45" x14ac:dyDescent="0.25">
      <c r="AR1823" s="11">
        <v>0.62500000000000033</v>
      </c>
      <c r="AS1823" s="7">
        <v>0.16454482671904336</v>
      </c>
    </row>
    <row r="1824" spans="44:45" x14ac:dyDescent="0.25">
      <c r="AR1824" s="11">
        <v>0.63500000000000034</v>
      </c>
      <c r="AS1824" s="7">
        <v>0.16454482671904336</v>
      </c>
    </row>
    <row r="1825" spans="44:45" x14ac:dyDescent="0.25">
      <c r="AR1825" s="11">
        <v>0.64500000000000035</v>
      </c>
      <c r="AS1825" s="7">
        <v>0.16454482671904336</v>
      </c>
    </row>
    <row r="1826" spans="44:45" x14ac:dyDescent="0.25">
      <c r="AR1826" s="11">
        <v>0.65500000000000036</v>
      </c>
      <c r="AS1826" s="7">
        <v>0.16454482671904336</v>
      </c>
    </row>
    <row r="1827" spans="44:45" x14ac:dyDescent="0.25">
      <c r="AR1827" s="11">
        <v>0.66500000000000037</v>
      </c>
      <c r="AS1827" s="7">
        <v>0.16454482671904336</v>
      </c>
    </row>
    <row r="1828" spans="44:45" x14ac:dyDescent="0.25">
      <c r="AR1828" s="11">
        <v>0.67500000000000038</v>
      </c>
      <c r="AS1828" s="7">
        <v>0.16454482671904336</v>
      </c>
    </row>
    <row r="1829" spans="44:45" x14ac:dyDescent="0.25">
      <c r="AR1829" s="11">
        <v>0.68500000000000039</v>
      </c>
      <c r="AS1829" s="7">
        <v>0.16454482671904336</v>
      </c>
    </row>
    <row r="1830" spans="44:45" x14ac:dyDescent="0.25">
      <c r="AR1830" s="11">
        <v>0.6950000000000004</v>
      </c>
      <c r="AS1830" s="7">
        <v>0.16454482671904336</v>
      </c>
    </row>
    <row r="1831" spans="44:45" x14ac:dyDescent="0.25">
      <c r="AR1831" s="11">
        <v>0.7050000000000004</v>
      </c>
      <c r="AS1831" s="7">
        <v>0.16454482671904336</v>
      </c>
    </row>
    <row r="1832" spans="44:45" x14ac:dyDescent="0.25">
      <c r="AR1832" s="11">
        <v>0.71500000000000041</v>
      </c>
      <c r="AS1832" s="7">
        <v>0.16454482671904336</v>
      </c>
    </row>
    <row r="1833" spans="44:45" x14ac:dyDescent="0.25">
      <c r="AR1833" s="11">
        <v>0.72500000000000042</v>
      </c>
      <c r="AS1833" s="7">
        <v>0.16454482671904336</v>
      </c>
    </row>
    <row r="1834" spans="44:45" x14ac:dyDescent="0.25">
      <c r="AR1834" s="11">
        <v>0.73500000000000043</v>
      </c>
      <c r="AS1834" s="7">
        <v>0.16454482671904336</v>
      </c>
    </row>
    <row r="1835" spans="44:45" x14ac:dyDescent="0.25">
      <c r="AR1835" s="11">
        <v>0.74500000000000044</v>
      </c>
      <c r="AS1835" s="7">
        <v>0.16454482671904336</v>
      </c>
    </row>
    <row r="1836" spans="44:45" x14ac:dyDescent="0.25">
      <c r="AR1836" s="11">
        <v>0.75500000000000045</v>
      </c>
      <c r="AS1836" s="7">
        <v>0.16454482671904336</v>
      </c>
    </row>
    <row r="1837" spans="44:45" x14ac:dyDescent="0.25">
      <c r="AR1837" s="11">
        <v>0.76500000000000046</v>
      </c>
      <c r="AS1837" s="7">
        <v>0.16454482671904336</v>
      </c>
    </row>
    <row r="1838" spans="44:45" x14ac:dyDescent="0.25">
      <c r="AR1838" s="11">
        <v>0.77500000000000047</v>
      </c>
      <c r="AS1838" s="7">
        <v>0.16454482671904336</v>
      </c>
    </row>
    <row r="1839" spans="44:45" x14ac:dyDescent="0.25">
      <c r="AR1839" s="11">
        <v>0.78500000000000048</v>
      </c>
      <c r="AS1839" s="7">
        <v>0.16454482671904336</v>
      </c>
    </row>
    <row r="1840" spans="44:45" x14ac:dyDescent="0.25">
      <c r="AR1840" s="11">
        <v>0.79500000000000048</v>
      </c>
      <c r="AS1840" s="7">
        <v>0.16454482671904336</v>
      </c>
    </row>
    <row r="1841" spans="44:45" x14ac:dyDescent="0.25">
      <c r="AR1841" s="11">
        <v>0.80500000000000049</v>
      </c>
      <c r="AS1841" s="7">
        <v>0.16454482671904336</v>
      </c>
    </row>
    <row r="1842" spans="44:45" x14ac:dyDescent="0.25">
      <c r="AR1842" s="11">
        <v>0.8150000000000005</v>
      </c>
      <c r="AS1842" s="7">
        <v>0.16454482671904336</v>
      </c>
    </row>
    <row r="1843" spans="44:45" x14ac:dyDescent="0.25">
      <c r="AR1843" s="11">
        <v>0.82500000000000051</v>
      </c>
      <c r="AS1843" s="7">
        <v>0.16454482671904336</v>
      </c>
    </row>
    <row r="1844" spans="44:45" x14ac:dyDescent="0.25">
      <c r="AR1844" s="11">
        <v>0.83500000000000052</v>
      </c>
      <c r="AS1844" s="7">
        <v>0.16454482671904336</v>
      </c>
    </row>
    <row r="1845" spans="44:45" x14ac:dyDescent="0.25">
      <c r="AR1845" s="11">
        <v>0.84500000000000053</v>
      </c>
      <c r="AS1845" s="7">
        <v>0.16454482671904336</v>
      </c>
    </row>
    <row r="1846" spans="44:45" x14ac:dyDescent="0.25">
      <c r="AR1846" s="11">
        <v>0.85500000000000054</v>
      </c>
      <c r="AS1846" s="7">
        <v>0.16454482671904336</v>
      </c>
    </row>
    <row r="1847" spans="44:45" x14ac:dyDescent="0.25">
      <c r="AR1847" s="11">
        <v>0.86500000000000055</v>
      </c>
      <c r="AS1847" s="7">
        <v>0.16454482671904336</v>
      </c>
    </row>
    <row r="1848" spans="44:45" x14ac:dyDescent="0.25">
      <c r="AR1848" s="11">
        <v>0.87500000000000056</v>
      </c>
      <c r="AS1848" s="7">
        <v>0.16454482671904336</v>
      </c>
    </row>
    <row r="1849" spans="44:45" x14ac:dyDescent="0.25">
      <c r="AR1849" s="11">
        <v>0.88500000000000056</v>
      </c>
      <c r="AS1849" s="7">
        <v>0.16454482671904336</v>
      </c>
    </row>
    <row r="1850" spans="44:45" x14ac:dyDescent="0.25">
      <c r="AR1850" s="11">
        <v>0.89500000000000057</v>
      </c>
      <c r="AS1850" s="7">
        <v>0.16454482671904336</v>
      </c>
    </row>
    <row r="1851" spans="44:45" x14ac:dyDescent="0.25">
      <c r="AR1851" s="11">
        <v>0.90500000000000058</v>
      </c>
      <c r="AS1851" s="7">
        <v>0.16454482671904336</v>
      </c>
    </row>
    <row r="1852" spans="44:45" x14ac:dyDescent="0.25">
      <c r="AR1852" s="11"/>
      <c r="AS1852" s="7"/>
    </row>
    <row r="1853" spans="44:45" x14ac:dyDescent="0.25">
      <c r="AR1853" s="11">
        <v>9.9999999999999992E-2</v>
      </c>
      <c r="AS1853" s="7">
        <v>0.17320508075688776</v>
      </c>
    </row>
    <row r="1854" spans="44:45" x14ac:dyDescent="0.25">
      <c r="AR1854" s="11">
        <v>0.10999999999999999</v>
      </c>
      <c r="AS1854" s="7">
        <v>0.17320508075688776</v>
      </c>
    </row>
    <row r="1855" spans="44:45" x14ac:dyDescent="0.25">
      <c r="AR1855" s="11">
        <v>0.11999999999999998</v>
      </c>
      <c r="AS1855" s="7">
        <v>0.17320508075688776</v>
      </c>
    </row>
    <row r="1856" spans="44:45" x14ac:dyDescent="0.25">
      <c r="AR1856" s="11">
        <v>0.12999999999999998</v>
      </c>
      <c r="AS1856" s="7">
        <v>0.17320508075688776</v>
      </c>
    </row>
    <row r="1857" spans="44:45" x14ac:dyDescent="0.25">
      <c r="AR1857" s="11">
        <v>0.13999999999999999</v>
      </c>
      <c r="AS1857" s="7">
        <v>0.17320508075688776</v>
      </c>
    </row>
    <row r="1858" spans="44:45" x14ac:dyDescent="0.25">
      <c r="AR1858" s="11">
        <v>0.15</v>
      </c>
      <c r="AS1858" s="7">
        <v>0.17320508075688776</v>
      </c>
    </row>
    <row r="1859" spans="44:45" x14ac:dyDescent="0.25">
      <c r="AR1859" s="11">
        <v>0.16</v>
      </c>
      <c r="AS1859" s="7">
        <v>0.17320508075688776</v>
      </c>
    </row>
    <row r="1860" spans="44:45" x14ac:dyDescent="0.25">
      <c r="AR1860" s="11">
        <v>0.17</v>
      </c>
      <c r="AS1860" s="7">
        <v>0.17320508075688776</v>
      </c>
    </row>
    <row r="1861" spans="44:45" x14ac:dyDescent="0.25">
      <c r="AR1861" s="11">
        <v>0.18000000000000002</v>
      </c>
      <c r="AS1861" s="7">
        <v>0.17320508075688776</v>
      </c>
    </row>
    <row r="1862" spans="44:45" x14ac:dyDescent="0.25">
      <c r="AR1862" s="11">
        <v>0.19000000000000003</v>
      </c>
      <c r="AS1862" s="7">
        <v>0.17320508075688776</v>
      </c>
    </row>
    <row r="1863" spans="44:45" x14ac:dyDescent="0.25">
      <c r="AR1863" s="11">
        <v>0.20000000000000004</v>
      </c>
      <c r="AS1863" s="7">
        <v>0.17320508075688776</v>
      </c>
    </row>
    <row r="1864" spans="44:45" x14ac:dyDescent="0.25">
      <c r="AR1864" s="11">
        <v>0.21000000000000005</v>
      </c>
      <c r="AS1864" s="7">
        <v>0.17320508075688776</v>
      </c>
    </row>
    <row r="1865" spans="44:45" x14ac:dyDescent="0.25">
      <c r="AR1865" s="11">
        <v>0.22000000000000006</v>
      </c>
      <c r="AS1865" s="7">
        <v>0.17320508075688776</v>
      </c>
    </row>
    <row r="1866" spans="44:45" x14ac:dyDescent="0.25">
      <c r="AR1866" s="11">
        <v>0.23000000000000007</v>
      </c>
      <c r="AS1866" s="7">
        <v>0.17320508075688776</v>
      </c>
    </row>
    <row r="1867" spans="44:45" x14ac:dyDescent="0.25">
      <c r="AR1867" s="11">
        <v>0.24000000000000007</v>
      </c>
      <c r="AS1867" s="7">
        <v>0.17320508075688776</v>
      </c>
    </row>
    <row r="1868" spans="44:45" x14ac:dyDescent="0.25">
      <c r="AR1868" s="11">
        <v>0.25000000000000006</v>
      </c>
      <c r="AS1868" s="7">
        <v>0.17320508075688776</v>
      </c>
    </row>
    <row r="1869" spans="44:45" x14ac:dyDescent="0.25">
      <c r="AR1869" s="11">
        <v>0.26000000000000006</v>
      </c>
      <c r="AS1869" s="7">
        <v>0.17320508075688776</v>
      </c>
    </row>
    <row r="1870" spans="44:45" x14ac:dyDescent="0.25">
      <c r="AR1870" s="11">
        <v>0.27000000000000007</v>
      </c>
      <c r="AS1870" s="7">
        <v>0.17320508075688776</v>
      </c>
    </row>
    <row r="1871" spans="44:45" x14ac:dyDescent="0.25">
      <c r="AR1871" s="11">
        <v>0.28000000000000008</v>
      </c>
      <c r="AS1871" s="7">
        <v>0.17320508075688776</v>
      </c>
    </row>
    <row r="1872" spans="44:45" x14ac:dyDescent="0.25">
      <c r="AR1872" s="11">
        <v>0.29000000000000009</v>
      </c>
      <c r="AS1872" s="7">
        <v>0.17320508075688776</v>
      </c>
    </row>
    <row r="1873" spans="44:45" x14ac:dyDescent="0.25">
      <c r="AR1873" s="11">
        <v>0.3000000000000001</v>
      </c>
      <c r="AS1873" s="7">
        <v>0.17320508075688776</v>
      </c>
    </row>
    <row r="1874" spans="44:45" x14ac:dyDescent="0.25">
      <c r="AR1874" s="11">
        <v>0.31000000000000011</v>
      </c>
      <c r="AS1874" s="7">
        <v>0.17320508075688776</v>
      </c>
    </row>
    <row r="1875" spans="44:45" x14ac:dyDescent="0.25">
      <c r="AR1875" s="11">
        <v>0.32000000000000012</v>
      </c>
      <c r="AS1875" s="7">
        <v>0.17320508075688776</v>
      </c>
    </row>
    <row r="1876" spans="44:45" x14ac:dyDescent="0.25">
      <c r="AR1876" s="11">
        <v>0.33000000000000013</v>
      </c>
      <c r="AS1876" s="7">
        <v>0.17320508075688776</v>
      </c>
    </row>
    <row r="1877" spans="44:45" x14ac:dyDescent="0.25">
      <c r="AR1877" s="11">
        <v>0.34000000000000014</v>
      </c>
      <c r="AS1877" s="7">
        <v>0.17320508075688776</v>
      </c>
    </row>
    <row r="1878" spans="44:45" x14ac:dyDescent="0.25">
      <c r="AR1878" s="11">
        <v>0.35000000000000014</v>
      </c>
      <c r="AS1878" s="7">
        <v>0.17320508075688776</v>
      </c>
    </row>
    <row r="1879" spans="44:45" x14ac:dyDescent="0.25">
      <c r="AR1879" s="11">
        <v>0.36000000000000015</v>
      </c>
      <c r="AS1879" s="7">
        <v>0.17320508075688776</v>
      </c>
    </row>
    <row r="1880" spans="44:45" x14ac:dyDescent="0.25">
      <c r="AR1880" s="11">
        <v>0.37000000000000016</v>
      </c>
      <c r="AS1880" s="7">
        <v>0.17320508075688776</v>
      </c>
    </row>
    <row r="1881" spans="44:45" x14ac:dyDescent="0.25">
      <c r="AR1881" s="11">
        <v>0.38000000000000017</v>
      </c>
      <c r="AS1881" s="7">
        <v>0.17320508075688776</v>
      </c>
    </row>
    <row r="1882" spans="44:45" x14ac:dyDescent="0.25">
      <c r="AR1882" s="11">
        <v>0.39000000000000018</v>
      </c>
      <c r="AS1882" s="7">
        <v>0.17320508075688776</v>
      </c>
    </row>
    <row r="1883" spans="44:45" x14ac:dyDescent="0.25">
      <c r="AR1883" s="11">
        <v>0.40000000000000019</v>
      </c>
      <c r="AS1883" s="7">
        <v>0.17320508075688776</v>
      </c>
    </row>
    <row r="1884" spans="44:45" x14ac:dyDescent="0.25">
      <c r="AR1884" s="11">
        <v>0.4100000000000002</v>
      </c>
      <c r="AS1884" s="7">
        <v>0.17320508075688776</v>
      </c>
    </row>
    <row r="1885" spans="44:45" x14ac:dyDescent="0.25">
      <c r="AR1885" s="11">
        <v>0.42000000000000021</v>
      </c>
      <c r="AS1885" s="7">
        <v>0.17320508075688776</v>
      </c>
    </row>
    <row r="1886" spans="44:45" x14ac:dyDescent="0.25">
      <c r="AR1886" s="11">
        <v>0.43000000000000022</v>
      </c>
      <c r="AS1886" s="7">
        <v>0.17320508075688776</v>
      </c>
    </row>
    <row r="1887" spans="44:45" x14ac:dyDescent="0.25">
      <c r="AR1887" s="11">
        <v>0.44000000000000022</v>
      </c>
      <c r="AS1887" s="7">
        <v>0.17320508075688776</v>
      </c>
    </row>
    <row r="1888" spans="44:45" x14ac:dyDescent="0.25">
      <c r="AR1888" s="11">
        <v>0.45000000000000023</v>
      </c>
      <c r="AS1888" s="7">
        <v>0.17320508075688776</v>
      </c>
    </row>
    <row r="1889" spans="44:45" x14ac:dyDescent="0.25">
      <c r="AR1889" s="11">
        <v>0.46000000000000024</v>
      </c>
      <c r="AS1889" s="7">
        <v>0.17320508075688776</v>
      </c>
    </row>
    <row r="1890" spans="44:45" x14ac:dyDescent="0.25">
      <c r="AR1890" s="11">
        <v>0.47000000000000025</v>
      </c>
      <c r="AS1890" s="7">
        <v>0.17320508075688776</v>
      </c>
    </row>
    <row r="1891" spans="44:45" x14ac:dyDescent="0.25">
      <c r="AR1891" s="11">
        <v>0.48000000000000026</v>
      </c>
      <c r="AS1891" s="7">
        <v>0.17320508075688776</v>
      </c>
    </row>
    <row r="1892" spans="44:45" x14ac:dyDescent="0.25">
      <c r="AR1892" s="11">
        <v>0.49000000000000027</v>
      </c>
      <c r="AS1892" s="7">
        <v>0.17320508075688776</v>
      </c>
    </row>
    <row r="1893" spans="44:45" x14ac:dyDescent="0.25">
      <c r="AR1893" s="11">
        <v>0.50000000000000022</v>
      </c>
      <c r="AS1893" s="7">
        <v>0.17320508075688776</v>
      </c>
    </row>
    <row r="1894" spans="44:45" x14ac:dyDescent="0.25">
      <c r="AR1894" s="11">
        <v>0.51000000000000023</v>
      </c>
      <c r="AS1894" s="7">
        <v>0.17320508075688776</v>
      </c>
    </row>
    <row r="1895" spans="44:45" x14ac:dyDescent="0.25">
      <c r="AR1895" s="11">
        <v>0.52000000000000024</v>
      </c>
      <c r="AS1895" s="7">
        <v>0.17320508075688776</v>
      </c>
    </row>
    <row r="1896" spans="44:45" x14ac:dyDescent="0.25">
      <c r="AR1896" s="11">
        <v>0.53000000000000025</v>
      </c>
      <c r="AS1896" s="7">
        <v>0.17320508075688776</v>
      </c>
    </row>
    <row r="1897" spans="44:45" x14ac:dyDescent="0.25">
      <c r="AR1897" s="11">
        <v>0.54000000000000026</v>
      </c>
      <c r="AS1897" s="7">
        <v>0.17320508075688776</v>
      </c>
    </row>
    <row r="1898" spans="44:45" x14ac:dyDescent="0.25">
      <c r="AR1898" s="11">
        <v>0.55000000000000027</v>
      </c>
      <c r="AS1898" s="7">
        <v>0.17320508075688776</v>
      </c>
    </row>
    <row r="1899" spans="44:45" x14ac:dyDescent="0.25">
      <c r="AR1899" s="11">
        <v>0.56000000000000028</v>
      </c>
      <c r="AS1899" s="7">
        <v>0.17320508075688776</v>
      </c>
    </row>
    <row r="1900" spans="44:45" x14ac:dyDescent="0.25">
      <c r="AR1900" s="11">
        <v>0.57000000000000028</v>
      </c>
      <c r="AS1900" s="7">
        <v>0.17320508075688776</v>
      </c>
    </row>
    <row r="1901" spans="44:45" x14ac:dyDescent="0.25">
      <c r="AR1901" s="11">
        <v>0.58000000000000029</v>
      </c>
      <c r="AS1901" s="7">
        <v>0.17320508075688776</v>
      </c>
    </row>
    <row r="1902" spans="44:45" x14ac:dyDescent="0.25">
      <c r="AR1902" s="11">
        <v>0.5900000000000003</v>
      </c>
      <c r="AS1902" s="7">
        <v>0.17320508075688776</v>
      </c>
    </row>
    <row r="1903" spans="44:45" x14ac:dyDescent="0.25">
      <c r="AR1903" s="11">
        <v>0.60000000000000031</v>
      </c>
      <c r="AS1903" s="7">
        <v>0.17320508075688776</v>
      </c>
    </row>
    <row r="1904" spans="44:45" x14ac:dyDescent="0.25">
      <c r="AR1904" s="11">
        <v>0.61000000000000032</v>
      </c>
      <c r="AS1904" s="7">
        <v>0.17320508075688776</v>
      </c>
    </row>
    <row r="1905" spans="44:45" x14ac:dyDescent="0.25">
      <c r="AR1905" s="11">
        <v>0.62000000000000033</v>
      </c>
      <c r="AS1905" s="7">
        <v>0.17320508075688776</v>
      </c>
    </row>
    <row r="1906" spans="44:45" x14ac:dyDescent="0.25">
      <c r="AR1906" s="11">
        <v>0.63000000000000034</v>
      </c>
      <c r="AS1906" s="7">
        <v>0.17320508075688776</v>
      </c>
    </row>
    <row r="1907" spans="44:45" x14ac:dyDescent="0.25">
      <c r="AR1907" s="11">
        <v>0.64000000000000035</v>
      </c>
      <c r="AS1907" s="7">
        <v>0.17320508075688776</v>
      </c>
    </row>
    <row r="1908" spans="44:45" x14ac:dyDescent="0.25">
      <c r="AR1908" s="11">
        <v>0.65000000000000036</v>
      </c>
      <c r="AS1908" s="7">
        <v>0.17320508075688776</v>
      </c>
    </row>
    <row r="1909" spans="44:45" x14ac:dyDescent="0.25">
      <c r="AR1909" s="11">
        <v>0.66000000000000036</v>
      </c>
      <c r="AS1909" s="7">
        <v>0.17320508075688776</v>
      </c>
    </row>
    <row r="1910" spans="44:45" x14ac:dyDescent="0.25">
      <c r="AR1910" s="11">
        <v>0.67000000000000037</v>
      </c>
      <c r="AS1910" s="7">
        <v>0.17320508075688776</v>
      </c>
    </row>
    <row r="1911" spans="44:45" x14ac:dyDescent="0.25">
      <c r="AR1911" s="11">
        <v>0.68000000000000038</v>
      </c>
      <c r="AS1911" s="7">
        <v>0.17320508075688776</v>
      </c>
    </row>
    <row r="1912" spans="44:45" x14ac:dyDescent="0.25">
      <c r="AR1912" s="11">
        <v>0.69000000000000039</v>
      </c>
      <c r="AS1912" s="7">
        <v>0.17320508075688776</v>
      </c>
    </row>
    <row r="1913" spans="44:45" x14ac:dyDescent="0.25">
      <c r="AR1913" s="11">
        <v>0.7000000000000004</v>
      </c>
      <c r="AS1913" s="7">
        <v>0.17320508075688776</v>
      </c>
    </row>
    <row r="1914" spans="44:45" x14ac:dyDescent="0.25">
      <c r="AR1914" s="11">
        <v>0.71000000000000041</v>
      </c>
      <c r="AS1914" s="7">
        <v>0.17320508075688776</v>
      </c>
    </row>
    <row r="1915" spans="44:45" x14ac:dyDescent="0.25">
      <c r="AR1915" s="11">
        <v>0.72000000000000042</v>
      </c>
      <c r="AS1915" s="7">
        <v>0.17320508075688776</v>
      </c>
    </row>
    <row r="1916" spans="44:45" x14ac:dyDescent="0.25">
      <c r="AR1916" s="11">
        <v>0.73000000000000043</v>
      </c>
      <c r="AS1916" s="7">
        <v>0.17320508075688776</v>
      </c>
    </row>
    <row r="1917" spans="44:45" x14ac:dyDescent="0.25">
      <c r="AR1917" s="11">
        <v>0.74000000000000044</v>
      </c>
      <c r="AS1917" s="7">
        <v>0.17320508075688776</v>
      </c>
    </row>
    <row r="1918" spans="44:45" x14ac:dyDescent="0.25">
      <c r="AR1918" s="11">
        <v>0.75000000000000044</v>
      </c>
      <c r="AS1918" s="7">
        <v>0.17320508075688776</v>
      </c>
    </row>
    <row r="1919" spans="44:45" x14ac:dyDescent="0.25">
      <c r="AR1919" s="11">
        <v>0.76000000000000045</v>
      </c>
      <c r="AS1919" s="7">
        <v>0.17320508075688776</v>
      </c>
    </row>
    <row r="1920" spans="44:45" x14ac:dyDescent="0.25">
      <c r="AR1920" s="11">
        <v>0.77000000000000046</v>
      </c>
      <c r="AS1920" s="7">
        <v>0.17320508075688776</v>
      </c>
    </row>
    <row r="1921" spans="44:45" x14ac:dyDescent="0.25">
      <c r="AR1921" s="11">
        <v>0.78000000000000047</v>
      </c>
      <c r="AS1921" s="7">
        <v>0.17320508075688776</v>
      </c>
    </row>
    <row r="1922" spans="44:45" x14ac:dyDescent="0.25">
      <c r="AR1922" s="11">
        <v>0.79000000000000048</v>
      </c>
      <c r="AS1922" s="7">
        <v>0.17320508075688776</v>
      </c>
    </row>
    <row r="1923" spans="44:45" x14ac:dyDescent="0.25">
      <c r="AR1923" s="11">
        <v>0.80000000000000049</v>
      </c>
      <c r="AS1923" s="7">
        <v>0.17320508075688776</v>
      </c>
    </row>
    <row r="1924" spans="44:45" x14ac:dyDescent="0.25">
      <c r="AR1924" s="11">
        <v>0.8100000000000005</v>
      </c>
      <c r="AS1924" s="7">
        <v>0.17320508075688776</v>
      </c>
    </row>
    <row r="1925" spans="44:45" x14ac:dyDescent="0.25">
      <c r="AR1925" s="11">
        <v>0.82000000000000051</v>
      </c>
      <c r="AS1925" s="7">
        <v>0.17320508075688776</v>
      </c>
    </row>
    <row r="1926" spans="44:45" x14ac:dyDescent="0.25">
      <c r="AR1926" s="11">
        <v>0.83000000000000052</v>
      </c>
      <c r="AS1926" s="7">
        <v>0.17320508075688776</v>
      </c>
    </row>
    <row r="1927" spans="44:45" x14ac:dyDescent="0.25">
      <c r="AR1927" s="11">
        <v>0.84000000000000052</v>
      </c>
      <c r="AS1927" s="7">
        <v>0.17320508075688776</v>
      </c>
    </row>
    <row r="1928" spans="44:45" x14ac:dyDescent="0.25">
      <c r="AR1928" s="11">
        <v>0.85000000000000053</v>
      </c>
      <c r="AS1928" s="7">
        <v>0.17320508075688776</v>
      </c>
    </row>
    <row r="1929" spans="44:45" x14ac:dyDescent="0.25">
      <c r="AR1929" s="11">
        <v>0.86000000000000054</v>
      </c>
      <c r="AS1929" s="7">
        <v>0.17320508075688776</v>
      </c>
    </row>
    <row r="1930" spans="44:45" x14ac:dyDescent="0.25">
      <c r="AR1930" s="11">
        <v>0.87000000000000055</v>
      </c>
      <c r="AS1930" s="7">
        <v>0.17320508075688776</v>
      </c>
    </row>
    <row r="1931" spans="44:45" x14ac:dyDescent="0.25">
      <c r="AR1931" s="11">
        <v>0.88000000000000056</v>
      </c>
      <c r="AS1931" s="7">
        <v>0.17320508075688776</v>
      </c>
    </row>
    <row r="1932" spans="44:45" x14ac:dyDescent="0.25">
      <c r="AR1932" s="11">
        <v>0.89000000000000057</v>
      </c>
      <c r="AS1932" s="7">
        <v>0.17320508075688776</v>
      </c>
    </row>
    <row r="1933" spans="44:45" x14ac:dyDescent="0.25">
      <c r="AR1933" s="11">
        <v>0.90000000000000058</v>
      </c>
      <c r="AS1933" s="7">
        <v>0.17320508075688776</v>
      </c>
    </row>
    <row r="1934" spans="44:45" x14ac:dyDescent="0.25">
      <c r="AR1934" s="11"/>
      <c r="AS1934" s="7"/>
    </row>
    <row r="1935" spans="44:45" x14ac:dyDescent="0.25">
      <c r="AR1935" s="11">
        <v>0.10499999999999998</v>
      </c>
      <c r="AS1935" s="7">
        <v>0.1818653347947321</v>
      </c>
    </row>
    <row r="1936" spans="44:45" x14ac:dyDescent="0.25">
      <c r="AR1936" s="11">
        <v>0.11499999999999998</v>
      </c>
      <c r="AS1936" s="7">
        <v>0.1818653347947321</v>
      </c>
    </row>
    <row r="1937" spans="44:45" x14ac:dyDescent="0.25">
      <c r="AR1937" s="11">
        <v>0.12499999999999997</v>
      </c>
      <c r="AS1937" s="7">
        <v>0.1818653347947321</v>
      </c>
    </row>
    <row r="1938" spans="44:45" x14ac:dyDescent="0.25">
      <c r="AR1938" s="11">
        <v>0.13499999999999998</v>
      </c>
      <c r="AS1938" s="7">
        <v>0.1818653347947321</v>
      </c>
    </row>
    <row r="1939" spans="44:45" x14ac:dyDescent="0.25">
      <c r="AR1939" s="11">
        <v>0.14499999999999999</v>
      </c>
      <c r="AS1939" s="7">
        <v>0.1818653347947321</v>
      </c>
    </row>
    <row r="1940" spans="44:45" x14ac:dyDescent="0.25">
      <c r="AR1940" s="11">
        <v>0.155</v>
      </c>
      <c r="AS1940" s="7">
        <v>0.1818653347947321</v>
      </c>
    </row>
    <row r="1941" spans="44:45" x14ac:dyDescent="0.25">
      <c r="AR1941" s="11">
        <v>0.16500000000000001</v>
      </c>
      <c r="AS1941" s="7">
        <v>0.1818653347947321</v>
      </c>
    </row>
    <row r="1942" spans="44:45" x14ac:dyDescent="0.25">
      <c r="AR1942" s="11">
        <v>0.17500000000000002</v>
      </c>
      <c r="AS1942" s="7">
        <v>0.1818653347947321</v>
      </c>
    </row>
    <row r="1943" spans="44:45" x14ac:dyDescent="0.25">
      <c r="AR1943" s="11">
        <v>0.18500000000000003</v>
      </c>
      <c r="AS1943" s="7">
        <v>0.1818653347947321</v>
      </c>
    </row>
    <row r="1944" spans="44:45" x14ac:dyDescent="0.25">
      <c r="AR1944" s="11">
        <v>0.19500000000000003</v>
      </c>
      <c r="AS1944" s="7">
        <v>0.1818653347947321</v>
      </c>
    </row>
    <row r="1945" spans="44:45" x14ac:dyDescent="0.25">
      <c r="AR1945" s="11">
        <v>0.20500000000000004</v>
      </c>
      <c r="AS1945" s="7">
        <v>0.1818653347947321</v>
      </c>
    </row>
    <row r="1946" spans="44:45" x14ac:dyDescent="0.25">
      <c r="AR1946" s="11">
        <v>0.21500000000000005</v>
      </c>
      <c r="AS1946" s="7">
        <v>0.1818653347947321</v>
      </c>
    </row>
    <row r="1947" spans="44:45" x14ac:dyDescent="0.25">
      <c r="AR1947" s="11">
        <v>0.22500000000000006</v>
      </c>
      <c r="AS1947" s="7">
        <v>0.1818653347947321</v>
      </c>
    </row>
    <row r="1948" spans="44:45" x14ac:dyDescent="0.25">
      <c r="AR1948" s="11">
        <v>0.23500000000000007</v>
      </c>
      <c r="AS1948" s="7">
        <v>0.1818653347947321</v>
      </c>
    </row>
    <row r="1949" spans="44:45" x14ac:dyDescent="0.25">
      <c r="AR1949" s="11">
        <v>0.24500000000000008</v>
      </c>
      <c r="AS1949" s="7">
        <v>0.1818653347947321</v>
      </c>
    </row>
    <row r="1950" spans="44:45" x14ac:dyDescent="0.25">
      <c r="AR1950" s="11">
        <v>0.25500000000000006</v>
      </c>
      <c r="AS1950" s="7">
        <v>0.1818653347947321</v>
      </c>
    </row>
    <row r="1951" spans="44:45" x14ac:dyDescent="0.25">
      <c r="AR1951" s="11">
        <v>0.26500000000000007</v>
      </c>
      <c r="AS1951" s="7">
        <v>0.1818653347947321</v>
      </c>
    </row>
    <row r="1952" spans="44:45" x14ac:dyDescent="0.25">
      <c r="AR1952" s="11">
        <v>0.27500000000000008</v>
      </c>
      <c r="AS1952" s="7">
        <v>0.1818653347947321</v>
      </c>
    </row>
    <row r="1953" spans="44:45" x14ac:dyDescent="0.25">
      <c r="AR1953" s="11">
        <v>0.28500000000000009</v>
      </c>
      <c r="AS1953" s="7">
        <v>0.1818653347947321</v>
      </c>
    </row>
    <row r="1954" spans="44:45" x14ac:dyDescent="0.25">
      <c r="AR1954" s="11">
        <v>0.2950000000000001</v>
      </c>
      <c r="AS1954" s="7">
        <v>0.1818653347947321</v>
      </c>
    </row>
    <row r="1955" spans="44:45" x14ac:dyDescent="0.25">
      <c r="AR1955" s="11">
        <v>0.3050000000000001</v>
      </c>
      <c r="AS1955" s="7">
        <v>0.1818653347947321</v>
      </c>
    </row>
    <row r="1956" spans="44:45" x14ac:dyDescent="0.25">
      <c r="AR1956" s="11">
        <v>0.31500000000000011</v>
      </c>
      <c r="AS1956" s="7">
        <v>0.1818653347947321</v>
      </c>
    </row>
    <row r="1957" spans="44:45" x14ac:dyDescent="0.25">
      <c r="AR1957" s="11">
        <v>0.32500000000000012</v>
      </c>
      <c r="AS1957" s="7">
        <v>0.1818653347947321</v>
      </c>
    </row>
    <row r="1958" spans="44:45" x14ac:dyDescent="0.25">
      <c r="AR1958" s="11">
        <v>0.33500000000000013</v>
      </c>
      <c r="AS1958" s="7">
        <v>0.1818653347947321</v>
      </c>
    </row>
    <row r="1959" spans="44:45" x14ac:dyDescent="0.25">
      <c r="AR1959" s="11">
        <v>0.34500000000000014</v>
      </c>
      <c r="AS1959" s="7">
        <v>0.1818653347947321</v>
      </c>
    </row>
    <row r="1960" spans="44:45" x14ac:dyDescent="0.25">
      <c r="AR1960" s="11">
        <v>0.35500000000000015</v>
      </c>
      <c r="AS1960" s="7">
        <v>0.1818653347947321</v>
      </c>
    </row>
    <row r="1961" spans="44:45" x14ac:dyDescent="0.25">
      <c r="AR1961" s="11">
        <v>0.36500000000000016</v>
      </c>
      <c r="AS1961" s="7">
        <v>0.1818653347947321</v>
      </c>
    </row>
    <row r="1962" spans="44:45" x14ac:dyDescent="0.25">
      <c r="AR1962" s="11">
        <v>0.37500000000000017</v>
      </c>
      <c r="AS1962" s="7">
        <v>0.1818653347947321</v>
      </c>
    </row>
    <row r="1963" spans="44:45" x14ac:dyDescent="0.25">
      <c r="AR1963" s="11">
        <v>0.38500000000000018</v>
      </c>
      <c r="AS1963" s="7">
        <v>0.1818653347947321</v>
      </c>
    </row>
    <row r="1964" spans="44:45" x14ac:dyDescent="0.25">
      <c r="AR1964" s="11">
        <v>0.39500000000000018</v>
      </c>
      <c r="AS1964" s="7">
        <v>0.1818653347947321</v>
      </c>
    </row>
    <row r="1965" spans="44:45" x14ac:dyDescent="0.25">
      <c r="AR1965" s="11">
        <v>0.40500000000000019</v>
      </c>
      <c r="AS1965" s="7">
        <v>0.1818653347947321</v>
      </c>
    </row>
    <row r="1966" spans="44:45" x14ac:dyDescent="0.25">
      <c r="AR1966" s="11">
        <v>0.4150000000000002</v>
      </c>
      <c r="AS1966" s="7">
        <v>0.1818653347947321</v>
      </c>
    </row>
    <row r="1967" spans="44:45" x14ac:dyDescent="0.25">
      <c r="AR1967" s="11">
        <v>0.42500000000000021</v>
      </c>
      <c r="AS1967" s="7">
        <v>0.1818653347947321</v>
      </c>
    </row>
    <row r="1968" spans="44:45" x14ac:dyDescent="0.25">
      <c r="AR1968" s="11">
        <v>0.43500000000000022</v>
      </c>
      <c r="AS1968" s="7">
        <v>0.1818653347947321</v>
      </c>
    </row>
    <row r="1969" spans="44:45" x14ac:dyDescent="0.25">
      <c r="AR1969" s="11">
        <v>0.44500000000000023</v>
      </c>
      <c r="AS1969" s="7">
        <v>0.1818653347947321</v>
      </c>
    </row>
    <row r="1970" spans="44:45" x14ac:dyDescent="0.25">
      <c r="AR1970" s="11">
        <v>0.45500000000000024</v>
      </c>
      <c r="AS1970" s="7">
        <v>0.1818653347947321</v>
      </c>
    </row>
    <row r="1971" spans="44:45" x14ac:dyDescent="0.25">
      <c r="AR1971" s="11">
        <v>0.46500000000000025</v>
      </c>
      <c r="AS1971" s="7">
        <v>0.1818653347947321</v>
      </c>
    </row>
    <row r="1972" spans="44:45" x14ac:dyDescent="0.25">
      <c r="AR1972" s="11">
        <v>0.47500000000000026</v>
      </c>
      <c r="AS1972" s="7">
        <v>0.1818653347947321</v>
      </c>
    </row>
    <row r="1973" spans="44:45" x14ac:dyDescent="0.25">
      <c r="AR1973" s="11">
        <v>0.48500000000000026</v>
      </c>
      <c r="AS1973" s="7">
        <v>0.1818653347947321</v>
      </c>
    </row>
    <row r="1974" spans="44:45" x14ac:dyDescent="0.25">
      <c r="AR1974" s="11">
        <v>0.49500000000000027</v>
      </c>
      <c r="AS1974" s="7">
        <v>0.1818653347947321</v>
      </c>
    </row>
    <row r="1975" spans="44:45" x14ac:dyDescent="0.25">
      <c r="AR1975" s="11">
        <v>0.50500000000000023</v>
      </c>
      <c r="AS1975" s="7">
        <v>0.1818653347947321</v>
      </c>
    </row>
    <row r="1976" spans="44:45" x14ac:dyDescent="0.25">
      <c r="AR1976" s="11">
        <v>0.51500000000000024</v>
      </c>
      <c r="AS1976" s="7">
        <v>0.1818653347947321</v>
      </c>
    </row>
    <row r="1977" spans="44:45" x14ac:dyDescent="0.25">
      <c r="AR1977" s="11">
        <v>0.52500000000000024</v>
      </c>
      <c r="AS1977" s="7">
        <v>0.1818653347947321</v>
      </c>
    </row>
    <row r="1978" spans="44:45" x14ac:dyDescent="0.25">
      <c r="AR1978" s="11">
        <v>0.53500000000000025</v>
      </c>
      <c r="AS1978" s="7">
        <v>0.1818653347947321</v>
      </c>
    </row>
    <row r="1979" spans="44:45" x14ac:dyDescent="0.25">
      <c r="AR1979" s="11">
        <v>0.54500000000000026</v>
      </c>
      <c r="AS1979" s="7">
        <v>0.1818653347947321</v>
      </c>
    </row>
    <row r="1980" spans="44:45" x14ac:dyDescent="0.25">
      <c r="AR1980" s="11">
        <v>0.55500000000000027</v>
      </c>
      <c r="AS1980" s="7">
        <v>0.1818653347947321</v>
      </c>
    </row>
    <row r="1981" spans="44:45" x14ac:dyDescent="0.25">
      <c r="AR1981" s="11">
        <v>0.56500000000000028</v>
      </c>
      <c r="AS1981" s="7">
        <v>0.1818653347947321</v>
      </c>
    </row>
    <row r="1982" spans="44:45" x14ac:dyDescent="0.25">
      <c r="AR1982" s="11">
        <v>0.57500000000000029</v>
      </c>
      <c r="AS1982" s="7">
        <v>0.1818653347947321</v>
      </c>
    </row>
    <row r="1983" spans="44:45" x14ac:dyDescent="0.25">
      <c r="AR1983" s="11">
        <v>0.5850000000000003</v>
      </c>
      <c r="AS1983" s="7">
        <v>0.1818653347947321</v>
      </c>
    </row>
    <row r="1984" spans="44:45" x14ac:dyDescent="0.25">
      <c r="AR1984" s="11">
        <v>0.59500000000000031</v>
      </c>
      <c r="AS1984" s="7">
        <v>0.1818653347947321</v>
      </c>
    </row>
    <row r="1985" spans="44:45" x14ac:dyDescent="0.25">
      <c r="AR1985" s="11">
        <v>0.60500000000000032</v>
      </c>
      <c r="AS1985" s="7">
        <v>0.1818653347947321</v>
      </c>
    </row>
    <row r="1986" spans="44:45" x14ac:dyDescent="0.25">
      <c r="AR1986" s="11">
        <v>0.61500000000000032</v>
      </c>
      <c r="AS1986" s="7">
        <v>0.1818653347947321</v>
      </c>
    </row>
    <row r="1987" spans="44:45" x14ac:dyDescent="0.25">
      <c r="AR1987" s="11">
        <v>0.62500000000000033</v>
      </c>
      <c r="AS1987" s="7">
        <v>0.1818653347947321</v>
      </c>
    </row>
    <row r="1988" spans="44:45" x14ac:dyDescent="0.25">
      <c r="AR1988" s="11">
        <v>0.63500000000000034</v>
      </c>
      <c r="AS1988" s="7">
        <v>0.1818653347947321</v>
      </c>
    </row>
    <row r="1989" spans="44:45" x14ac:dyDescent="0.25">
      <c r="AR1989" s="11">
        <v>0.64500000000000035</v>
      </c>
      <c r="AS1989" s="7">
        <v>0.1818653347947321</v>
      </c>
    </row>
    <row r="1990" spans="44:45" x14ac:dyDescent="0.25">
      <c r="AR1990" s="11">
        <v>0.65500000000000036</v>
      </c>
      <c r="AS1990" s="7">
        <v>0.1818653347947321</v>
      </c>
    </row>
    <row r="1991" spans="44:45" x14ac:dyDescent="0.25">
      <c r="AR1991" s="11">
        <v>0.66500000000000037</v>
      </c>
      <c r="AS1991" s="7">
        <v>0.1818653347947321</v>
      </c>
    </row>
    <row r="1992" spans="44:45" x14ac:dyDescent="0.25">
      <c r="AR1992" s="11">
        <v>0.67500000000000038</v>
      </c>
      <c r="AS1992" s="7">
        <v>0.1818653347947321</v>
      </c>
    </row>
    <row r="1993" spans="44:45" x14ac:dyDescent="0.25">
      <c r="AR1993" s="11">
        <v>0.68500000000000039</v>
      </c>
      <c r="AS1993" s="7">
        <v>0.1818653347947321</v>
      </c>
    </row>
    <row r="1994" spans="44:45" x14ac:dyDescent="0.25">
      <c r="AR1994" s="11">
        <v>0.6950000000000004</v>
      </c>
      <c r="AS1994" s="7">
        <v>0.1818653347947321</v>
      </c>
    </row>
    <row r="1995" spans="44:45" x14ac:dyDescent="0.25">
      <c r="AR1995" s="11">
        <v>0.7050000000000004</v>
      </c>
      <c r="AS1995" s="7">
        <v>0.1818653347947321</v>
      </c>
    </row>
    <row r="1996" spans="44:45" x14ac:dyDescent="0.25">
      <c r="AR1996" s="11">
        <v>0.71500000000000041</v>
      </c>
      <c r="AS1996" s="7">
        <v>0.1818653347947321</v>
      </c>
    </row>
    <row r="1997" spans="44:45" x14ac:dyDescent="0.25">
      <c r="AR1997" s="11">
        <v>0.72500000000000042</v>
      </c>
      <c r="AS1997" s="7">
        <v>0.1818653347947321</v>
      </c>
    </row>
    <row r="1998" spans="44:45" x14ac:dyDescent="0.25">
      <c r="AR1998" s="11">
        <v>0.73500000000000043</v>
      </c>
      <c r="AS1998" s="7">
        <v>0.1818653347947321</v>
      </c>
    </row>
    <row r="1999" spans="44:45" x14ac:dyDescent="0.25">
      <c r="AR1999" s="11">
        <v>0.74500000000000044</v>
      </c>
      <c r="AS1999" s="7">
        <v>0.1818653347947321</v>
      </c>
    </row>
    <row r="2000" spans="44:45" x14ac:dyDescent="0.25">
      <c r="AR2000" s="11">
        <v>0.75500000000000045</v>
      </c>
      <c r="AS2000" s="7">
        <v>0.1818653347947321</v>
      </c>
    </row>
    <row r="2001" spans="44:45" x14ac:dyDescent="0.25">
      <c r="AR2001" s="11">
        <v>0.76500000000000046</v>
      </c>
      <c r="AS2001" s="7">
        <v>0.1818653347947321</v>
      </c>
    </row>
    <row r="2002" spans="44:45" x14ac:dyDescent="0.25">
      <c r="AR2002" s="11">
        <v>0.77500000000000047</v>
      </c>
      <c r="AS2002" s="7">
        <v>0.1818653347947321</v>
      </c>
    </row>
    <row r="2003" spans="44:45" x14ac:dyDescent="0.25">
      <c r="AR2003" s="11">
        <v>0.78500000000000048</v>
      </c>
      <c r="AS2003" s="7">
        <v>0.1818653347947321</v>
      </c>
    </row>
    <row r="2004" spans="44:45" x14ac:dyDescent="0.25">
      <c r="AR2004" s="11">
        <v>0.79500000000000048</v>
      </c>
      <c r="AS2004" s="7">
        <v>0.1818653347947321</v>
      </c>
    </row>
    <row r="2005" spans="44:45" x14ac:dyDescent="0.25">
      <c r="AR2005" s="11">
        <v>0.80500000000000049</v>
      </c>
      <c r="AS2005" s="7">
        <v>0.1818653347947321</v>
      </c>
    </row>
    <row r="2006" spans="44:45" x14ac:dyDescent="0.25">
      <c r="AR2006" s="11">
        <v>0.8150000000000005</v>
      </c>
      <c r="AS2006" s="7">
        <v>0.1818653347947321</v>
      </c>
    </row>
    <row r="2007" spans="44:45" x14ac:dyDescent="0.25">
      <c r="AR2007" s="11">
        <v>0.82500000000000051</v>
      </c>
      <c r="AS2007" s="7">
        <v>0.1818653347947321</v>
      </c>
    </row>
    <row r="2008" spans="44:45" x14ac:dyDescent="0.25">
      <c r="AR2008" s="11">
        <v>0.83500000000000052</v>
      </c>
      <c r="AS2008" s="7">
        <v>0.1818653347947321</v>
      </c>
    </row>
    <row r="2009" spans="44:45" x14ac:dyDescent="0.25">
      <c r="AR2009" s="11">
        <v>0.84500000000000053</v>
      </c>
      <c r="AS2009" s="7">
        <v>0.1818653347947321</v>
      </c>
    </row>
    <row r="2010" spans="44:45" x14ac:dyDescent="0.25">
      <c r="AR2010" s="11">
        <v>0.85500000000000054</v>
      </c>
      <c r="AS2010" s="7">
        <v>0.1818653347947321</v>
      </c>
    </row>
    <row r="2011" spans="44:45" x14ac:dyDescent="0.25">
      <c r="AR2011" s="11">
        <v>0.86500000000000055</v>
      </c>
      <c r="AS2011" s="7">
        <v>0.1818653347947321</v>
      </c>
    </row>
    <row r="2012" spans="44:45" x14ac:dyDescent="0.25">
      <c r="AR2012" s="11">
        <v>0.87500000000000056</v>
      </c>
      <c r="AS2012" s="7">
        <v>0.1818653347947321</v>
      </c>
    </row>
    <row r="2013" spans="44:45" x14ac:dyDescent="0.25">
      <c r="AR2013" s="11">
        <v>0.88500000000000056</v>
      </c>
      <c r="AS2013" s="7">
        <v>0.1818653347947321</v>
      </c>
    </row>
    <row r="2014" spans="44:45" x14ac:dyDescent="0.25">
      <c r="AR2014" s="11">
        <v>0.89500000000000057</v>
      </c>
      <c r="AS2014" s="7">
        <v>0.1818653347947321</v>
      </c>
    </row>
    <row r="2015" spans="44:45" x14ac:dyDescent="0.25">
      <c r="AR2015" s="11"/>
      <c r="AS2015" s="7"/>
    </row>
    <row r="2016" spans="44:45" x14ac:dyDescent="0.25">
      <c r="AR2016" s="11">
        <v>0.10999999999999999</v>
      </c>
      <c r="AS2016" s="7">
        <v>0.1905255888325765</v>
      </c>
    </row>
    <row r="2017" spans="44:45" x14ac:dyDescent="0.25">
      <c r="AR2017" s="11">
        <v>0.11999999999999998</v>
      </c>
      <c r="AS2017" s="7">
        <v>0.1905255888325765</v>
      </c>
    </row>
    <row r="2018" spans="44:45" x14ac:dyDescent="0.25">
      <c r="AR2018" s="11">
        <v>0.12999999999999998</v>
      </c>
      <c r="AS2018" s="7">
        <v>0.1905255888325765</v>
      </c>
    </row>
    <row r="2019" spans="44:45" x14ac:dyDescent="0.25">
      <c r="AR2019" s="11">
        <v>0.13999999999999999</v>
      </c>
      <c r="AS2019" s="7">
        <v>0.1905255888325765</v>
      </c>
    </row>
    <row r="2020" spans="44:45" x14ac:dyDescent="0.25">
      <c r="AR2020" s="11">
        <v>0.15</v>
      </c>
      <c r="AS2020" s="7">
        <v>0.1905255888325765</v>
      </c>
    </row>
    <row r="2021" spans="44:45" x14ac:dyDescent="0.25">
      <c r="AR2021" s="11">
        <v>0.16</v>
      </c>
      <c r="AS2021" s="7">
        <v>0.1905255888325765</v>
      </c>
    </row>
    <row r="2022" spans="44:45" x14ac:dyDescent="0.25">
      <c r="AR2022" s="11">
        <v>0.17</v>
      </c>
      <c r="AS2022" s="7">
        <v>0.1905255888325765</v>
      </c>
    </row>
    <row r="2023" spans="44:45" x14ac:dyDescent="0.25">
      <c r="AR2023" s="11">
        <v>0.18000000000000002</v>
      </c>
      <c r="AS2023" s="7">
        <v>0.1905255888325765</v>
      </c>
    </row>
    <row r="2024" spans="44:45" x14ac:dyDescent="0.25">
      <c r="AR2024" s="11">
        <v>0.19000000000000003</v>
      </c>
      <c r="AS2024" s="7">
        <v>0.1905255888325765</v>
      </c>
    </row>
    <row r="2025" spans="44:45" x14ac:dyDescent="0.25">
      <c r="AR2025" s="11">
        <v>0.20000000000000004</v>
      </c>
      <c r="AS2025" s="7">
        <v>0.1905255888325765</v>
      </c>
    </row>
    <row r="2026" spans="44:45" x14ac:dyDescent="0.25">
      <c r="AR2026" s="11">
        <v>0.21000000000000005</v>
      </c>
      <c r="AS2026" s="7">
        <v>0.1905255888325765</v>
      </c>
    </row>
    <row r="2027" spans="44:45" x14ac:dyDescent="0.25">
      <c r="AR2027" s="11">
        <v>0.22000000000000006</v>
      </c>
      <c r="AS2027" s="7">
        <v>0.1905255888325765</v>
      </c>
    </row>
    <row r="2028" spans="44:45" x14ac:dyDescent="0.25">
      <c r="AR2028" s="11">
        <v>0.23000000000000007</v>
      </c>
      <c r="AS2028" s="7">
        <v>0.1905255888325765</v>
      </c>
    </row>
    <row r="2029" spans="44:45" x14ac:dyDescent="0.25">
      <c r="AR2029" s="11">
        <v>0.24000000000000007</v>
      </c>
      <c r="AS2029" s="7">
        <v>0.1905255888325765</v>
      </c>
    </row>
    <row r="2030" spans="44:45" x14ac:dyDescent="0.25">
      <c r="AR2030" s="11">
        <v>0.25000000000000006</v>
      </c>
      <c r="AS2030" s="7">
        <v>0.1905255888325765</v>
      </c>
    </row>
    <row r="2031" spans="44:45" x14ac:dyDescent="0.25">
      <c r="AR2031" s="11">
        <v>0.26000000000000006</v>
      </c>
      <c r="AS2031" s="7">
        <v>0.1905255888325765</v>
      </c>
    </row>
    <row r="2032" spans="44:45" x14ac:dyDescent="0.25">
      <c r="AR2032" s="11">
        <v>0.27000000000000007</v>
      </c>
      <c r="AS2032" s="7">
        <v>0.1905255888325765</v>
      </c>
    </row>
    <row r="2033" spans="44:45" x14ac:dyDescent="0.25">
      <c r="AR2033" s="11">
        <v>0.28000000000000008</v>
      </c>
      <c r="AS2033" s="7">
        <v>0.1905255888325765</v>
      </c>
    </row>
    <row r="2034" spans="44:45" x14ac:dyDescent="0.25">
      <c r="AR2034" s="11">
        <v>0.29000000000000009</v>
      </c>
      <c r="AS2034" s="7">
        <v>0.1905255888325765</v>
      </c>
    </row>
    <row r="2035" spans="44:45" x14ac:dyDescent="0.25">
      <c r="AR2035" s="11">
        <v>0.3000000000000001</v>
      </c>
      <c r="AS2035" s="7">
        <v>0.1905255888325765</v>
      </c>
    </row>
    <row r="2036" spans="44:45" x14ac:dyDescent="0.25">
      <c r="AR2036" s="11">
        <v>0.31000000000000011</v>
      </c>
      <c r="AS2036" s="7">
        <v>0.1905255888325765</v>
      </c>
    </row>
    <row r="2037" spans="44:45" x14ac:dyDescent="0.25">
      <c r="AR2037" s="11">
        <v>0.32000000000000012</v>
      </c>
      <c r="AS2037" s="7">
        <v>0.1905255888325765</v>
      </c>
    </row>
    <row r="2038" spans="44:45" x14ac:dyDescent="0.25">
      <c r="AR2038" s="11">
        <v>0.33000000000000013</v>
      </c>
      <c r="AS2038" s="7">
        <v>0.1905255888325765</v>
      </c>
    </row>
    <row r="2039" spans="44:45" x14ac:dyDescent="0.25">
      <c r="AR2039" s="11">
        <v>0.34000000000000014</v>
      </c>
      <c r="AS2039" s="7">
        <v>0.1905255888325765</v>
      </c>
    </row>
    <row r="2040" spans="44:45" x14ac:dyDescent="0.25">
      <c r="AR2040" s="11">
        <v>0.35000000000000014</v>
      </c>
      <c r="AS2040" s="7">
        <v>0.1905255888325765</v>
      </c>
    </row>
    <row r="2041" spans="44:45" x14ac:dyDescent="0.25">
      <c r="AR2041" s="11">
        <v>0.36000000000000015</v>
      </c>
      <c r="AS2041" s="7">
        <v>0.1905255888325765</v>
      </c>
    </row>
    <row r="2042" spans="44:45" x14ac:dyDescent="0.25">
      <c r="AR2042" s="11">
        <v>0.37000000000000016</v>
      </c>
      <c r="AS2042" s="7">
        <v>0.1905255888325765</v>
      </c>
    </row>
    <row r="2043" spans="44:45" x14ac:dyDescent="0.25">
      <c r="AR2043" s="11">
        <v>0.38000000000000017</v>
      </c>
      <c r="AS2043" s="7">
        <v>0.1905255888325765</v>
      </c>
    </row>
    <row r="2044" spans="44:45" x14ac:dyDescent="0.25">
      <c r="AR2044" s="11">
        <v>0.39000000000000018</v>
      </c>
      <c r="AS2044" s="7">
        <v>0.1905255888325765</v>
      </c>
    </row>
    <row r="2045" spans="44:45" x14ac:dyDescent="0.25">
      <c r="AR2045" s="11">
        <v>0.40000000000000019</v>
      </c>
      <c r="AS2045" s="7">
        <v>0.1905255888325765</v>
      </c>
    </row>
    <row r="2046" spans="44:45" x14ac:dyDescent="0.25">
      <c r="AR2046" s="11">
        <v>0.4100000000000002</v>
      </c>
      <c r="AS2046" s="7">
        <v>0.1905255888325765</v>
      </c>
    </row>
    <row r="2047" spans="44:45" x14ac:dyDescent="0.25">
      <c r="AR2047" s="11">
        <v>0.42000000000000021</v>
      </c>
      <c r="AS2047" s="7">
        <v>0.1905255888325765</v>
      </c>
    </row>
    <row r="2048" spans="44:45" x14ac:dyDescent="0.25">
      <c r="AR2048" s="11">
        <v>0.43000000000000022</v>
      </c>
      <c r="AS2048" s="7">
        <v>0.1905255888325765</v>
      </c>
    </row>
    <row r="2049" spans="44:45" x14ac:dyDescent="0.25">
      <c r="AR2049" s="11">
        <v>0.44000000000000022</v>
      </c>
      <c r="AS2049" s="7">
        <v>0.1905255888325765</v>
      </c>
    </row>
    <row r="2050" spans="44:45" x14ac:dyDescent="0.25">
      <c r="AR2050" s="11">
        <v>0.45000000000000023</v>
      </c>
      <c r="AS2050" s="7">
        <v>0.1905255888325765</v>
      </c>
    </row>
    <row r="2051" spans="44:45" x14ac:dyDescent="0.25">
      <c r="AR2051" s="11">
        <v>0.46000000000000024</v>
      </c>
      <c r="AS2051" s="7">
        <v>0.1905255888325765</v>
      </c>
    </row>
    <row r="2052" spans="44:45" x14ac:dyDescent="0.25">
      <c r="AR2052" s="11">
        <v>0.47000000000000025</v>
      </c>
      <c r="AS2052" s="7">
        <v>0.1905255888325765</v>
      </c>
    </row>
    <row r="2053" spans="44:45" x14ac:dyDescent="0.25">
      <c r="AR2053" s="11">
        <v>0.48000000000000026</v>
      </c>
      <c r="AS2053" s="7">
        <v>0.1905255888325765</v>
      </c>
    </row>
    <row r="2054" spans="44:45" x14ac:dyDescent="0.25">
      <c r="AR2054" s="11">
        <v>0.49000000000000027</v>
      </c>
      <c r="AS2054" s="7">
        <v>0.1905255888325765</v>
      </c>
    </row>
    <row r="2055" spans="44:45" x14ac:dyDescent="0.25">
      <c r="AR2055" s="11">
        <v>0.50000000000000022</v>
      </c>
      <c r="AS2055" s="7">
        <v>0.1905255888325765</v>
      </c>
    </row>
    <row r="2056" spans="44:45" x14ac:dyDescent="0.25">
      <c r="AR2056" s="11">
        <v>0.51000000000000023</v>
      </c>
      <c r="AS2056" s="7">
        <v>0.1905255888325765</v>
      </c>
    </row>
    <row r="2057" spans="44:45" x14ac:dyDescent="0.25">
      <c r="AR2057" s="11">
        <v>0.52000000000000024</v>
      </c>
      <c r="AS2057" s="7">
        <v>0.1905255888325765</v>
      </c>
    </row>
    <row r="2058" spans="44:45" x14ac:dyDescent="0.25">
      <c r="AR2058" s="11">
        <v>0.53000000000000025</v>
      </c>
      <c r="AS2058" s="7">
        <v>0.1905255888325765</v>
      </c>
    </row>
    <row r="2059" spans="44:45" x14ac:dyDescent="0.25">
      <c r="AR2059" s="11">
        <v>0.54000000000000026</v>
      </c>
      <c r="AS2059" s="7">
        <v>0.1905255888325765</v>
      </c>
    </row>
    <row r="2060" spans="44:45" x14ac:dyDescent="0.25">
      <c r="AR2060" s="11">
        <v>0.55000000000000027</v>
      </c>
      <c r="AS2060" s="7">
        <v>0.1905255888325765</v>
      </c>
    </row>
    <row r="2061" spans="44:45" x14ac:dyDescent="0.25">
      <c r="AR2061" s="11">
        <v>0.56000000000000028</v>
      </c>
      <c r="AS2061" s="7">
        <v>0.1905255888325765</v>
      </c>
    </row>
    <row r="2062" spans="44:45" x14ac:dyDescent="0.25">
      <c r="AR2062" s="11">
        <v>0.57000000000000028</v>
      </c>
      <c r="AS2062" s="7">
        <v>0.1905255888325765</v>
      </c>
    </row>
    <row r="2063" spans="44:45" x14ac:dyDescent="0.25">
      <c r="AR2063" s="11">
        <v>0.58000000000000029</v>
      </c>
      <c r="AS2063" s="7">
        <v>0.1905255888325765</v>
      </c>
    </row>
    <row r="2064" spans="44:45" x14ac:dyDescent="0.25">
      <c r="AR2064" s="11">
        <v>0.5900000000000003</v>
      </c>
      <c r="AS2064" s="7">
        <v>0.1905255888325765</v>
      </c>
    </row>
    <row r="2065" spans="44:45" x14ac:dyDescent="0.25">
      <c r="AR2065" s="11">
        <v>0.60000000000000031</v>
      </c>
      <c r="AS2065" s="7">
        <v>0.1905255888325765</v>
      </c>
    </row>
    <row r="2066" spans="44:45" x14ac:dyDescent="0.25">
      <c r="AR2066" s="11">
        <v>0.61000000000000032</v>
      </c>
      <c r="AS2066" s="7">
        <v>0.1905255888325765</v>
      </c>
    </row>
    <row r="2067" spans="44:45" x14ac:dyDescent="0.25">
      <c r="AR2067" s="11">
        <v>0.62000000000000033</v>
      </c>
      <c r="AS2067" s="7">
        <v>0.1905255888325765</v>
      </c>
    </row>
    <row r="2068" spans="44:45" x14ac:dyDescent="0.25">
      <c r="AR2068" s="11">
        <v>0.63000000000000034</v>
      </c>
      <c r="AS2068" s="7">
        <v>0.1905255888325765</v>
      </c>
    </row>
    <row r="2069" spans="44:45" x14ac:dyDescent="0.25">
      <c r="AR2069" s="11">
        <v>0.64000000000000035</v>
      </c>
      <c r="AS2069" s="7">
        <v>0.1905255888325765</v>
      </c>
    </row>
    <row r="2070" spans="44:45" x14ac:dyDescent="0.25">
      <c r="AR2070" s="11">
        <v>0.65000000000000036</v>
      </c>
      <c r="AS2070" s="7">
        <v>0.1905255888325765</v>
      </c>
    </row>
    <row r="2071" spans="44:45" x14ac:dyDescent="0.25">
      <c r="AR2071" s="11">
        <v>0.66000000000000036</v>
      </c>
      <c r="AS2071" s="7">
        <v>0.1905255888325765</v>
      </c>
    </row>
    <row r="2072" spans="44:45" x14ac:dyDescent="0.25">
      <c r="AR2072" s="11">
        <v>0.67000000000000037</v>
      </c>
      <c r="AS2072" s="7">
        <v>0.1905255888325765</v>
      </c>
    </row>
    <row r="2073" spans="44:45" x14ac:dyDescent="0.25">
      <c r="AR2073" s="11">
        <v>0.68000000000000038</v>
      </c>
      <c r="AS2073" s="7">
        <v>0.1905255888325765</v>
      </c>
    </row>
    <row r="2074" spans="44:45" x14ac:dyDescent="0.25">
      <c r="AR2074" s="11">
        <v>0.69000000000000039</v>
      </c>
      <c r="AS2074" s="7">
        <v>0.1905255888325765</v>
      </c>
    </row>
    <row r="2075" spans="44:45" x14ac:dyDescent="0.25">
      <c r="AR2075" s="11">
        <v>0.7000000000000004</v>
      </c>
      <c r="AS2075" s="7">
        <v>0.1905255888325765</v>
      </c>
    </row>
    <row r="2076" spans="44:45" x14ac:dyDescent="0.25">
      <c r="AR2076" s="11">
        <v>0.71000000000000041</v>
      </c>
      <c r="AS2076" s="7">
        <v>0.1905255888325765</v>
      </c>
    </row>
    <row r="2077" spans="44:45" x14ac:dyDescent="0.25">
      <c r="AR2077" s="11">
        <v>0.72000000000000042</v>
      </c>
      <c r="AS2077" s="7">
        <v>0.1905255888325765</v>
      </c>
    </row>
    <row r="2078" spans="44:45" x14ac:dyDescent="0.25">
      <c r="AR2078" s="11">
        <v>0.73000000000000043</v>
      </c>
      <c r="AS2078" s="7">
        <v>0.1905255888325765</v>
      </c>
    </row>
    <row r="2079" spans="44:45" x14ac:dyDescent="0.25">
      <c r="AR2079" s="11">
        <v>0.74000000000000044</v>
      </c>
      <c r="AS2079" s="7">
        <v>0.1905255888325765</v>
      </c>
    </row>
    <row r="2080" spans="44:45" x14ac:dyDescent="0.25">
      <c r="AR2080" s="11">
        <v>0.75000000000000044</v>
      </c>
      <c r="AS2080" s="7">
        <v>0.1905255888325765</v>
      </c>
    </row>
    <row r="2081" spans="44:45" x14ac:dyDescent="0.25">
      <c r="AR2081" s="11">
        <v>0.76000000000000045</v>
      </c>
      <c r="AS2081" s="7">
        <v>0.1905255888325765</v>
      </c>
    </row>
    <row r="2082" spans="44:45" x14ac:dyDescent="0.25">
      <c r="AR2082" s="11">
        <v>0.77000000000000046</v>
      </c>
      <c r="AS2082" s="7">
        <v>0.1905255888325765</v>
      </c>
    </row>
    <row r="2083" spans="44:45" x14ac:dyDescent="0.25">
      <c r="AR2083" s="11">
        <v>0.78000000000000047</v>
      </c>
      <c r="AS2083" s="7">
        <v>0.1905255888325765</v>
      </c>
    </row>
    <row r="2084" spans="44:45" x14ac:dyDescent="0.25">
      <c r="AR2084" s="11">
        <v>0.79000000000000048</v>
      </c>
      <c r="AS2084" s="7">
        <v>0.1905255888325765</v>
      </c>
    </row>
    <row r="2085" spans="44:45" x14ac:dyDescent="0.25">
      <c r="AR2085" s="11">
        <v>0.80000000000000049</v>
      </c>
      <c r="AS2085" s="7">
        <v>0.1905255888325765</v>
      </c>
    </row>
    <row r="2086" spans="44:45" x14ac:dyDescent="0.25">
      <c r="AR2086" s="11">
        <v>0.8100000000000005</v>
      </c>
      <c r="AS2086" s="7">
        <v>0.1905255888325765</v>
      </c>
    </row>
    <row r="2087" spans="44:45" x14ac:dyDescent="0.25">
      <c r="AR2087" s="11">
        <v>0.82000000000000051</v>
      </c>
      <c r="AS2087" s="7">
        <v>0.1905255888325765</v>
      </c>
    </row>
    <row r="2088" spans="44:45" x14ac:dyDescent="0.25">
      <c r="AR2088" s="11">
        <v>0.83000000000000052</v>
      </c>
      <c r="AS2088" s="7">
        <v>0.1905255888325765</v>
      </c>
    </row>
    <row r="2089" spans="44:45" x14ac:dyDescent="0.25">
      <c r="AR2089" s="11">
        <v>0.84000000000000052</v>
      </c>
      <c r="AS2089" s="7">
        <v>0.1905255888325765</v>
      </c>
    </row>
    <row r="2090" spans="44:45" x14ac:dyDescent="0.25">
      <c r="AR2090" s="11">
        <v>0.85000000000000053</v>
      </c>
      <c r="AS2090" s="7">
        <v>0.1905255888325765</v>
      </c>
    </row>
    <row r="2091" spans="44:45" x14ac:dyDescent="0.25">
      <c r="AR2091" s="11">
        <v>0.86000000000000054</v>
      </c>
      <c r="AS2091" s="7">
        <v>0.1905255888325765</v>
      </c>
    </row>
    <row r="2092" spans="44:45" x14ac:dyDescent="0.25">
      <c r="AR2092" s="11">
        <v>0.87000000000000055</v>
      </c>
      <c r="AS2092" s="7">
        <v>0.1905255888325765</v>
      </c>
    </row>
    <row r="2093" spans="44:45" x14ac:dyDescent="0.25">
      <c r="AR2093" s="11">
        <v>0.88000000000000056</v>
      </c>
      <c r="AS2093" s="7">
        <v>0.1905255888325765</v>
      </c>
    </row>
    <row r="2094" spans="44:45" x14ac:dyDescent="0.25">
      <c r="AR2094" s="11">
        <v>0.89000000000000057</v>
      </c>
      <c r="AS2094" s="7">
        <v>0.1905255888325765</v>
      </c>
    </row>
    <row r="2095" spans="44:45" x14ac:dyDescent="0.25">
      <c r="AR2095" s="11"/>
      <c r="AS2095" s="7"/>
    </row>
    <row r="2096" spans="44:45" x14ac:dyDescent="0.25">
      <c r="AR2096" s="11">
        <v>0.11499999999999998</v>
      </c>
      <c r="AS2096" s="7">
        <v>0.1991858428704209</v>
      </c>
    </row>
    <row r="2097" spans="44:45" x14ac:dyDescent="0.25">
      <c r="AR2097" s="11">
        <v>0.12499999999999997</v>
      </c>
      <c r="AS2097" s="7">
        <v>0.1991858428704209</v>
      </c>
    </row>
    <row r="2098" spans="44:45" x14ac:dyDescent="0.25">
      <c r="AR2098" s="11">
        <v>0.13499999999999998</v>
      </c>
      <c r="AS2098" s="7">
        <v>0.1991858428704209</v>
      </c>
    </row>
    <row r="2099" spans="44:45" x14ac:dyDescent="0.25">
      <c r="AR2099" s="11">
        <v>0.14499999999999999</v>
      </c>
      <c r="AS2099" s="7">
        <v>0.1991858428704209</v>
      </c>
    </row>
    <row r="2100" spans="44:45" x14ac:dyDescent="0.25">
      <c r="AR2100" s="11">
        <v>0.155</v>
      </c>
      <c r="AS2100" s="7">
        <v>0.1991858428704209</v>
      </c>
    </row>
    <row r="2101" spans="44:45" x14ac:dyDescent="0.25">
      <c r="AR2101" s="11">
        <v>0.16500000000000001</v>
      </c>
      <c r="AS2101" s="7">
        <v>0.1991858428704209</v>
      </c>
    </row>
    <row r="2102" spans="44:45" x14ac:dyDescent="0.25">
      <c r="AR2102" s="11">
        <v>0.17500000000000002</v>
      </c>
      <c r="AS2102" s="7">
        <v>0.1991858428704209</v>
      </c>
    </row>
    <row r="2103" spans="44:45" x14ac:dyDescent="0.25">
      <c r="AR2103" s="11">
        <v>0.18500000000000003</v>
      </c>
      <c r="AS2103" s="7">
        <v>0.1991858428704209</v>
      </c>
    </row>
    <row r="2104" spans="44:45" x14ac:dyDescent="0.25">
      <c r="AR2104" s="11">
        <v>0.19500000000000003</v>
      </c>
      <c r="AS2104" s="7">
        <v>0.1991858428704209</v>
      </c>
    </row>
    <row r="2105" spans="44:45" x14ac:dyDescent="0.25">
      <c r="AR2105" s="11">
        <v>0.20500000000000004</v>
      </c>
      <c r="AS2105" s="7">
        <v>0.1991858428704209</v>
      </c>
    </row>
    <row r="2106" spans="44:45" x14ac:dyDescent="0.25">
      <c r="AR2106" s="11">
        <v>0.21500000000000005</v>
      </c>
      <c r="AS2106" s="7">
        <v>0.1991858428704209</v>
      </c>
    </row>
    <row r="2107" spans="44:45" x14ac:dyDescent="0.25">
      <c r="AR2107" s="11">
        <v>0.22500000000000006</v>
      </c>
      <c r="AS2107" s="7">
        <v>0.1991858428704209</v>
      </c>
    </row>
    <row r="2108" spans="44:45" x14ac:dyDescent="0.25">
      <c r="AR2108" s="11">
        <v>0.23500000000000007</v>
      </c>
      <c r="AS2108" s="7">
        <v>0.1991858428704209</v>
      </c>
    </row>
    <row r="2109" spans="44:45" x14ac:dyDescent="0.25">
      <c r="AR2109" s="11">
        <v>0.24500000000000008</v>
      </c>
      <c r="AS2109" s="7">
        <v>0.1991858428704209</v>
      </c>
    </row>
    <row r="2110" spans="44:45" x14ac:dyDescent="0.25">
      <c r="AR2110" s="11">
        <v>0.25500000000000006</v>
      </c>
      <c r="AS2110" s="7">
        <v>0.1991858428704209</v>
      </c>
    </row>
    <row r="2111" spans="44:45" x14ac:dyDescent="0.25">
      <c r="AR2111" s="11">
        <v>0.26500000000000007</v>
      </c>
      <c r="AS2111" s="7">
        <v>0.1991858428704209</v>
      </c>
    </row>
    <row r="2112" spans="44:45" x14ac:dyDescent="0.25">
      <c r="AR2112" s="11">
        <v>0.27500000000000008</v>
      </c>
      <c r="AS2112" s="7">
        <v>0.1991858428704209</v>
      </c>
    </row>
    <row r="2113" spans="44:45" x14ac:dyDescent="0.25">
      <c r="AR2113" s="11">
        <v>0.28500000000000009</v>
      </c>
      <c r="AS2113" s="7">
        <v>0.1991858428704209</v>
      </c>
    </row>
    <row r="2114" spans="44:45" x14ac:dyDescent="0.25">
      <c r="AR2114" s="11">
        <v>0.2950000000000001</v>
      </c>
      <c r="AS2114" s="7">
        <v>0.1991858428704209</v>
      </c>
    </row>
    <row r="2115" spans="44:45" x14ac:dyDescent="0.25">
      <c r="AR2115" s="11">
        <v>0.3050000000000001</v>
      </c>
      <c r="AS2115" s="7">
        <v>0.1991858428704209</v>
      </c>
    </row>
    <row r="2116" spans="44:45" x14ac:dyDescent="0.25">
      <c r="AR2116" s="11">
        <v>0.31500000000000011</v>
      </c>
      <c r="AS2116" s="7">
        <v>0.1991858428704209</v>
      </c>
    </row>
    <row r="2117" spans="44:45" x14ac:dyDescent="0.25">
      <c r="AR2117" s="11">
        <v>0.32500000000000012</v>
      </c>
      <c r="AS2117" s="7">
        <v>0.1991858428704209</v>
      </c>
    </row>
    <row r="2118" spans="44:45" x14ac:dyDescent="0.25">
      <c r="AR2118" s="11">
        <v>0.33500000000000013</v>
      </c>
      <c r="AS2118" s="7">
        <v>0.1991858428704209</v>
      </c>
    </row>
    <row r="2119" spans="44:45" x14ac:dyDescent="0.25">
      <c r="AR2119" s="11">
        <v>0.34500000000000014</v>
      </c>
      <c r="AS2119" s="7">
        <v>0.1991858428704209</v>
      </c>
    </row>
    <row r="2120" spans="44:45" x14ac:dyDescent="0.25">
      <c r="AR2120" s="11">
        <v>0.35500000000000015</v>
      </c>
      <c r="AS2120" s="7">
        <v>0.1991858428704209</v>
      </c>
    </row>
    <row r="2121" spans="44:45" x14ac:dyDescent="0.25">
      <c r="AR2121" s="11">
        <v>0.36500000000000016</v>
      </c>
      <c r="AS2121" s="7">
        <v>0.1991858428704209</v>
      </c>
    </row>
    <row r="2122" spans="44:45" x14ac:dyDescent="0.25">
      <c r="AR2122" s="11">
        <v>0.37500000000000017</v>
      </c>
      <c r="AS2122" s="7">
        <v>0.1991858428704209</v>
      </c>
    </row>
    <row r="2123" spans="44:45" x14ac:dyDescent="0.25">
      <c r="AR2123" s="11">
        <v>0.38500000000000018</v>
      </c>
      <c r="AS2123" s="7">
        <v>0.1991858428704209</v>
      </c>
    </row>
    <row r="2124" spans="44:45" x14ac:dyDescent="0.25">
      <c r="AR2124" s="11">
        <v>0.39500000000000018</v>
      </c>
      <c r="AS2124" s="7">
        <v>0.1991858428704209</v>
      </c>
    </row>
    <row r="2125" spans="44:45" x14ac:dyDescent="0.25">
      <c r="AR2125" s="11">
        <v>0.40500000000000019</v>
      </c>
      <c r="AS2125" s="7">
        <v>0.1991858428704209</v>
      </c>
    </row>
    <row r="2126" spans="44:45" x14ac:dyDescent="0.25">
      <c r="AR2126" s="11">
        <v>0.4150000000000002</v>
      </c>
      <c r="AS2126" s="7">
        <v>0.1991858428704209</v>
      </c>
    </row>
    <row r="2127" spans="44:45" x14ac:dyDescent="0.25">
      <c r="AR2127" s="11">
        <v>0.42500000000000021</v>
      </c>
      <c r="AS2127" s="7">
        <v>0.1991858428704209</v>
      </c>
    </row>
    <row r="2128" spans="44:45" x14ac:dyDescent="0.25">
      <c r="AR2128" s="11">
        <v>0.43500000000000022</v>
      </c>
      <c r="AS2128" s="7">
        <v>0.1991858428704209</v>
      </c>
    </row>
    <row r="2129" spans="44:45" x14ac:dyDescent="0.25">
      <c r="AR2129" s="11">
        <v>0.44500000000000023</v>
      </c>
      <c r="AS2129" s="7">
        <v>0.1991858428704209</v>
      </c>
    </row>
    <row r="2130" spans="44:45" x14ac:dyDescent="0.25">
      <c r="AR2130" s="11">
        <v>0.45500000000000024</v>
      </c>
      <c r="AS2130" s="7">
        <v>0.1991858428704209</v>
      </c>
    </row>
    <row r="2131" spans="44:45" x14ac:dyDescent="0.25">
      <c r="AR2131" s="11">
        <v>0.46500000000000025</v>
      </c>
      <c r="AS2131" s="7">
        <v>0.1991858428704209</v>
      </c>
    </row>
    <row r="2132" spans="44:45" x14ac:dyDescent="0.25">
      <c r="AR2132" s="11">
        <v>0.47500000000000026</v>
      </c>
      <c r="AS2132" s="7">
        <v>0.1991858428704209</v>
      </c>
    </row>
    <row r="2133" spans="44:45" x14ac:dyDescent="0.25">
      <c r="AR2133" s="11">
        <v>0.48500000000000026</v>
      </c>
      <c r="AS2133" s="7">
        <v>0.1991858428704209</v>
      </c>
    </row>
    <row r="2134" spans="44:45" x14ac:dyDescent="0.25">
      <c r="AR2134" s="11">
        <v>0.49500000000000027</v>
      </c>
      <c r="AS2134" s="7">
        <v>0.1991858428704209</v>
      </c>
    </row>
    <row r="2135" spans="44:45" x14ac:dyDescent="0.25">
      <c r="AR2135" s="11">
        <v>0.50500000000000023</v>
      </c>
      <c r="AS2135" s="7">
        <v>0.1991858428704209</v>
      </c>
    </row>
    <row r="2136" spans="44:45" x14ac:dyDescent="0.25">
      <c r="AR2136" s="11">
        <v>0.51500000000000024</v>
      </c>
      <c r="AS2136" s="7">
        <v>0.1991858428704209</v>
      </c>
    </row>
    <row r="2137" spans="44:45" x14ac:dyDescent="0.25">
      <c r="AR2137" s="11">
        <v>0.52500000000000024</v>
      </c>
      <c r="AS2137" s="7">
        <v>0.1991858428704209</v>
      </c>
    </row>
    <row r="2138" spans="44:45" x14ac:dyDescent="0.25">
      <c r="AR2138" s="11">
        <v>0.53500000000000025</v>
      </c>
      <c r="AS2138" s="7">
        <v>0.1991858428704209</v>
      </c>
    </row>
    <row r="2139" spans="44:45" x14ac:dyDescent="0.25">
      <c r="AR2139" s="11">
        <v>0.54500000000000026</v>
      </c>
      <c r="AS2139" s="7">
        <v>0.1991858428704209</v>
      </c>
    </row>
    <row r="2140" spans="44:45" x14ac:dyDescent="0.25">
      <c r="AR2140" s="11">
        <v>0.55500000000000027</v>
      </c>
      <c r="AS2140" s="7">
        <v>0.1991858428704209</v>
      </c>
    </row>
    <row r="2141" spans="44:45" x14ac:dyDescent="0.25">
      <c r="AR2141" s="11">
        <v>0.56500000000000028</v>
      </c>
      <c r="AS2141" s="7">
        <v>0.1991858428704209</v>
      </c>
    </row>
    <row r="2142" spans="44:45" x14ac:dyDescent="0.25">
      <c r="AR2142" s="11">
        <v>0.57500000000000029</v>
      </c>
      <c r="AS2142" s="7">
        <v>0.1991858428704209</v>
      </c>
    </row>
    <row r="2143" spans="44:45" x14ac:dyDescent="0.25">
      <c r="AR2143" s="11">
        <v>0.5850000000000003</v>
      </c>
      <c r="AS2143" s="7">
        <v>0.1991858428704209</v>
      </c>
    </row>
    <row r="2144" spans="44:45" x14ac:dyDescent="0.25">
      <c r="AR2144" s="11">
        <v>0.59500000000000031</v>
      </c>
      <c r="AS2144" s="7">
        <v>0.1991858428704209</v>
      </c>
    </row>
    <row r="2145" spans="44:45" x14ac:dyDescent="0.25">
      <c r="AR2145" s="11">
        <v>0.60500000000000032</v>
      </c>
      <c r="AS2145" s="7">
        <v>0.1991858428704209</v>
      </c>
    </row>
    <row r="2146" spans="44:45" x14ac:dyDescent="0.25">
      <c r="AR2146" s="11">
        <v>0.61500000000000032</v>
      </c>
      <c r="AS2146" s="7">
        <v>0.1991858428704209</v>
      </c>
    </row>
    <row r="2147" spans="44:45" x14ac:dyDescent="0.25">
      <c r="AR2147" s="11">
        <v>0.62500000000000033</v>
      </c>
      <c r="AS2147" s="7">
        <v>0.1991858428704209</v>
      </c>
    </row>
    <row r="2148" spans="44:45" x14ac:dyDescent="0.25">
      <c r="AR2148" s="11">
        <v>0.63500000000000034</v>
      </c>
      <c r="AS2148" s="7">
        <v>0.1991858428704209</v>
      </c>
    </row>
    <row r="2149" spans="44:45" x14ac:dyDescent="0.25">
      <c r="AR2149" s="11">
        <v>0.64500000000000035</v>
      </c>
      <c r="AS2149" s="7">
        <v>0.1991858428704209</v>
      </c>
    </row>
    <row r="2150" spans="44:45" x14ac:dyDescent="0.25">
      <c r="AR2150" s="11">
        <v>0.65500000000000036</v>
      </c>
      <c r="AS2150" s="7">
        <v>0.1991858428704209</v>
      </c>
    </row>
    <row r="2151" spans="44:45" x14ac:dyDescent="0.25">
      <c r="AR2151" s="11">
        <v>0.66500000000000037</v>
      </c>
      <c r="AS2151" s="7">
        <v>0.1991858428704209</v>
      </c>
    </row>
    <row r="2152" spans="44:45" x14ac:dyDescent="0.25">
      <c r="AR2152" s="11">
        <v>0.67500000000000038</v>
      </c>
      <c r="AS2152" s="7">
        <v>0.1991858428704209</v>
      </c>
    </row>
    <row r="2153" spans="44:45" x14ac:dyDescent="0.25">
      <c r="AR2153" s="11">
        <v>0.68500000000000039</v>
      </c>
      <c r="AS2153" s="7">
        <v>0.1991858428704209</v>
      </c>
    </row>
    <row r="2154" spans="44:45" x14ac:dyDescent="0.25">
      <c r="AR2154" s="11">
        <v>0.6950000000000004</v>
      </c>
      <c r="AS2154" s="7">
        <v>0.1991858428704209</v>
      </c>
    </row>
    <row r="2155" spans="44:45" x14ac:dyDescent="0.25">
      <c r="AR2155" s="11">
        <v>0.7050000000000004</v>
      </c>
      <c r="AS2155" s="7">
        <v>0.1991858428704209</v>
      </c>
    </row>
    <row r="2156" spans="44:45" x14ac:dyDescent="0.25">
      <c r="AR2156" s="11">
        <v>0.71500000000000041</v>
      </c>
      <c r="AS2156" s="7">
        <v>0.1991858428704209</v>
      </c>
    </row>
    <row r="2157" spans="44:45" x14ac:dyDescent="0.25">
      <c r="AR2157" s="11">
        <v>0.72500000000000042</v>
      </c>
      <c r="AS2157" s="7">
        <v>0.1991858428704209</v>
      </c>
    </row>
    <row r="2158" spans="44:45" x14ac:dyDescent="0.25">
      <c r="AR2158" s="11">
        <v>0.73500000000000043</v>
      </c>
      <c r="AS2158" s="7">
        <v>0.1991858428704209</v>
      </c>
    </row>
    <row r="2159" spans="44:45" x14ac:dyDescent="0.25">
      <c r="AR2159" s="11">
        <v>0.74500000000000044</v>
      </c>
      <c r="AS2159" s="7">
        <v>0.1991858428704209</v>
      </c>
    </row>
    <row r="2160" spans="44:45" x14ac:dyDescent="0.25">
      <c r="AR2160" s="11">
        <v>0.75500000000000045</v>
      </c>
      <c r="AS2160" s="7">
        <v>0.1991858428704209</v>
      </c>
    </row>
    <row r="2161" spans="44:45" x14ac:dyDescent="0.25">
      <c r="AR2161" s="11">
        <v>0.76500000000000046</v>
      </c>
      <c r="AS2161" s="7">
        <v>0.1991858428704209</v>
      </c>
    </row>
    <row r="2162" spans="44:45" x14ac:dyDescent="0.25">
      <c r="AR2162" s="11">
        <v>0.77500000000000047</v>
      </c>
      <c r="AS2162" s="7">
        <v>0.1991858428704209</v>
      </c>
    </row>
    <row r="2163" spans="44:45" x14ac:dyDescent="0.25">
      <c r="AR2163" s="11">
        <v>0.78500000000000048</v>
      </c>
      <c r="AS2163" s="7">
        <v>0.1991858428704209</v>
      </c>
    </row>
    <row r="2164" spans="44:45" x14ac:dyDescent="0.25">
      <c r="AR2164" s="11">
        <v>0.79500000000000048</v>
      </c>
      <c r="AS2164" s="7">
        <v>0.1991858428704209</v>
      </c>
    </row>
    <row r="2165" spans="44:45" x14ac:dyDescent="0.25">
      <c r="AR2165" s="11">
        <v>0.80500000000000049</v>
      </c>
      <c r="AS2165" s="7">
        <v>0.1991858428704209</v>
      </c>
    </row>
    <row r="2166" spans="44:45" x14ac:dyDescent="0.25">
      <c r="AR2166" s="11">
        <v>0.8150000000000005</v>
      </c>
      <c r="AS2166" s="7">
        <v>0.1991858428704209</v>
      </c>
    </row>
    <row r="2167" spans="44:45" x14ac:dyDescent="0.25">
      <c r="AR2167" s="11">
        <v>0.82500000000000051</v>
      </c>
      <c r="AS2167" s="7">
        <v>0.1991858428704209</v>
      </c>
    </row>
    <row r="2168" spans="44:45" x14ac:dyDescent="0.25">
      <c r="AR2168" s="11">
        <v>0.83500000000000052</v>
      </c>
      <c r="AS2168" s="7">
        <v>0.1991858428704209</v>
      </c>
    </row>
    <row r="2169" spans="44:45" x14ac:dyDescent="0.25">
      <c r="AR2169" s="11">
        <v>0.84500000000000053</v>
      </c>
      <c r="AS2169" s="7">
        <v>0.1991858428704209</v>
      </c>
    </row>
    <row r="2170" spans="44:45" x14ac:dyDescent="0.25">
      <c r="AR2170" s="11">
        <v>0.85500000000000054</v>
      </c>
      <c r="AS2170" s="7">
        <v>0.1991858428704209</v>
      </c>
    </row>
    <row r="2171" spans="44:45" x14ac:dyDescent="0.25">
      <c r="AR2171" s="11">
        <v>0.86500000000000055</v>
      </c>
      <c r="AS2171" s="7">
        <v>0.1991858428704209</v>
      </c>
    </row>
    <row r="2172" spans="44:45" x14ac:dyDescent="0.25">
      <c r="AR2172" s="11">
        <v>0.87500000000000056</v>
      </c>
      <c r="AS2172" s="7">
        <v>0.1991858428704209</v>
      </c>
    </row>
    <row r="2173" spans="44:45" x14ac:dyDescent="0.25">
      <c r="AR2173" s="11">
        <v>0.88500000000000056</v>
      </c>
      <c r="AS2173" s="7">
        <v>0.1991858428704209</v>
      </c>
    </row>
    <row r="2174" spans="44:45" x14ac:dyDescent="0.25">
      <c r="AR2174" s="11"/>
      <c r="AS2174" s="7"/>
    </row>
    <row r="2175" spans="44:45" x14ac:dyDescent="0.25">
      <c r="AR2175" s="11">
        <v>0.11999999999999998</v>
      </c>
      <c r="AS2175" s="7">
        <v>0.20784609690826528</v>
      </c>
    </row>
    <row r="2176" spans="44:45" x14ac:dyDescent="0.25">
      <c r="AR2176" s="11">
        <v>0.12999999999999998</v>
      </c>
      <c r="AS2176" s="7">
        <v>0.20784609690826528</v>
      </c>
    </row>
    <row r="2177" spans="44:45" x14ac:dyDescent="0.25">
      <c r="AR2177" s="11">
        <v>0.13999999999999999</v>
      </c>
      <c r="AS2177" s="7">
        <v>0.20784609690826528</v>
      </c>
    </row>
    <row r="2178" spans="44:45" x14ac:dyDescent="0.25">
      <c r="AR2178" s="11">
        <v>0.15</v>
      </c>
      <c r="AS2178" s="7">
        <v>0.20784609690826528</v>
      </c>
    </row>
    <row r="2179" spans="44:45" x14ac:dyDescent="0.25">
      <c r="AR2179" s="11">
        <v>0.16</v>
      </c>
      <c r="AS2179" s="7">
        <v>0.20784609690826528</v>
      </c>
    </row>
    <row r="2180" spans="44:45" x14ac:dyDescent="0.25">
      <c r="AR2180" s="11">
        <v>0.17</v>
      </c>
      <c r="AS2180" s="7">
        <v>0.20784609690826528</v>
      </c>
    </row>
    <row r="2181" spans="44:45" x14ac:dyDescent="0.25">
      <c r="AR2181" s="11">
        <v>0.18000000000000002</v>
      </c>
      <c r="AS2181" s="7">
        <v>0.20784609690826528</v>
      </c>
    </row>
    <row r="2182" spans="44:45" x14ac:dyDescent="0.25">
      <c r="AR2182" s="11">
        <v>0.19000000000000003</v>
      </c>
      <c r="AS2182" s="7">
        <v>0.20784609690826528</v>
      </c>
    </row>
    <row r="2183" spans="44:45" x14ac:dyDescent="0.25">
      <c r="AR2183" s="11">
        <v>0.20000000000000004</v>
      </c>
      <c r="AS2183" s="7">
        <v>0.20784609690826528</v>
      </c>
    </row>
    <row r="2184" spans="44:45" x14ac:dyDescent="0.25">
      <c r="AR2184" s="11">
        <v>0.21000000000000005</v>
      </c>
      <c r="AS2184" s="7">
        <v>0.20784609690826528</v>
      </c>
    </row>
    <row r="2185" spans="44:45" x14ac:dyDescent="0.25">
      <c r="AR2185" s="11">
        <v>0.22000000000000006</v>
      </c>
      <c r="AS2185" s="7">
        <v>0.20784609690826528</v>
      </c>
    </row>
    <row r="2186" spans="44:45" x14ac:dyDescent="0.25">
      <c r="AR2186" s="11">
        <v>0.23000000000000007</v>
      </c>
      <c r="AS2186" s="7">
        <v>0.20784609690826528</v>
      </c>
    </row>
    <row r="2187" spans="44:45" x14ac:dyDescent="0.25">
      <c r="AR2187" s="11">
        <v>0.24000000000000007</v>
      </c>
      <c r="AS2187" s="7">
        <v>0.20784609690826528</v>
      </c>
    </row>
    <row r="2188" spans="44:45" x14ac:dyDescent="0.25">
      <c r="AR2188" s="11">
        <v>0.25000000000000006</v>
      </c>
      <c r="AS2188" s="7">
        <v>0.20784609690826528</v>
      </c>
    </row>
    <row r="2189" spans="44:45" x14ac:dyDescent="0.25">
      <c r="AR2189" s="11">
        <v>0.26000000000000006</v>
      </c>
      <c r="AS2189" s="7">
        <v>0.20784609690826528</v>
      </c>
    </row>
    <row r="2190" spans="44:45" x14ac:dyDescent="0.25">
      <c r="AR2190" s="11">
        <v>0.27000000000000007</v>
      </c>
      <c r="AS2190" s="7">
        <v>0.20784609690826528</v>
      </c>
    </row>
    <row r="2191" spans="44:45" x14ac:dyDescent="0.25">
      <c r="AR2191" s="11">
        <v>0.28000000000000008</v>
      </c>
      <c r="AS2191" s="7">
        <v>0.20784609690826528</v>
      </c>
    </row>
    <row r="2192" spans="44:45" x14ac:dyDescent="0.25">
      <c r="AR2192" s="11">
        <v>0.29000000000000009</v>
      </c>
      <c r="AS2192" s="7">
        <v>0.20784609690826528</v>
      </c>
    </row>
    <row r="2193" spans="44:45" x14ac:dyDescent="0.25">
      <c r="AR2193" s="11">
        <v>0.3000000000000001</v>
      </c>
      <c r="AS2193" s="7">
        <v>0.20784609690826528</v>
      </c>
    </row>
    <row r="2194" spans="44:45" x14ac:dyDescent="0.25">
      <c r="AR2194" s="11">
        <v>0.31000000000000011</v>
      </c>
      <c r="AS2194" s="7">
        <v>0.20784609690826528</v>
      </c>
    </row>
    <row r="2195" spans="44:45" x14ac:dyDescent="0.25">
      <c r="AR2195" s="11">
        <v>0.32000000000000012</v>
      </c>
      <c r="AS2195" s="7">
        <v>0.20784609690826528</v>
      </c>
    </row>
    <row r="2196" spans="44:45" x14ac:dyDescent="0.25">
      <c r="AR2196" s="11">
        <v>0.33000000000000013</v>
      </c>
      <c r="AS2196" s="7">
        <v>0.20784609690826528</v>
      </c>
    </row>
    <row r="2197" spans="44:45" x14ac:dyDescent="0.25">
      <c r="AR2197" s="11">
        <v>0.34000000000000014</v>
      </c>
      <c r="AS2197" s="7">
        <v>0.20784609690826528</v>
      </c>
    </row>
    <row r="2198" spans="44:45" x14ac:dyDescent="0.25">
      <c r="AR2198" s="11">
        <v>0.35000000000000014</v>
      </c>
      <c r="AS2198" s="7">
        <v>0.20784609690826528</v>
      </c>
    </row>
    <row r="2199" spans="44:45" x14ac:dyDescent="0.25">
      <c r="AR2199" s="11">
        <v>0.36000000000000015</v>
      </c>
      <c r="AS2199" s="7">
        <v>0.20784609690826528</v>
      </c>
    </row>
    <row r="2200" spans="44:45" x14ac:dyDescent="0.25">
      <c r="AR2200" s="11">
        <v>0.37000000000000016</v>
      </c>
      <c r="AS2200" s="7">
        <v>0.20784609690826528</v>
      </c>
    </row>
    <row r="2201" spans="44:45" x14ac:dyDescent="0.25">
      <c r="AR2201" s="11">
        <v>0.38000000000000017</v>
      </c>
      <c r="AS2201" s="7">
        <v>0.20784609690826528</v>
      </c>
    </row>
    <row r="2202" spans="44:45" x14ac:dyDescent="0.25">
      <c r="AR2202" s="11">
        <v>0.39000000000000018</v>
      </c>
      <c r="AS2202" s="7">
        <v>0.20784609690826528</v>
      </c>
    </row>
    <row r="2203" spans="44:45" x14ac:dyDescent="0.25">
      <c r="AR2203" s="11">
        <v>0.40000000000000019</v>
      </c>
      <c r="AS2203" s="7">
        <v>0.20784609690826528</v>
      </c>
    </row>
    <row r="2204" spans="44:45" x14ac:dyDescent="0.25">
      <c r="AR2204" s="11">
        <v>0.4100000000000002</v>
      </c>
      <c r="AS2204" s="7">
        <v>0.20784609690826528</v>
      </c>
    </row>
    <row r="2205" spans="44:45" x14ac:dyDescent="0.25">
      <c r="AR2205" s="11">
        <v>0.42000000000000021</v>
      </c>
      <c r="AS2205" s="7">
        <v>0.20784609690826528</v>
      </c>
    </row>
    <row r="2206" spans="44:45" x14ac:dyDescent="0.25">
      <c r="AR2206" s="11">
        <v>0.43000000000000022</v>
      </c>
      <c r="AS2206" s="7">
        <v>0.20784609690826528</v>
      </c>
    </row>
    <row r="2207" spans="44:45" x14ac:dyDescent="0.25">
      <c r="AR2207" s="11">
        <v>0.44000000000000022</v>
      </c>
      <c r="AS2207" s="7">
        <v>0.20784609690826528</v>
      </c>
    </row>
    <row r="2208" spans="44:45" x14ac:dyDescent="0.25">
      <c r="AR2208" s="11">
        <v>0.45000000000000023</v>
      </c>
      <c r="AS2208" s="7">
        <v>0.20784609690826528</v>
      </c>
    </row>
    <row r="2209" spans="44:45" x14ac:dyDescent="0.25">
      <c r="AR2209" s="11">
        <v>0.46000000000000024</v>
      </c>
      <c r="AS2209" s="7">
        <v>0.20784609690826528</v>
      </c>
    </row>
    <row r="2210" spans="44:45" x14ac:dyDescent="0.25">
      <c r="AR2210" s="11">
        <v>0.47000000000000025</v>
      </c>
      <c r="AS2210" s="7">
        <v>0.20784609690826528</v>
      </c>
    </row>
    <row r="2211" spans="44:45" x14ac:dyDescent="0.25">
      <c r="AR2211" s="11">
        <v>0.48000000000000026</v>
      </c>
      <c r="AS2211" s="7">
        <v>0.20784609690826528</v>
      </c>
    </row>
    <row r="2212" spans="44:45" x14ac:dyDescent="0.25">
      <c r="AR2212" s="11">
        <v>0.49000000000000027</v>
      </c>
      <c r="AS2212" s="7">
        <v>0.20784609690826528</v>
      </c>
    </row>
    <row r="2213" spans="44:45" x14ac:dyDescent="0.25">
      <c r="AR2213" s="11">
        <v>0.50000000000000022</v>
      </c>
      <c r="AS2213" s="7">
        <v>0.20784609690826528</v>
      </c>
    </row>
    <row r="2214" spans="44:45" x14ac:dyDescent="0.25">
      <c r="AR2214" s="11">
        <v>0.51000000000000023</v>
      </c>
      <c r="AS2214" s="7">
        <v>0.20784609690826528</v>
      </c>
    </row>
    <row r="2215" spans="44:45" x14ac:dyDescent="0.25">
      <c r="AR2215" s="11">
        <v>0.52000000000000024</v>
      </c>
      <c r="AS2215" s="7">
        <v>0.20784609690826528</v>
      </c>
    </row>
    <row r="2216" spans="44:45" x14ac:dyDescent="0.25">
      <c r="AR2216" s="11">
        <v>0.53000000000000025</v>
      </c>
      <c r="AS2216" s="7">
        <v>0.20784609690826528</v>
      </c>
    </row>
    <row r="2217" spans="44:45" x14ac:dyDescent="0.25">
      <c r="AR2217" s="11">
        <v>0.54000000000000026</v>
      </c>
      <c r="AS2217" s="7">
        <v>0.20784609690826528</v>
      </c>
    </row>
    <row r="2218" spans="44:45" x14ac:dyDescent="0.25">
      <c r="AR2218" s="11">
        <v>0.55000000000000027</v>
      </c>
      <c r="AS2218" s="7">
        <v>0.20784609690826528</v>
      </c>
    </row>
    <row r="2219" spans="44:45" x14ac:dyDescent="0.25">
      <c r="AR2219" s="11">
        <v>0.56000000000000028</v>
      </c>
      <c r="AS2219" s="7">
        <v>0.20784609690826528</v>
      </c>
    </row>
    <row r="2220" spans="44:45" x14ac:dyDescent="0.25">
      <c r="AR2220" s="11">
        <v>0.57000000000000028</v>
      </c>
      <c r="AS2220" s="7">
        <v>0.20784609690826528</v>
      </c>
    </row>
    <row r="2221" spans="44:45" x14ac:dyDescent="0.25">
      <c r="AR2221" s="11">
        <v>0.58000000000000029</v>
      </c>
      <c r="AS2221" s="7">
        <v>0.20784609690826528</v>
      </c>
    </row>
    <row r="2222" spans="44:45" x14ac:dyDescent="0.25">
      <c r="AR2222" s="11">
        <v>0.5900000000000003</v>
      </c>
      <c r="AS2222" s="7">
        <v>0.20784609690826528</v>
      </c>
    </row>
    <row r="2223" spans="44:45" x14ac:dyDescent="0.25">
      <c r="AR2223" s="11">
        <v>0.60000000000000031</v>
      </c>
      <c r="AS2223" s="7">
        <v>0.20784609690826528</v>
      </c>
    </row>
    <row r="2224" spans="44:45" x14ac:dyDescent="0.25">
      <c r="AR2224" s="11">
        <v>0.61000000000000032</v>
      </c>
      <c r="AS2224" s="7">
        <v>0.20784609690826528</v>
      </c>
    </row>
    <row r="2225" spans="44:45" x14ac:dyDescent="0.25">
      <c r="AR2225" s="11">
        <v>0.62000000000000033</v>
      </c>
      <c r="AS2225" s="7">
        <v>0.20784609690826528</v>
      </c>
    </row>
    <row r="2226" spans="44:45" x14ac:dyDescent="0.25">
      <c r="AR2226" s="11">
        <v>0.63000000000000034</v>
      </c>
      <c r="AS2226" s="7">
        <v>0.20784609690826528</v>
      </c>
    </row>
    <row r="2227" spans="44:45" x14ac:dyDescent="0.25">
      <c r="AR2227" s="11">
        <v>0.64000000000000035</v>
      </c>
      <c r="AS2227" s="7">
        <v>0.20784609690826528</v>
      </c>
    </row>
    <row r="2228" spans="44:45" x14ac:dyDescent="0.25">
      <c r="AR2228" s="11">
        <v>0.65000000000000036</v>
      </c>
      <c r="AS2228" s="7">
        <v>0.20784609690826528</v>
      </c>
    </row>
    <row r="2229" spans="44:45" x14ac:dyDescent="0.25">
      <c r="AR2229" s="11">
        <v>0.66000000000000036</v>
      </c>
      <c r="AS2229" s="7">
        <v>0.20784609690826528</v>
      </c>
    </row>
    <row r="2230" spans="44:45" x14ac:dyDescent="0.25">
      <c r="AR2230" s="11">
        <v>0.67000000000000037</v>
      </c>
      <c r="AS2230" s="7">
        <v>0.20784609690826528</v>
      </c>
    </row>
    <row r="2231" spans="44:45" x14ac:dyDescent="0.25">
      <c r="AR2231" s="11">
        <v>0.68000000000000038</v>
      </c>
      <c r="AS2231" s="7">
        <v>0.20784609690826528</v>
      </c>
    </row>
    <row r="2232" spans="44:45" x14ac:dyDescent="0.25">
      <c r="AR2232" s="11">
        <v>0.69000000000000039</v>
      </c>
      <c r="AS2232" s="7">
        <v>0.20784609690826528</v>
      </c>
    </row>
    <row r="2233" spans="44:45" x14ac:dyDescent="0.25">
      <c r="AR2233" s="11">
        <v>0.7000000000000004</v>
      </c>
      <c r="AS2233" s="7">
        <v>0.20784609690826528</v>
      </c>
    </row>
    <row r="2234" spans="44:45" x14ac:dyDescent="0.25">
      <c r="AR2234" s="11">
        <v>0.71000000000000041</v>
      </c>
      <c r="AS2234" s="7">
        <v>0.20784609690826528</v>
      </c>
    </row>
    <row r="2235" spans="44:45" x14ac:dyDescent="0.25">
      <c r="AR2235" s="11">
        <v>0.72000000000000042</v>
      </c>
      <c r="AS2235" s="7">
        <v>0.20784609690826528</v>
      </c>
    </row>
    <row r="2236" spans="44:45" x14ac:dyDescent="0.25">
      <c r="AR2236" s="11">
        <v>0.73000000000000043</v>
      </c>
      <c r="AS2236" s="7">
        <v>0.20784609690826528</v>
      </c>
    </row>
    <row r="2237" spans="44:45" x14ac:dyDescent="0.25">
      <c r="AR2237" s="11">
        <v>0.74000000000000044</v>
      </c>
      <c r="AS2237" s="7">
        <v>0.20784609690826528</v>
      </c>
    </row>
    <row r="2238" spans="44:45" x14ac:dyDescent="0.25">
      <c r="AR2238" s="11">
        <v>0.75000000000000044</v>
      </c>
      <c r="AS2238" s="7">
        <v>0.20784609690826528</v>
      </c>
    </row>
    <row r="2239" spans="44:45" x14ac:dyDescent="0.25">
      <c r="AR2239" s="11">
        <v>0.76000000000000045</v>
      </c>
      <c r="AS2239" s="7">
        <v>0.20784609690826528</v>
      </c>
    </row>
    <row r="2240" spans="44:45" x14ac:dyDescent="0.25">
      <c r="AR2240" s="11">
        <v>0.77000000000000046</v>
      </c>
      <c r="AS2240" s="7">
        <v>0.20784609690826528</v>
      </c>
    </row>
    <row r="2241" spans="44:45" x14ac:dyDescent="0.25">
      <c r="AR2241" s="11">
        <v>0.78000000000000047</v>
      </c>
      <c r="AS2241" s="7">
        <v>0.20784609690826528</v>
      </c>
    </row>
    <row r="2242" spans="44:45" x14ac:dyDescent="0.25">
      <c r="AR2242" s="11">
        <v>0.79000000000000048</v>
      </c>
      <c r="AS2242" s="7">
        <v>0.20784609690826528</v>
      </c>
    </row>
    <row r="2243" spans="44:45" x14ac:dyDescent="0.25">
      <c r="AR2243" s="11">
        <v>0.80000000000000049</v>
      </c>
      <c r="AS2243" s="7">
        <v>0.20784609690826528</v>
      </c>
    </row>
    <row r="2244" spans="44:45" x14ac:dyDescent="0.25">
      <c r="AR2244" s="11">
        <v>0.8100000000000005</v>
      </c>
      <c r="AS2244" s="7">
        <v>0.20784609690826528</v>
      </c>
    </row>
    <row r="2245" spans="44:45" x14ac:dyDescent="0.25">
      <c r="AR2245" s="11">
        <v>0.82000000000000051</v>
      </c>
      <c r="AS2245" s="7">
        <v>0.20784609690826528</v>
      </c>
    </row>
    <row r="2246" spans="44:45" x14ac:dyDescent="0.25">
      <c r="AR2246" s="11">
        <v>0.83000000000000052</v>
      </c>
      <c r="AS2246" s="7">
        <v>0.20784609690826528</v>
      </c>
    </row>
    <row r="2247" spans="44:45" x14ac:dyDescent="0.25">
      <c r="AR2247" s="11">
        <v>0.84000000000000052</v>
      </c>
      <c r="AS2247" s="7">
        <v>0.20784609690826528</v>
      </c>
    </row>
    <row r="2248" spans="44:45" x14ac:dyDescent="0.25">
      <c r="AR2248" s="11">
        <v>0.85000000000000053</v>
      </c>
      <c r="AS2248" s="7">
        <v>0.20784609690826528</v>
      </c>
    </row>
    <row r="2249" spans="44:45" x14ac:dyDescent="0.25">
      <c r="AR2249" s="11">
        <v>0.86000000000000054</v>
      </c>
      <c r="AS2249" s="7">
        <v>0.20784609690826528</v>
      </c>
    </row>
    <row r="2250" spans="44:45" x14ac:dyDescent="0.25">
      <c r="AR2250" s="11">
        <v>0.87000000000000055</v>
      </c>
      <c r="AS2250" s="7">
        <v>0.20784609690826528</v>
      </c>
    </row>
    <row r="2251" spans="44:45" x14ac:dyDescent="0.25">
      <c r="AR2251" s="11">
        <v>0.88000000000000056</v>
      </c>
      <c r="AS2251" s="7">
        <v>0.20784609690826528</v>
      </c>
    </row>
    <row r="2252" spans="44:45" x14ac:dyDescent="0.25">
      <c r="AR2252" s="11"/>
      <c r="AS2252" s="7"/>
    </row>
    <row r="2253" spans="44:45" x14ac:dyDescent="0.25">
      <c r="AR2253" s="11">
        <v>0.12499999999999997</v>
      </c>
      <c r="AS2253" s="7">
        <v>0.21650635094610965</v>
      </c>
    </row>
    <row r="2254" spans="44:45" x14ac:dyDescent="0.25">
      <c r="AR2254" s="11">
        <v>0.13499999999999998</v>
      </c>
      <c r="AS2254" s="7">
        <v>0.21650635094610965</v>
      </c>
    </row>
    <row r="2255" spans="44:45" x14ac:dyDescent="0.25">
      <c r="AR2255" s="11">
        <v>0.14499999999999999</v>
      </c>
      <c r="AS2255" s="7">
        <v>0.21650635094610965</v>
      </c>
    </row>
    <row r="2256" spans="44:45" x14ac:dyDescent="0.25">
      <c r="AR2256" s="11">
        <v>0.155</v>
      </c>
      <c r="AS2256" s="7">
        <v>0.21650635094610965</v>
      </c>
    </row>
    <row r="2257" spans="44:45" x14ac:dyDescent="0.25">
      <c r="AR2257" s="11">
        <v>0.16500000000000001</v>
      </c>
      <c r="AS2257" s="7">
        <v>0.21650635094610965</v>
      </c>
    </row>
    <row r="2258" spans="44:45" x14ac:dyDescent="0.25">
      <c r="AR2258" s="11">
        <v>0.17500000000000002</v>
      </c>
      <c r="AS2258" s="7">
        <v>0.21650635094610965</v>
      </c>
    </row>
    <row r="2259" spans="44:45" x14ac:dyDescent="0.25">
      <c r="AR2259" s="11">
        <v>0.18500000000000003</v>
      </c>
      <c r="AS2259" s="7">
        <v>0.21650635094610965</v>
      </c>
    </row>
    <row r="2260" spans="44:45" x14ac:dyDescent="0.25">
      <c r="AR2260" s="11">
        <v>0.19500000000000003</v>
      </c>
      <c r="AS2260" s="7">
        <v>0.21650635094610965</v>
      </c>
    </row>
    <row r="2261" spans="44:45" x14ac:dyDescent="0.25">
      <c r="AR2261" s="11">
        <v>0.20500000000000004</v>
      </c>
      <c r="AS2261" s="7">
        <v>0.21650635094610965</v>
      </c>
    </row>
    <row r="2262" spans="44:45" x14ac:dyDescent="0.25">
      <c r="AR2262" s="11">
        <v>0.21500000000000005</v>
      </c>
      <c r="AS2262" s="7">
        <v>0.21650635094610965</v>
      </c>
    </row>
    <row r="2263" spans="44:45" x14ac:dyDescent="0.25">
      <c r="AR2263" s="11">
        <v>0.22500000000000006</v>
      </c>
      <c r="AS2263" s="7">
        <v>0.21650635094610965</v>
      </c>
    </row>
    <row r="2264" spans="44:45" x14ac:dyDescent="0.25">
      <c r="AR2264" s="11">
        <v>0.23500000000000007</v>
      </c>
      <c r="AS2264" s="7">
        <v>0.21650635094610965</v>
      </c>
    </row>
    <row r="2265" spans="44:45" x14ac:dyDescent="0.25">
      <c r="AR2265" s="11">
        <v>0.24500000000000008</v>
      </c>
      <c r="AS2265" s="7">
        <v>0.21650635094610965</v>
      </c>
    </row>
    <row r="2266" spans="44:45" x14ac:dyDescent="0.25">
      <c r="AR2266" s="11">
        <v>0.25500000000000006</v>
      </c>
      <c r="AS2266" s="7">
        <v>0.21650635094610965</v>
      </c>
    </row>
    <row r="2267" spans="44:45" x14ac:dyDescent="0.25">
      <c r="AR2267" s="11">
        <v>0.26500000000000007</v>
      </c>
      <c r="AS2267" s="7">
        <v>0.21650635094610965</v>
      </c>
    </row>
    <row r="2268" spans="44:45" x14ac:dyDescent="0.25">
      <c r="AR2268" s="11">
        <v>0.27500000000000008</v>
      </c>
      <c r="AS2268" s="7">
        <v>0.21650635094610965</v>
      </c>
    </row>
    <row r="2269" spans="44:45" x14ac:dyDescent="0.25">
      <c r="AR2269" s="11">
        <v>0.28500000000000009</v>
      </c>
      <c r="AS2269" s="7">
        <v>0.21650635094610965</v>
      </c>
    </row>
    <row r="2270" spans="44:45" x14ac:dyDescent="0.25">
      <c r="AR2270" s="11">
        <v>0.2950000000000001</v>
      </c>
      <c r="AS2270" s="7">
        <v>0.21650635094610965</v>
      </c>
    </row>
    <row r="2271" spans="44:45" x14ac:dyDescent="0.25">
      <c r="AR2271" s="11">
        <v>0.3050000000000001</v>
      </c>
      <c r="AS2271" s="7">
        <v>0.21650635094610965</v>
      </c>
    </row>
    <row r="2272" spans="44:45" x14ac:dyDescent="0.25">
      <c r="AR2272" s="11">
        <v>0.31500000000000011</v>
      </c>
      <c r="AS2272" s="7">
        <v>0.21650635094610965</v>
      </c>
    </row>
    <row r="2273" spans="44:45" x14ac:dyDescent="0.25">
      <c r="AR2273" s="11">
        <v>0.32500000000000012</v>
      </c>
      <c r="AS2273" s="7">
        <v>0.21650635094610965</v>
      </c>
    </row>
    <row r="2274" spans="44:45" x14ac:dyDescent="0.25">
      <c r="AR2274" s="11">
        <v>0.33500000000000013</v>
      </c>
      <c r="AS2274" s="7">
        <v>0.21650635094610965</v>
      </c>
    </row>
    <row r="2275" spans="44:45" x14ac:dyDescent="0.25">
      <c r="AR2275" s="11">
        <v>0.34500000000000014</v>
      </c>
      <c r="AS2275" s="7">
        <v>0.21650635094610965</v>
      </c>
    </row>
    <row r="2276" spans="44:45" x14ac:dyDescent="0.25">
      <c r="AR2276" s="11">
        <v>0.35500000000000015</v>
      </c>
      <c r="AS2276" s="7">
        <v>0.21650635094610965</v>
      </c>
    </row>
    <row r="2277" spans="44:45" x14ac:dyDescent="0.25">
      <c r="AR2277" s="11">
        <v>0.36500000000000016</v>
      </c>
      <c r="AS2277" s="7">
        <v>0.21650635094610965</v>
      </c>
    </row>
    <row r="2278" spans="44:45" x14ac:dyDescent="0.25">
      <c r="AR2278" s="11">
        <v>0.37500000000000017</v>
      </c>
      <c r="AS2278" s="7">
        <v>0.21650635094610965</v>
      </c>
    </row>
    <row r="2279" spans="44:45" x14ac:dyDescent="0.25">
      <c r="AR2279" s="11">
        <v>0.38500000000000018</v>
      </c>
      <c r="AS2279" s="7">
        <v>0.21650635094610965</v>
      </c>
    </row>
    <row r="2280" spans="44:45" x14ac:dyDescent="0.25">
      <c r="AR2280" s="11">
        <v>0.39500000000000018</v>
      </c>
      <c r="AS2280" s="7">
        <v>0.21650635094610965</v>
      </c>
    </row>
    <row r="2281" spans="44:45" x14ac:dyDescent="0.25">
      <c r="AR2281" s="11">
        <v>0.40500000000000019</v>
      </c>
      <c r="AS2281" s="7">
        <v>0.21650635094610965</v>
      </c>
    </row>
    <row r="2282" spans="44:45" x14ac:dyDescent="0.25">
      <c r="AR2282" s="11">
        <v>0.4150000000000002</v>
      </c>
      <c r="AS2282" s="7">
        <v>0.21650635094610965</v>
      </c>
    </row>
    <row r="2283" spans="44:45" x14ac:dyDescent="0.25">
      <c r="AR2283" s="11">
        <v>0.42500000000000021</v>
      </c>
      <c r="AS2283" s="7">
        <v>0.21650635094610965</v>
      </c>
    </row>
    <row r="2284" spans="44:45" x14ac:dyDescent="0.25">
      <c r="AR2284" s="11">
        <v>0.43500000000000022</v>
      </c>
      <c r="AS2284" s="7">
        <v>0.21650635094610965</v>
      </c>
    </row>
    <row r="2285" spans="44:45" x14ac:dyDescent="0.25">
      <c r="AR2285" s="11">
        <v>0.44500000000000023</v>
      </c>
      <c r="AS2285" s="7">
        <v>0.21650635094610965</v>
      </c>
    </row>
    <row r="2286" spans="44:45" x14ac:dyDescent="0.25">
      <c r="AR2286" s="11">
        <v>0.45500000000000024</v>
      </c>
      <c r="AS2286" s="7">
        <v>0.21650635094610965</v>
      </c>
    </row>
    <row r="2287" spans="44:45" x14ac:dyDescent="0.25">
      <c r="AR2287" s="11">
        <v>0.46500000000000025</v>
      </c>
      <c r="AS2287" s="7">
        <v>0.21650635094610965</v>
      </c>
    </row>
    <row r="2288" spans="44:45" x14ac:dyDescent="0.25">
      <c r="AR2288" s="11">
        <v>0.47500000000000026</v>
      </c>
      <c r="AS2288" s="7">
        <v>0.21650635094610965</v>
      </c>
    </row>
    <row r="2289" spans="44:45" x14ac:dyDescent="0.25">
      <c r="AR2289" s="11">
        <v>0.48500000000000026</v>
      </c>
      <c r="AS2289" s="7">
        <v>0.21650635094610965</v>
      </c>
    </row>
    <row r="2290" spans="44:45" x14ac:dyDescent="0.25">
      <c r="AR2290" s="11">
        <v>0.49500000000000027</v>
      </c>
      <c r="AS2290" s="7">
        <v>0.21650635094610965</v>
      </c>
    </row>
    <row r="2291" spans="44:45" x14ac:dyDescent="0.25">
      <c r="AR2291" s="11">
        <v>0.50500000000000023</v>
      </c>
      <c r="AS2291" s="7">
        <v>0.21650635094610965</v>
      </c>
    </row>
    <row r="2292" spans="44:45" x14ac:dyDescent="0.25">
      <c r="AR2292" s="11">
        <v>0.51500000000000024</v>
      </c>
      <c r="AS2292" s="7">
        <v>0.21650635094610965</v>
      </c>
    </row>
    <row r="2293" spans="44:45" x14ac:dyDescent="0.25">
      <c r="AR2293" s="11">
        <v>0.52500000000000024</v>
      </c>
      <c r="AS2293" s="7">
        <v>0.21650635094610965</v>
      </c>
    </row>
    <row r="2294" spans="44:45" x14ac:dyDescent="0.25">
      <c r="AR2294" s="11">
        <v>0.53500000000000025</v>
      </c>
      <c r="AS2294" s="7">
        <v>0.21650635094610965</v>
      </c>
    </row>
    <row r="2295" spans="44:45" x14ac:dyDescent="0.25">
      <c r="AR2295" s="11">
        <v>0.54500000000000026</v>
      </c>
      <c r="AS2295" s="7">
        <v>0.21650635094610965</v>
      </c>
    </row>
    <row r="2296" spans="44:45" x14ac:dyDescent="0.25">
      <c r="AR2296" s="11">
        <v>0.55500000000000027</v>
      </c>
      <c r="AS2296" s="7">
        <v>0.21650635094610965</v>
      </c>
    </row>
    <row r="2297" spans="44:45" x14ac:dyDescent="0.25">
      <c r="AR2297" s="11">
        <v>0.56500000000000028</v>
      </c>
      <c r="AS2297" s="7">
        <v>0.21650635094610965</v>
      </c>
    </row>
    <row r="2298" spans="44:45" x14ac:dyDescent="0.25">
      <c r="AR2298" s="11">
        <v>0.57500000000000029</v>
      </c>
      <c r="AS2298" s="7">
        <v>0.21650635094610965</v>
      </c>
    </row>
    <row r="2299" spans="44:45" x14ac:dyDescent="0.25">
      <c r="AR2299" s="11">
        <v>0.5850000000000003</v>
      </c>
      <c r="AS2299" s="7">
        <v>0.21650635094610965</v>
      </c>
    </row>
    <row r="2300" spans="44:45" x14ac:dyDescent="0.25">
      <c r="AR2300" s="11">
        <v>0.59500000000000031</v>
      </c>
      <c r="AS2300" s="7">
        <v>0.21650635094610965</v>
      </c>
    </row>
    <row r="2301" spans="44:45" x14ac:dyDescent="0.25">
      <c r="AR2301" s="11">
        <v>0.60500000000000032</v>
      </c>
      <c r="AS2301" s="7">
        <v>0.21650635094610965</v>
      </c>
    </row>
    <row r="2302" spans="44:45" x14ac:dyDescent="0.25">
      <c r="AR2302" s="11">
        <v>0.61500000000000032</v>
      </c>
      <c r="AS2302" s="7">
        <v>0.21650635094610965</v>
      </c>
    </row>
    <row r="2303" spans="44:45" x14ac:dyDescent="0.25">
      <c r="AR2303" s="11">
        <v>0.62500000000000033</v>
      </c>
      <c r="AS2303" s="7">
        <v>0.21650635094610965</v>
      </c>
    </row>
    <row r="2304" spans="44:45" x14ac:dyDescent="0.25">
      <c r="AR2304" s="11">
        <v>0.63500000000000034</v>
      </c>
      <c r="AS2304" s="7">
        <v>0.21650635094610965</v>
      </c>
    </row>
    <row r="2305" spans="44:45" x14ac:dyDescent="0.25">
      <c r="AR2305" s="11">
        <v>0.64500000000000035</v>
      </c>
      <c r="AS2305" s="7">
        <v>0.21650635094610965</v>
      </c>
    </row>
    <row r="2306" spans="44:45" x14ac:dyDescent="0.25">
      <c r="AR2306" s="11">
        <v>0.65500000000000036</v>
      </c>
      <c r="AS2306" s="7">
        <v>0.21650635094610965</v>
      </c>
    </row>
    <row r="2307" spans="44:45" x14ac:dyDescent="0.25">
      <c r="AR2307" s="11">
        <v>0.66500000000000037</v>
      </c>
      <c r="AS2307" s="7">
        <v>0.21650635094610965</v>
      </c>
    </row>
    <row r="2308" spans="44:45" x14ac:dyDescent="0.25">
      <c r="AR2308" s="11">
        <v>0.67500000000000038</v>
      </c>
      <c r="AS2308" s="7">
        <v>0.21650635094610965</v>
      </c>
    </row>
    <row r="2309" spans="44:45" x14ac:dyDescent="0.25">
      <c r="AR2309" s="11">
        <v>0.68500000000000039</v>
      </c>
      <c r="AS2309" s="7">
        <v>0.21650635094610965</v>
      </c>
    </row>
    <row r="2310" spans="44:45" x14ac:dyDescent="0.25">
      <c r="AR2310" s="11">
        <v>0.6950000000000004</v>
      </c>
      <c r="AS2310" s="7">
        <v>0.21650635094610965</v>
      </c>
    </row>
    <row r="2311" spans="44:45" x14ac:dyDescent="0.25">
      <c r="AR2311" s="11">
        <v>0.7050000000000004</v>
      </c>
      <c r="AS2311" s="7">
        <v>0.21650635094610965</v>
      </c>
    </row>
    <row r="2312" spans="44:45" x14ac:dyDescent="0.25">
      <c r="AR2312" s="11">
        <v>0.71500000000000041</v>
      </c>
      <c r="AS2312" s="7">
        <v>0.21650635094610965</v>
      </c>
    </row>
    <row r="2313" spans="44:45" x14ac:dyDescent="0.25">
      <c r="AR2313" s="11">
        <v>0.72500000000000042</v>
      </c>
      <c r="AS2313" s="7">
        <v>0.21650635094610965</v>
      </c>
    </row>
    <row r="2314" spans="44:45" x14ac:dyDescent="0.25">
      <c r="AR2314" s="11">
        <v>0.73500000000000043</v>
      </c>
      <c r="AS2314" s="7">
        <v>0.21650635094610965</v>
      </c>
    </row>
    <row r="2315" spans="44:45" x14ac:dyDescent="0.25">
      <c r="AR2315" s="11">
        <v>0.74500000000000044</v>
      </c>
      <c r="AS2315" s="7">
        <v>0.21650635094610965</v>
      </c>
    </row>
    <row r="2316" spans="44:45" x14ac:dyDescent="0.25">
      <c r="AR2316" s="11">
        <v>0.75500000000000045</v>
      </c>
      <c r="AS2316" s="7">
        <v>0.21650635094610965</v>
      </c>
    </row>
    <row r="2317" spans="44:45" x14ac:dyDescent="0.25">
      <c r="AR2317" s="11">
        <v>0.76500000000000046</v>
      </c>
      <c r="AS2317" s="7">
        <v>0.21650635094610965</v>
      </c>
    </row>
    <row r="2318" spans="44:45" x14ac:dyDescent="0.25">
      <c r="AR2318" s="11">
        <v>0.77500000000000047</v>
      </c>
      <c r="AS2318" s="7">
        <v>0.21650635094610965</v>
      </c>
    </row>
    <row r="2319" spans="44:45" x14ac:dyDescent="0.25">
      <c r="AR2319" s="11">
        <v>0.78500000000000048</v>
      </c>
      <c r="AS2319" s="7">
        <v>0.21650635094610965</v>
      </c>
    </row>
    <row r="2320" spans="44:45" x14ac:dyDescent="0.25">
      <c r="AR2320" s="11">
        <v>0.79500000000000048</v>
      </c>
      <c r="AS2320" s="7">
        <v>0.21650635094610965</v>
      </c>
    </row>
    <row r="2321" spans="44:45" x14ac:dyDescent="0.25">
      <c r="AR2321" s="11">
        <v>0.80500000000000049</v>
      </c>
      <c r="AS2321" s="7">
        <v>0.21650635094610965</v>
      </c>
    </row>
    <row r="2322" spans="44:45" x14ac:dyDescent="0.25">
      <c r="AR2322" s="11">
        <v>0.8150000000000005</v>
      </c>
      <c r="AS2322" s="7">
        <v>0.21650635094610965</v>
      </c>
    </row>
    <row r="2323" spans="44:45" x14ac:dyDescent="0.25">
      <c r="AR2323" s="11">
        <v>0.82500000000000051</v>
      </c>
      <c r="AS2323" s="7">
        <v>0.21650635094610965</v>
      </c>
    </row>
    <row r="2324" spans="44:45" x14ac:dyDescent="0.25">
      <c r="AR2324" s="11">
        <v>0.83500000000000052</v>
      </c>
      <c r="AS2324" s="7">
        <v>0.21650635094610965</v>
      </c>
    </row>
    <row r="2325" spans="44:45" x14ac:dyDescent="0.25">
      <c r="AR2325" s="11">
        <v>0.84500000000000053</v>
      </c>
      <c r="AS2325" s="7">
        <v>0.21650635094610965</v>
      </c>
    </row>
    <row r="2326" spans="44:45" x14ac:dyDescent="0.25">
      <c r="AR2326" s="11">
        <v>0.85500000000000054</v>
      </c>
      <c r="AS2326" s="7">
        <v>0.21650635094610965</v>
      </c>
    </row>
    <row r="2327" spans="44:45" x14ac:dyDescent="0.25">
      <c r="AR2327" s="11">
        <v>0.86500000000000055</v>
      </c>
      <c r="AS2327" s="7">
        <v>0.21650635094610965</v>
      </c>
    </row>
    <row r="2328" spans="44:45" x14ac:dyDescent="0.25">
      <c r="AR2328" s="11">
        <v>0.87500000000000056</v>
      </c>
      <c r="AS2328" s="7">
        <v>0.21650635094610965</v>
      </c>
    </row>
    <row r="2329" spans="44:45" x14ac:dyDescent="0.25">
      <c r="AR2329" s="11"/>
      <c r="AS2329" s="7"/>
    </row>
    <row r="2330" spans="44:45" x14ac:dyDescent="0.25">
      <c r="AR2330" s="11">
        <v>0.12999999999999998</v>
      </c>
      <c r="AS2330" s="7">
        <v>0.22516660498395408</v>
      </c>
    </row>
    <row r="2331" spans="44:45" x14ac:dyDescent="0.25">
      <c r="AR2331" s="11">
        <v>0.13999999999999999</v>
      </c>
      <c r="AS2331" s="7">
        <v>0.22516660498395408</v>
      </c>
    </row>
    <row r="2332" spans="44:45" x14ac:dyDescent="0.25">
      <c r="AR2332" s="11">
        <v>0.15</v>
      </c>
      <c r="AS2332" s="7">
        <v>0.22516660498395408</v>
      </c>
    </row>
    <row r="2333" spans="44:45" x14ac:dyDescent="0.25">
      <c r="AR2333" s="11">
        <v>0.16</v>
      </c>
      <c r="AS2333" s="7">
        <v>0.22516660498395408</v>
      </c>
    </row>
    <row r="2334" spans="44:45" x14ac:dyDescent="0.25">
      <c r="AR2334" s="11">
        <v>0.17</v>
      </c>
      <c r="AS2334" s="7">
        <v>0.22516660498395408</v>
      </c>
    </row>
    <row r="2335" spans="44:45" x14ac:dyDescent="0.25">
      <c r="AR2335" s="11">
        <v>0.18000000000000002</v>
      </c>
      <c r="AS2335" s="7">
        <v>0.22516660498395408</v>
      </c>
    </row>
    <row r="2336" spans="44:45" x14ac:dyDescent="0.25">
      <c r="AR2336" s="11">
        <v>0.19000000000000003</v>
      </c>
      <c r="AS2336" s="7">
        <v>0.22516660498395408</v>
      </c>
    </row>
    <row r="2337" spans="44:45" x14ac:dyDescent="0.25">
      <c r="AR2337" s="11">
        <v>0.20000000000000004</v>
      </c>
      <c r="AS2337" s="7">
        <v>0.22516660498395408</v>
      </c>
    </row>
    <row r="2338" spans="44:45" x14ac:dyDescent="0.25">
      <c r="AR2338" s="11">
        <v>0.21000000000000005</v>
      </c>
      <c r="AS2338" s="7">
        <v>0.22516660498395408</v>
      </c>
    </row>
    <row r="2339" spans="44:45" x14ac:dyDescent="0.25">
      <c r="AR2339" s="11">
        <v>0.22000000000000006</v>
      </c>
      <c r="AS2339" s="7">
        <v>0.22516660498395408</v>
      </c>
    </row>
    <row r="2340" spans="44:45" x14ac:dyDescent="0.25">
      <c r="AR2340" s="11">
        <v>0.23000000000000007</v>
      </c>
      <c r="AS2340" s="7">
        <v>0.22516660498395408</v>
      </c>
    </row>
    <row r="2341" spans="44:45" x14ac:dyDescent="0.25">
      <c r="AR2341" s="11">
        <v>0.24000000000000007</v>
      </c>
      <c r="AS2341" s="7">
        <v>0.22516660498395408</v>
      </c>
    </row>
    <row r="2342" spans="44:45" x14ac:dyDescent="0.25">
      <c r="AR2342" s="11">
        <v>0.25000000000000006</v>
      </c>
      <c r="AS2342" s="7">
        <v>0.22516660498395408</v>
      </c>
    </row>
    <row r="2343" spans="44:45" x14ac:dyDescent="0.25">
      <c r="AR2343" s="11">
        <v>0.26000000000000006</v>
      </c>
      <c r="AS2343" s="7">
        <v>0.22516660498395408</v>
      </c>
    </row>
    <row r="2344" spans="44:45" x14ac:dyDescent="0.25">
      <c r="AR2344" s="11">
        <v>0.27000000000000007</v>
      </c>
      <c r="AS2344" s="7">
        <v>0.22516660498395408</v>
      </c>
    </row>
    <row r="2345" spans="44:45" x14ac:dyDescent="0.25">
      <c r="AR2345" s="11">
        <v>0.28000000000000008</v>
      </c>
      <c r="AS2345" s="7">
        <v>0.22516660498395408</v>
      </c>
    </row>
    <row r="2346" spans="44:45" x14ac:dyDescent="0.25">
      <c r="AR2346" s="11">
        <v>0.29000000000000009</v>
      </c>
      <c r="AS2346" s="7">
        <v>0.22516660498395408</v>
      </c>
    </row>
    <row r="2347" spans="44:45" x14ac:dyDescent="0.25">
      <c r="AR2347" s="11">
        <v>0.3000000000000001</v>
      </c>
      <c r="AS2347" s="7">
        <v>0.22516660498395408</v>
      </c>
    </row>
    <row r="2348" spans="44:45" x14ac:dyDescent="0.25">
      <c r="AR2348" s="11">
        <v>0.31000000000000011</v>
      </c>
      <c r="AS2348" s="7">
        <v>0.22516660498395408</v>
      </c>
    </row>
    <row r="2349" spans="44:45" x14ac:dyDescent="0.25">
      <c r="AR2349" s="11">
        <v>0.32000000000000012</v>
      </c>
      <c r="AS2349" s="7">
        <v>0.22516660498395408</v>
      </c>
    </row>
    <row r="2350" spans="44:45" x14ac:dyDescent="0.25">
      <c r="AR2350" s="11">
        <v>0.33000000000000013</v>
      </c>
      <c r="AS2350" s="7">
        <v>0.22516660498395408</v>
      </c>
    </row>
    <row r="2351" spans="44:45" x14ac:dyDescent="0.25">
      <c r="AR2351" s="11">
        <v>0.34000000000000014</v>
      </c>
      <c r="AS2351" s="7">
        <v>0.22516660498395408</v>
      </c>
    </row>
    <row r="2352" spans="44:45" x14ac:dyDescent="0.25">
      <c r="AR2352" s="11">
        <v>0.35000000000000014</v>
      </c>
      <c r="AS2352" s="7">
        <v>0.22516660498395408</v>
      </c>
    </row>
    <row r="2353" spans="44:45" x14ac:dyDescent="0.25">
      <c r="AR2353" s="11">
        <v>0.36000000000000015</v>
      </c>
      <c r="AS2353" s="7">
        <v>0.22516660498395408</v>
      </c>
    </row>
    <row r="2354" spans="44:45" x14ac:dyDescent="0.25">
      <c r="AR2354" s="11">
        <v>0.37000000000000016</v>
      </c>
      <c r="AS2354" s="7">
        <v>0.22516660498395408</v>
      </c>
    </row>
    <row r="2355" spans="44:45" x14ac:dyDescent="0.25">
      <c r="AR2355" s="11">
        <v>0.38000000000000017</v>
      </c>
      <c r="AS2355" s="7">
        <v>0.22516660498395408</v>
      </c>
    </row>
    <row r="2356" spans="44:45" x14ac:dyDescent="0.25">
      <c r="AR2356" s="11">
        <v>0.39000000000000018</v>
      </c>
      <c r="AS2356" s="7">
        <v>0.22516660498395408</v>
      </c>
    </row>
    <row r="2357" spans="44:45" x14ac:dyDescent="0.25">
      <c r="AR2357" s="11">
        <v>0.40000000000000019</v>
      </c>
      <c r="AS2357" s="7">
        <v>0.22516660498395408</v>
      </c>
    </row>
    <row r="2358" spans="44:45" x14ac:dyDescent="0.25">
      <c r="AR2358" s="11">
        <v>0.4100000000000002</v>
      </c>
      <c r="AS2358" s="7">
        <v>0.22516660498395408</v>
      </c>
    </row>
    <row r="2359" spans="44:45" x14ac:dyDescent="0.25">
      <c r="AR2359" s="11">
        <v>0.42000000000000021</v>
      </c>
      <c r="AS2359" s="7">
        <v>0.22516660498395408</v>
      </c>
    </row>
    <row r="2360" spans="44:45" x14ac:dyDescent="0.25">
      <c r="AR2360" s="11">
        <v>0.43000000000000022</v>
      </c>
      <c r="AS2360" s="7">
        <v>0.22516660498395408</v>
      </c>
    </row>
    <row r="2361" spans="44:45" x14ac:dyDescent="0.25">
      <c r="AR2361" s="11">
        <v>0.44000000000000022</v>
      </c>
      <c r="AS2361" s="7">
        <v>0.22516660498395408</v>
      </c>
    </row>
    <row r="2362" spans="44:45" x14ac:dyDescent="0.25">
      <c r="AR2362" s="11">
        <v>0.45000000000000023</v>
      </c>
      <c r="AS2362" s="7">
        <v>0.22516660498395408</v>
      </c>
    </row>
    <row r="2363" spans="44:45" x14ac:dyDescent="0.25">
      <c r="AR2363" s="11">
        <v>0.46000000000000024</v>
      </c>
      <c r="AS2363" s="7">
        <v>0.22516660498395408</v>
      </c>
    </row>
    <row r="2364" spans="44:45" x14ac:dyDescent="0.25">
      <c r="AR2364" s="11">
        <v>0.47000000000000025</v>
      </c>
      <c r="AS2364" s="7">
        <v>0.22516660498395408</v>
      </c>
    </row>
    <row r="2365" spans="44:45" x14ac:dyDescent="0.25">
      <c r="AR2365" s="11">
        <v>0.48000000000000026</v>
      </c>
      <c r="AS2365" s="7">
        <v>0.22516660498395408</v>
      </c>
    </row>
    <row r="2366" spans="44:45" x14ac:dyDescent="0.25">
      <c r="AR2366" s="11">
        <v>0.49000000000000027</v>
      </c>
      <c r="AS2366" s="7">
        <v>0.22516660498395408</v>
      </c>
    </row>
    <row r="2367" spans="44:45" x14ac:dyDescent="0.25">
      <c r="AR2367" s="11">
        <v>0.50000000000000022</v>
      </c>
      <c r="AS2367" s="7">
        <v>0.22516660498395408</v>
      </c>
    </row>
    <row r="2368" spans="44:45" x14ac:dyDescent="0.25">
      <c r="AR2368" s="11">
        <v>0.51000000000000023</v>
      </c>
      <c r="AS2368" s="7">
        <v>0.22516660498395408</v>
      </c>
    </row>
    <row r="2369" spans="44:45" x14ac:dyDescent="0.25">
      <c r="AR2369" s="11">
        <v>0.52000000000000024</v>
      </c>
      <c r="AS2369" s="7">
        <v>0.22516660498395408</v>
      </c>
    </row>
    <row r="2370" spans="44:45" x14ac:dyDescent="0.25">
      <c r="AR2370" s="11">
        <v>0.53000000000000025</v>
      </c>
      <c r="AS2370" s="7">
        <v>0.22516660498395408</v>
      </c>
    </row>
    <row r="2371" spans="44:45" x14ac:dyDescent="0.25">
      <c r="AR2371" s="11">
        <v>0.54000000000000026</v>
      </c>
      <c r="AS2371" s="7">
        <v>0.22516660498395408</v>
      </c>
    </row>
    <row r="2372" spans="44:45" x14ac:dyDescent="0.25">
      <c r="AR2372" s="11">
        <v>0.55000000000000027</v>
      </c>
      <c r="AS2372" s="7">
        <v>0.22516660498395408</v>
      </c>
    </row>
    <row r="2373" spans="44:45" x14ac:dyDescent="0.25">
      <c r="AR2373" s="11">
        <v>0.56000000000000028</v>
      </c>
      <c r="AS2373" s="7">
        <v>0.22516660498395408</v>
      </c>
    </row>
    <row r="2374" spans="44:45" x14ac:dyDescent="0.25">
      <c r="AR2374" s="11">
        <v>0.57000000000000028</v>
      </c>
      <c r="AS2374" s="7">
        <v>0.22516660498395408</v>
      </c>
    </row>
    <row r="2375" spans="44:45" x14ac:dyDescent="0.25">
      <c r="AR2375" s="11">
        <v>0.58000000000000029</v>
      </c>
      <c r="AS2375" s="7">
        <v>0.22516660498395408</v>
      </c>
    </row>
    <row r="2376" spans="44:45" x14ac:dyDescent="0.25">
      <c r="AR2376" s="11">
        <v>0.5900000000000003</v>
      </c>
      <c r="AS2376" s="7">
        <v>0.22516660498395408</v>
      </c>
    </row>
    <row r="2377" spans="44:45" x14ac:dyDescent="0.25">
      <c r="AR2377" s="11">
        <v>0.60000000000000031</v>
      </c>
      <c r="AS2377" s="7">
        <v>0.22516660498395408</v>
      </c>
    </row>
    <row r="2378" spans="44:45" x14ac:dyDescent="0.25">
      <c r="AR2378" s="11">
        <v>0.61000000000000032</v>
      </c>
      <c r="AS2378" s="7">
        <v>0.22516660498395408</v>
      </c>
    </row>
    <row r="2379" spans="44:45" x14ac:dyDescent="0.25">
      <c r="AR2379" s="11">
        <v>0.62000000000000033</v>
      </c>
      <c r="AS2379" s="7">
        <v>0.22516660498395408</v>
      </c>
    </row>
    <row r="2380" spans="44:45" x14ac:dyDescent="0.25">
      <c r="AR2380" s="11">
        <v>0.63000000000000034</v>
      </c>
      <c r="AS2380" s="7">
        <v>0.22516660498395408</v>
      </c>
    </row>
    <row r="2381" spans="44:45" x14ac:dyDescent="0.25">
      <c r="AR2381" s="11">
        <v>0.64000000000000035</v>
      </c>
      <c r="AS2381" s="7">
        <v>0.22516660498395408</v>
      </c>
    </row>
    <row r="2382" spans="44:45" x14ac:dyDescent="0.25">
      <c r="AR2382" s="11">
        <v>0.65000000000000036</v>
      </c>
      <c r="AS2382" s="7">
        <v>0.22516660498395408</v>
      </c>
    </row>
    <row r="2383" spans="44:45" x14ac:dyDescent="0.25">
      <c r="AR2383" s="11">
        <v>0.66000000000000036</v>
      </c>
      <c r="AS2383" s="7">
        <v>0.22516660498395408</v>
      </c>
    </row>
    <row r="2384" spans="44:45" x14ac:dyDescent="0.25">
      <c r="AR2384" s="11">
        <v>0.67000000000000037</v>
      </c>
      <c r="AS2384" s="7">
        <v>0.22516660498395408</v>
      </c>
    </row>
    <row r="2385" spans="44:45" x14ac:dyDescent="0.25">
      <c r="AR2385" s="11">
        <v>0.68000000000000038</v>
      </c>
      <c r="AS2385" s="7">
        <v>0.22516660498395408</v>
      </c>
    </row>
    <row r="2386" spans="44:45" x14ac:dyDescent="0.25">
      <c r="AR2386" s="11">
        <v>0.69000000000000039</v>
      </c>
      <c r="AS2386" s="7">
        <v>0.22516660498395408</v>
      </c>
    </row>
    <row r="2387" spans="44:45" x14ac:dyDescent="0.25">
      <c r="AR2387" s="11">
        <v>0.7000000000000004</v>
      </c>
      <c r="AS2387" s="7">
        <v>0.22516660498395408</v>
      </c>
    </row>
    <row r="2388" spans="44:45" x14ac:dyDescent="0.25">
      <c r="AR2388" s="11">
        <v>0.71000000000000041</v>
      </c>
      <c r="AS2388" s="7">
        <v>0.22516660498395408</v>
      </c>
    </row>
    <row r="2389" spans="44:45" x14ac:dyDescent="0.25">
      <c r="AR2389" s="11">
        <v>0.72000000000000042</v>
      </c>
      <c r="AS2389" s="7">
        <v>0.22516660498395408</v>
      </c>
    </row>
    <row r="2390" spans="44:45" x14ac:dyDescent="0.25">
      <c r="AR2390" s="11">
        <v>0.73000000000000043</v>
      </c>
      <c r="AS2390" s="7">
        <v>0.22516660498395408</v>
      </c>
    </row>
    <row r="2391" spans="44:45" x14ac:dyDescent="0.25">
      <c r="AR2391" s="11">
        <v>0.74000000000000044</v>
      </c>
      <c r="AS2391" s="7">
        <v>0.22516660498395408</v>
      </c>
    </row>
    <row r="2392" spans="44:45" x14ac:dyDescent="0.25">
      <c r="AR2392" s="11">
        <v>0.75000000000000044</v>
      </c>
      <c r="AS2392" s="7">
        <v>0.22516660498395408</v>
      </c>
    </row>
    <row r="2393" spans="44:45" x14ac:dyDescent="0.25">
      <c r="AR2393" s="11">
        <v>0.76000000000000045</v>
      </c>
      <c r="AS2393" s="7">
        <v>0.22516660498395408</v>
      </c>
    </row>
    <row r="2394" spans="44:45" x14ac:dyDescent="0.25">
      <c r="AR2394" s="11">
        <v>0.77000000000000046</v>
      </c>
      <c r="AS2394" s="7">
        <v>0.22516660498395408</v>
      </c>
    </row>
    <row r="2395" spans="44:45" x14ac:dyDescent="0.25">
      <c r="AR2395" s="11">
        <v>0.78000000000000047</v>
      </c>
      <c r="AS2395" s="7">
        <v>0.22516660498395408</v>
      </c>
    </row>
    <row r="2396" spans="44:45" x14ac:dyDescent="0.25">
      <c r="AR2396" s="11">
        <v>0.79000000000000048</v>
      </c>
      <c r="AS2396" s="7">
        <v>0.22516660498395408</v>
      </c>
    </row>
    <row r="2397" spans="44:45" x14ac:dyDescent="0.25">
      <c r="AR2397" s="11">
        <v>0.80000000000000049</v>
      </c>
      <c r="AS2397" s="7">
        <v>0.22516660498395408</v>
      </c>
    </row>
    <row r="2398" spans="44:45" x14ac:dyDescent="0.25">
      <c r="AR2398" s="11">
        <v>0.8100000000000005</v>
      </c>
      <c r="AS2398" s="7">
        <v>0.22516660498395408</v>
      </c>
    </row>
    <row r="2399" spans="44:45" x14ac:dyDescent="0.25">
      <c r="AR2399" s="11">
        <v>0.82000000000000051</v>
      </c>
      <c r="AS2399" s="7">
        <v>0.22516660498395408</v>
      </c>
    </row>
    <row r="2400" spans="44:45" x14ac:dyDescent="0.25">
      <c r="AR2400" s="11">
        <v>0.83000000000000052</v>
      </c>
      <c r="AS2400" s="7">
        <v>0.22516660498395408</v>
      </c>
    </row>
    <row r="2401" spans="44:45" x14ac:dyDescent="0.25">
      <c r="AR2401" s="11">
        <v>0.84000000000000052</v>
      </c>
      <c r="AS2401" s="7">
        <v>0.22516660498395408</v>
      </c>
    </row>
    <row r="2402" spans="44:45" x14ac:dyDescent="0.25">
      <c r="AR2402" s="11">
        <v>0.85000000000000053</v>
      </c>
      <c r="AS2402" s="7">
        <v>0.22516660498395408</v>
      </c>
    </row>
    <row r="2403" spans="44:45" x14ac:dyDescent="0.25">
      <c r="AR2403" s="11">
        <v>0.86000000000000054</v>
      </c>
      <c r="AS2403" s="7">
        <v>0.22516660498395408</v>
      </c>
    </row>
    <row r="2404" spans="44:45" x14ac:dyDescent="0.25">
      <c r="AR2404" s="11">
        <v>0.87000000000000055</v>
      </c>
      <c r="AS2404" s="7">
        <v>0.22516660498395408</v>
      </c>
    </row>
    <row r="2405" spans="44:45" x14ac:dyDescent="0.25">
      <c r="AR2405" s="11"/>
      <c r="AS2405" s="7"/>
    </row>
    <row r="2406" spans="44:45" x14ac:dyDescent="0.25">
      <c r="AR2406" s="11">
        <v>0.13499999999999998</v>
      </c>
      <c r="AS2406" s="7">
        <v>0.23382685902179845</v>
      </c>
    </row>
    <row r="2407" spans="44:45" x14ac:dyDescent="0.25">
      <c r="AR2407" s="11">
        <v>0.14499999999999999</v>
      </c>
      <c r="AS2407" s="7">
        <v>0.23382685902179845</v>
      </c>
    </row>
    <row r="2408" spans="44:45" x14ac:dyDescent="0.25">
      <c r="AR2408" s="11">
        <v>0.155</v>
      </c>
      <c r="AS2408" s="7">
        <v>0.23382685902179845</v>
      </c>
    </row>
    <row r="2409" spans="44:45" x14ac:dyDescent="0.25">
      <c r="AR2409" s="11">
        <v>0.16500000000000001</v>
      </c>
      <c r="AS2409" s="7">
        <v>0.23382685902179845</v>
      </c>
    </row>
    <row r="2410" spans="44:45" x14ac:dyDescent="0.25">
      <c r="AR2410" s="11">
        <v>0.17500000000000002</v>
      </c>
      <c r="AS2410" s="7">
        <v>0.23382685902179845</v>
      </c>
    </row>
    <row r="2411" spans="44:45" x14ac:dyDescent="0.25">
      <c r="AR2411" s="11">
        <v>0.18500000000000003</v>
      </c>
      <c r="AS2411" s="7">
        <v>0.23382685902179845</v>
      </c>
    </row>
    <row r="2412" spans="44:45" x14ac:dyDescent="0.25">
      <c r="AR2412" s="11">
        <v>0.19500000000000003</v>
      </c>
      <c r="AS2412" s="7">
        <v>0.23382685902179845</v>
      </c>
    </row>
    <row r="2413" spans="44:45" x14ac:dyDescent="0.25">
      <c r="AR2413" s="11">
        <v>0.20500000000000004</v>
      </c>
      <c r="AS2413" s="7">
        <v>0.23382685902179845</v>
      </c>
    </row>
    <row r="2414" spans="44:45" x14ac:dyDescent="0.25">
      <c r="AR2414" s="11">
        <v>0.21500000000000005</v>
      </c>
      <c r="AS2414" s="7">
        <v>0.23382685902179845</v>
      </c>
    </row>
    <row r="2415" spans="44:45" x14ac:dyDescent="0.25">
      <c r="AR2415" s="11">
        <v>0.22500000000000006</v>
      </c>
      <c r="AS2415" s="7">
        <v>0.23382685902179845</v>
      </c>
    </row>
    <row r="2416" spans="44:45" x14ac:dyDescent="0.25">
      <c r="AR2416" s="11">
        <v>0.23500000000000007</v>
      </c>
      <c r="AS2416" s="7">
        <v>0.23382685902179845</v>
      </c>
    </row>
    <row r="2417" spans="44:45" x14ac:dyDescent="0.25">
      <c r="AR2417" s="11">
        <v>0.24500000000000008</v>
      </c>
      <c r="AS2417" s="7">
        <v>0.23382685902179845</v>
      </c>
    </row>
    <row r="2418" spans="44:45" x14ac:dyDescent="0.25">
      <c r="AR2418" s="11">
        <v>0.25500000000000006</v>
      </c>
      <c r="AS2418" s="7">
        <v>0.23382685902179845</v>
      </c>
    </row>
    <row r="2419" spans="44:45" x14ac:dyDescent="0.25">
      <c r="AR2419" s="11">
        <v>0.26500000000000007</v>
      </c>
      <c r="AS2419" s="7">
        <v>0.23382685902179845</v>
      </c>
    </row>
    <row r="2420" spans="44:45" x14ac:dyDescent="0.25">
      <c r="AR2420" s="11">
        <v>0.27500000000000008</v>
      </c>
      <c r="AS2420" s="7">
        <v>0.23382685902179845</v>
      </c>
    </row>
    <row r="2421" spans="44:45" x14ac:dyDescent="0.25">
      <c r="AR2421" s="11">
        <v>0.28500000000000009</v>
      </c>
      <c r="AS2421" s="7">
        <v>0.23382685902179845</v>
      </c>
    </row>
    <row r="2422" spans="44:45" x14ac:dyDescent="0.25">
      <c r="AR2422" s="11">
        <v>0.2950000000000001</v>
      </c>
      <c r="AS2422" s="7">
        <v>0.23382685902179845</v>
      </c>
    </row>
    <row r="2423" spans="44:45" x14ac:dyDescent="0.25">
      <c r="AR2423" s="11">
        <v>0.3050000000000001</v>
      </c>
      <c r="AS2423" s="7">
        <v>0.23382685902179845</v>
      </c>
    </row>
    <row r="2424" spans="44:45" x14ac:dyDescent="0.25">
      <c r="AR2424" s="11">
        <v>0.31500000000000011</v>
      </c>
      <c r="AS2424" s="7">
        <v>0.23382685902179845</v>
      </c>
    </row>
    <row r="2425" spans="44:45" x14ac:dyDescent="0.25">
      <c r="AR2425" s="11">
        <v>0.32500000000000012</v>
      </c>
      <c r="AS2425" s="7">
        <v>0.23382685902179845</v>
      </c>
    </row>
    <row r="2426" spans="44:45" x14ac:dyDescent="0.25">
      <c r="AR2426" s="11">
        <v>0.33500000000000013</v>
      </c>
      <c r="AS2426" s="7">
        <v>0.23382685902179845</v>
      </c>
    </row>
    <row r="2427" spans="44:45" x14ac:dyDescent="0.25">
      <c r="AR2427" s="11">
        <v>0.34500000000000014</v>
      </c>
      <c r="AS2427" s="7">
        <v>0.23382685902179845</v>
      </c>
    </row>
    <row r="2428" spans="44:45" x14ac:dyDescent="0.25">
      <c r="AR2428" s="11">
        <v>0.35500000000000015</v>
      </c>
      <c r="AS2428" s="7">
        <v>0.23382685902179845</v>
      </c>
    </row>
    <row r="2429" spans="44:45" x14ac:dyDescent="0.25">
      <c r="AR2429" s="11">
        <v>0.36500000000000016</v>
      </c>
      <c r="AS2429" s="7">
        <v>0.23382685902179845</v>
      </c>
    </row>
    <row r="2430" spans="44:45" x14ac:dyDescent="0.25">
      <c r="AR2430" s="11">
        <v>0.37500000000000017</v>
      </c>
      <c r="AS2430" s="7">
        <v>0.23382685902179845</v>
      </c>
    </row>
    <row r="2431" spans="44:45" x14ac:dyDescent="0.25">
      <c r="AR2431" s="11">
        <v>0.38500000000000018</v>
      </c>
      <c r="AS2431" s="7">
        <v>0.23382685902179845</v>
      </c>
    </row>
    <row r="2432" spans="44:45" x14ac:dyDescent="0.25">
      <c r="AR2432" s="11">
        <v>0.39500000000000018</v>
      </c>
      <c r="AS2432" s="7">
        <v>0.23382685902179845</v>
      </c>
    </row>
    <row r="2433" spans="44:45" x14ac:dyDescent="0.25">
      <c r="AR2433" s="11">
        <v>0.40500000000000019</v>
      </c>
      <c r="AS2433" s="7">
        <v>0.23382685902179845</v>
      </c>
    </row>
    <row r="2434" spans="44:45" x14ac:dyDescent="0.25">
      <c r="AR2434" s="11">
        <v>0.4150000000000002</v>
      </c>
      <c r="AS2434" s="7">
        <v>0.23382685902179845</v>
      </c>
    </row>
    <row r="2435" spans="44:45" x14ac:dyDescent="0.25">
      <c r="AR2435" s="11">
        <v>0.42500000000000021</v>
      </c>
      <c r="AS2435" s="7">
        <v>0.23382685902179845</v>
      </c>
    </row>
    <row r="2436" spans="44:45" x14ac:dyDescent="0.25">
      <c r="AR2436" s="11">
        <v>0.43500000000000022</v>
      </c>
      <c r="AS2436" s="7">
        <v>0.23382685902179845</v>
      </c>
    </row>
    <row r="2437" spans="44:45" x14ac:dyDescent="0.25">
      <c r="AR2437" s="11">
        <v>0.44500000000000023</v>
      </c>
      <c r="AS2437" s="7">
        <v>0.23382685902179845</v>
      </c>
    </row>
    <row r="2438" spans="44:45" x14ac:dyDescent="0.25">
      <c r="AR2438" s="11">
        <v>0.45500000000000024</v>
      </c>
      <c r="AS2438" s="7">
        <v>0.23382685902179845</v>
      </c>
    </row>
    <row r="2439" spans="44:45" x14ac:dyDescent="0.25">
      <c r="AR2439" s="11">
        <v>0.46500000000000025</v>
      </c>
      <c r="AS2439" s="7">
        <v>0.23382685902179845</v>
      </c>
    </row>
    <row r="2440" spans="44:45" x14ac:dyDescent="0.25">
      <c r="AR2440" s="11">
        <v>0.47500000000000026</v>
      </c>
      <c r="AS2440" s="7">
        <v>0.23382685902179845</v>
      </c>
    </row>
    <row r="2441" spans="44:45" x14ac:dyDescent="0.25">
      <c r="AR2441" s="11">
        <v>0.48500000000000026</v>
      </c>
      <c r="AS2441" s="7">
        <v>0.23382685902179845</v>
      </c>
    </row>
    <row r="2442" spans="44:45" x14ac:dyDescent="0.25">
      <c r="AR2442" s="11">
        <v>0.49500000000000027</v>
      </c>
      <c r="AS2442" s="7">
        <v>0.23382685902179845</v>
      </c>
    </row>
    <row r="2443" spans="44:45" x14ac:dyDescent="0.25">
      <c r="AR2443" s="11">
        <v>0.50500000000000023</v>
      </c>
      <c r="AS2443" s="7">
        <v>0.23382685902179845</v>
      </c>
    </row>
    <row r="2444" spans="44:45" x14ac:dyDescent="0.25">
      <c r="AR2444" s="11">
        <v>0.51500000000000024</v>
      </c>
      <c r="AS2444" s="7">
        <v>0.23382685902179845</v>
      </c>
    </row>
    <row r="2445" spans="44:45" x14ac:dyDescent="0.25">
      <c r="AR2445" s="11">
        <v>0.52500000000000024</v>
      </c>
      <c r="AS2445" s="7">
        <v>0.23382685902179845</v>
      </c>
    </row>
    <row r="2446" spans="44:45" x14ac:dyDescent="0.25">
      <c r="AR2446" s="11">
        <v>0.53500000000000025</v>
      </c>
      <c r="AS2446" s="7">
        <v>0.23382685902179845</v>
      </c>
    </row>
    <row r="2447" spans="44:45" x14ac:dyDescent="0.25">
      <c r="AR2447" s="11">
        <v>0.54500000000000026</v>
      </c>
      <c r="AS2447" s="7">
        <v>0.23382685902179845</v>
      </c>
    </row>
    <row r="2448" spans="44:45" x14ac:dyDescent="0.25">
      <c r="AR2448" s="11">
        <v>0.55500000000000027</v>
      </c>
      <c r="AS2448" s="7">
        <v>0.23382685902179845</v>
      </c>
    </row>
    <row r="2449" spans="44:45" x14ac:dyDescent="0.25">
      <c r="AR2449" s="11">
        <v>0.56500000000000028</v>
      </c>
      <c r="AS2449" s="7">
        <v>0.23382685902179845</v>
      </c>
    </row>
    <row r="2450" spans="44:45" x14ac:dyDescent="0.25">
      <c r="AR2450" s="11">
        <v>0.57500000000000029</v>
      </c>
      <c r="AS2450" s="7">
        <v>0.23382685902179845</v>
      </c>
    </row>
    <row r="2451" spans="44:45" x14ac:dyDescent="0.25">
      <c r="AR2451" s="11">
        <v>0.5850000000000003</v>
      </c>
      <c r="AS2451" s="7">
        <v>0.23382685902179845</v>
      </c>
    </row>
    <row r="2452" spans="44:45" x14ac:dyDescent="0.25">
      <c r="AR2452" s="11">
        <v>0.59500000000000031</v>
      </c>
      <c r="AS2452" s="7">
        <v>0.23382685902179845</v>
      </c>
    </row>
    <row r="2453" spans="44:45" x14ac:dyDescent="0.25">
      <c r="AR2453" s="11">
        <v>0.60500000000000032</v>
      </c>
      <c r="AS2453" s="7">
        <v>0.23382685902179845</v>
      </c>
    </row>
    <row r="2454" spans="44:45" x14ac:dyDescent="0.25">
      <c r="AR2454" s="11">
        <v>0.61500000000000032</v>
      </c>
      <c r="AS2454" s="7">
        <v>0.23382685902179845</v>
      </c>
    </row>
    <row r="2455" spans="44:45" x14ac:dyDescent="0.25">
      <c r="AR2455" s="11">
        <v>0.62500000000000033</v>
      </c>
      <c r="AS2455" s="7">
        <v>0.23382685902179845</v>
      </c>
    </row>
    <row r="2456" spans="44:45" x14ac:dyDescent="0.25">
      <c r="AR2456" s="11">
        <v>0.63500000000000034</v>
      </c>
      <c r="AS2456" s="7">
        <v>0.23382685902179845</v>
      </c>
    </row>
    <row r="2457" spans="44:45" x14ac:dyDescent="0.25">
      <c r="AR2457" s="11">
        <v>0.64500000000000035</v>
      </c>
      <c r="AS2457" s="7">
        <v>0.23382685902179845</v>
      </c>
    </row>
    <row r="2458" spans="44:45" x14ac:dyDescent="0.25">
      <c r="AR2458" s="11">
        <v>0.65500000000000036</v>
      </c>
      <c r="AS2458" s="7">
        <v>0.23382685902179845</v>
      </c>
    </row>
    <row r="2459" spans="44:45" x14ac:dyDescent="0.25">
      <c r="AR2459" s="11">
        <v>0.66500000000000037</v>
      </c>
      <c r="AS2459" s="7">
        <v>0.23382685902179845</v>
      </c>
    </row>
    <row r="2460" spans="44:45" x14ac:dyDescent="0.25">
      <c r="AR2460" s="11">
        <v>0.67500000000000038</v>
      </c>
      <c r="AS2460" s="7">
        <v>0.23382685902179845</v>
      </c>
    </row>
    <row r="2461" spans="44:45" x14ac:dyDescent="0.25">
      <c r="AR2461" s="11">
        <v>0.68500000000000039</v>
      </c>
      <c r="AS2461" s="7">
        <v>0.23382685902179845</v>
      </c>
    </row>
    <row r="2462" spans="44:45" x14ac:dyDescent="0.25">
      <c r="AR2462" s="11">
        <v>0.6950000000000004</v>
      </c>
      <c r="AS2462" s="7">
        <v>0.23382685902179845</v>
      </c>
    </row>
    <row r="2463" spans="44:45" x14ac:dyDescent="0.25">
      <c r="AR2463" s="11">
        <v>0.7050000000000004</v>
      </c>
      <c r="AS2463" s="7">
        <v>0.23382685902179845</v>
      </c>
    </row>
    <row r="2464" spans="44:45" x14ac:dyDescent="0.25">
      <c r="AR2464" s="11">
        <v>0.71500000000000041</v>
      </c>
      <c r="AS2464" s="7">
        <v>0.23382685902179845</v>
      </c>
    </row>
    <row r="2465" spans="44:45" x14ac:dyDescent="0.25">
      <c r="AR2465" s="11">
        <v>0.72500000000000042</v>
      </c>
      <c r="AS2465" s="7">
        <v>0.23382685902179845</v>
      </c>
    </row>
    <row r="2466" spans="44:45" x14ac:dyDescent="0.25">
      <c r="AR2466" s="11">
        <v>0.73500000000000043</v>
      </c>
      <c r="AS2466" s="7">
        <v>0.23382685902179845</v>
      </c>
    </row>
    <row r="2467" spans="44:45" x14ac:dyDescent="0.25">
      <c r="AR2467" s="11">
        <v>0.74500000000000044</v>
      </c>
      <c r="AS2467" s="7">
        <v>0.23382685902179845</v>
      </c>
    </row>
    <row r="2468" spans="44:45" x14ac:dyDescent="0.25">
      <c r="AR2468" s="11">
        <v>0.75500000000000045</v>
      </c>
      <c r="AS2468" s="7">
        <v>0.23382685902179845</v>
      </c>
    </row>
    <row r="2469" spans="44:45" x14ac:dyDescent="0.25">
      <c r="AR2469" s="11">
        <v>0.76500000000000046</v>
      </c>
      <c r="AS2469" s="7">
        <v>0.23382685902179845</v>
      </c>
    </row>
    <row r="2470" spans="44:45" x14ac:dyDescent="0.25">
      <c r="AR2470" s="11">
        <v>0.77500000000000047</v>
      </c>
      <c r="AS2470" s="7">
        <v>0.23382685902179845</v>
      </c>
    </row>
    <row r="2471" spans="44:45" x14ac:dyDescent="0.25">
      <c r="AR2471" s="11">
        <v>0.78500000000000048</v>
      </c>
      <c r="AS2471" s="7">
        <v>0.23382685902179845</v>
      </c>
    </row>
    <row r="2472" spans="44:45" x14ac:dyDescent="0.25">
      <c r="AR2472" s="11">
        <v>0.79500000000000048</v>
      </c>
      <c r="AS2472" s="7">
        <v>0.23382685902179845</v>
      </c>
    </row>
    <row r="2473" spans="44:45" x14ac:dyDescent="0.25">
      <c r="AR2473" s="11">
        <v>0.80500000000000049</v>
      </c>
      <c r="AS2473" s="7">
        <v>0.23382685902179845</v>
      </c>
    </row>
    <row r="2474" spans="44:45" x14ac:dyDescent="0.25">
      <c r="AR2474" s="11">
        <v>0.8150000000000005</v>
      </c>
      <c r="AS2474" s="7">
        <v>0.23382685902179845</v>
      </c>
    </row>
    <row r="2475" spans="44:45" x14ac:dyDescent="0.25">
      <c r="AR2475" s="11">
        <v>0.82500000000000051</v>
      </c>
      <c r="AS2475" s="7">
        <v>0.23382685902179845</v>
      </c>
    </row>
    <row r="2476" spans="44:45" x14ac:dyDescent="0.25">
      <c r="AR2476" s="11">
        <v>0.83500000000000052</v>
      </c>
      <c r="AS2476" s="7">
        <v>0.23382685902179845</v>
      </c>
    </row>
    <row r="2477" spans="44:45" x14ac:dyDescent="0.25">
      <c r="AR2477" s="11">
        <v>0.84500000000000053</v>
      </c>
      <c r="AS2477" s="7">
        <v>0.23382685902179845</v>
      </c>
    </row>
    <row r="2478" spans="44:45" x14ac:dyDescent="0.25">
      <c r="AR2478" s="11">
        <v>0.85500000000000054</v>
      </c>
      <c r="AS2478" s="7">
        <v>0.23382685902179845</v>
      </c>
    </row>
    <row r="2479" spans="44:45" x14ac:dyDescent="0.25">
      <c r="AR2479" s="11">
        <v>0.86500000000000055</v>
      </c>
      <c r="AS2479" s="7">
        <v>0.23382685902179845</v>
      </c>
    </row>
    <row r="2480" spans="44:45" x14ac:dyDescent="0.25">
      <c r="AR2480" s="11"/>
      <c r="AS2480" s="7"/>
    </row>
    <row r="2481" spans="44:45" x14ac:dyDescent="0.25">
      <c r="AR2481" s="11">
        <v>0.13999999999999999</v>
      </c>
      <c r="AS2481" s="7">
        <v>0.24248711305964282</v>
      </c>
    </row>
    <row r="2482" spans="44:45" x14ac:dyDescent="0.25">
      <c r="AR2482" s="11">
        <v>0.15</v>
      </c>
      <c r="AS2482" s="7">
        <v>0.24248711305964282</v>
      </c>
    </row>
    <row r="2483" spans="44:45" x14ac:dyDescent="0.25">
      <c r="AR2483" s="11">
        <v>0.16</v>
      </c>
      <c r="AS2483" s="7">
        <v>0.24248711305964282</v>
      </c>
    </row>
    <row r="2484" spans="44:45" x14ac:dyDescent="0.25">
      <c r="AR2484" s="11">
        <v>0.17</v>
      </c>
      <c r="AS2484" s="7">
        <v>0.24248711305964282</v>
      </c>
    </row>
    <row r="2485" spans="44:45" x14ac:dyDescent="0.25">
      <c r="AR2485" s="11">
        <v>0.18000000000000002</v>
      </c>
      <c r="AS2485" s="7">
        <v>0.24248711305964282</v>
      </c>
    </row>
    <row r="2486" spans="44:45" x14ac:dyDescent="0.25">
      <c r="AR2486" s="11">
        <v>0.19000000000000003</v>
      </c>
      <c r="AS2486" s="7">
        <v>0.24248711305964282</v>
      </c>
    </row>
    <row r="2487" spans="44:45" x14ac:dyDescent="0.25">
      <c r="AR2487" s="11">
        <v>0.20000000000000004</v>
      </c>
      <c r="AS2487" s="7">
        <v>0.24248711305964282</v>
      </c>
    </row>
    <row r="2488" spans="44:45" x14ac:dyDescent="0.25">
      <c r="AR2488" s="11">
        <v>0.21000000000000005</v>
      </c>
      <c r="AS2488" s="7">
        <v>0.24248711305964282</v>
      </c>
    </row>
    <row r="2489" spans="44:45" x14ac:dyDescent="0.25">
      <c r="AR2489" s="11">
        <v>0.22000000000000006</v>
      </c>
      <c r="AS2489" s="7">
        <v>0.24248711305964282</v>
      </c>
    </row>
    <row r="2490" spans="44:45" x14ac:dyDescent="0.25">
      <c r="AR2490" s="11">
        <v>0.23000000000000007</v>
      </c>
      <c r="AS2490" s="7">
        <v>0.24248711305964282</v>
      </c>
    </row>
    <row r="2491" spans="44:45" x14ac:dyDescent="0.25">
      <c r="AR2491" s="11">
        <v>0.24000000000000007</v>
      </c>
      <c r="AS2491" s="7">
        <v>0.24248711305964282</v>
      </c>
    </row>
    <row r="2492" spans="44:45" x14ac:dyDescent="0.25">
      <c r="AR2492" s="11">
        <v>0.25000000000000006</v>
      </c>
      <c r="AS2492" s="7">
        <v>0.24248711305964282</v>
      </c>
    </row>
    <row r="2493" spans="44:45" x14ac:dyDescent="0.25">
      <c r="AR2493" s="11">
        <v>0.26000000000000006</v>
      </c>
      <c r="AS2493" s="7">
        <v>0.24248711305964282</v>
      </c>
    </row>
    <row r="2494" spans="44:45" x14ac:dyDescent="0.25">
      <c r="AR2494" s="11">
        <v>0.27000000000000007</v>
      </c>
      <c r="AS2494" s="7">
        <v>0.24248711305964282</v>
      </c>
    </row>
    <row r="2495" spans="44:45" x14ac:dyDescent="0.25">
      <c r="AR2495" s="11">
        <v>0.28000000000000008</v>
      </c>
      <c r="AS2495" s="7">
        <v>0.24248711305964282</v>
      </c>
    </row>
    <row r="2496" spans="44:45" x14ac:dyDescent="0.25">
      <c r="AR2496" s="11">
        <v>0.29000000000000009</v>
      </c>
      <c r="AS2496" s="7">
        <v>0.24248711305964282</v>
      </c>
    </row>
    <row r="2497" spans="44:45" x14ac:dyDescent="0.25">
      <c r="AR2497" s="11">
        <v>0.3000000000000001</v>
      </c>
      <c r="AS2497" s="7">
        <v>0.24248711305964282</v>
      </c>
    </row>
    <row r="2498" spans="44:45" x14ac:dyDescent="0.25">
      <c r="AR2498" s="11">
        <v>0.31000000000000011</v>
      </c>
      <c r="AS2498" s="7">
        <v>0.24248711305964282</v>
      </c>
    </row>
    <row r="2499" spans="44:45" x14ac:dyDescent="0.25">
      <c r="AR2499" s="11">
        <v>0.32000000000000012</v>
      </c>
      <c r="AS2499" s="7">
        <v>0.24248711305964282</v>
      </c>
    </row>
    <row r="2500" spans="44:45" x14ac:dyDescent="0.25">
      <c r="AR2500" s="11">
        <v>0.33000000000000013</v>
      </c>
      <c r="AS2500" s="7">
        <v>0.24248711305964282</v>
      </c>
    </row>
    <row r="2501" spans="44:45" x14ac:dyDescent="0.25">
      <c r="AR2501" s="11">
        <v>0.34000000000000014</v>
      </c>
      <c r="AS2501" s="7">
        <v>0.24248711305964282</v>
      </c>
    </row>
    <row r="2502" spans="44:45" x14ac:dyDescent="0.25">
      <c r="AR2502" s="11">
        <v>0.35000000000000014</v>
      </c>
      <c r="AS2502" s="7">
        <v>0.24248711305964282</v>
      </c>
    </row>
    <row r="2503" spans="44:45" x14ac:dyDescent="0.25">
      <c r="AR2503" s="11">
        <v>0.36000000000000015</v>
      </c>
      <c r="AS2503" s="7">
        <v>0.24248711305964282</v>
      </c>
    </row>
    <row r="2504" spans="44:45" x14ac:dyDescent="0.25">
      <c r="AR2504" s="11">
        <v>0.37000000000000016</v>
      </c>
      <c r="AS2504" s="7">
        <v>0.24248711305964282</v>
      </c>
    </row>
    <row r="2505" spans="44:45" x14ac:dyDescent="0.25">
      <c r="AR2505" s="11">
        <v>0.38000000000000017</v>
      </c>
      <c r="AS2505" s="7">
        <v>0.24248711305964282</v>
      </c>
    </row>
    <row r="2506" spans="44:45" x14ac:dyDescent="0.25">
      <c r="AR2506" s="11">
        <v>0.39000000000000018</v>
      </c>
      <c r="AS2506" s="7">
        <v>0.24248711305964282</v>
      </c>
    </row>
    <row r="2507" spans="44:45" x14ac:dyDescent="0.25">
      <c r="AR2507" s="11">
        <v>0.40000000000000019</v>
      </c>
      <c r="AS2507" s="7">
        <v>0.24248711305964282</v>
      </c>
    </row>
    <row r="2508" spans="44:45" x14ac:dyDescent="0.25">
      <c r="AR2508" s="11">
        <v>0.4100000000000002</v>
      </c>
      <c r="AS2508" s="7">
        <v>0.24248711305964282</v>
      </c>
    </row>
    <row r="2509" spans="44:45" x14ac:dyDescent="0.25">
      <c r="AR2509" s="11">
        <v>0.42000000000000021</v>
      </c>
      <c r="AS2509" s="7">
        <v>0.24248711305964282</v>
      </c>
    </row>
    <row r="2510" spans="44:45" x14ac:dyDescent="0.25">
      <c r="AR2510" s="11">
        <v>0.43000000000000022</v>
      </c>
      <c r="AS2510" s="7">
        <v>0.24248711305964282</v>
      </c>
    </row>
    <row r="2511" spans="44:45" x14ac:dyDescent="0.25">
      <c r="AR2511" s="11">
        <v>0.44000000000000022</v>
      </c>
      <c r="AS2511" s="7">
        <v>0.24248711305964282</v>
      </c>
    </row>
    <row r="2512" spans="44:45" x14ac:dyDescent="0.25">
      <c r="AR2512" s="11">
        <v>0.45000000000000023</v>
      </c>
      <c r="AS2512" s="7">
        <v>0.24248711305964282</v>
      </c>
    </row>
    <row r="2513" spans="44:45" x14ac:dyDescent="0.25">
      <c r="AR2513" s="11">
        <v>0.46000000000000024</v>
      </c>
      <c r="AS2513" s="7">
        <v>0.24248711305964282</v>
      </c>
    </row>
    <row r="2514" spans="44:45" x14ac:dyDescent="0.25">
      <c r="AR2514" s="11">
        <v>0.47000000000000025</v>
      </c>
      <c r="AS2514" s="7">
        <v>0.24248711305964282</v>
      </c>
    </row>
    <row r="2515" spans="44:45" x14ac:dyDescent="0.25">
      <c r="AR2515" s="11">
        <v>0.48000000000000026</v>
      </c>
      <c r="AS2515" s="7">
        <v>0.24248711305964282</v>
      </c>
    </row>
    <row r="2516" spans="44:45" x14ac:dyDescent="0.25">
      <c r="AR2516" s="11">
        <v>0.49000000000000027</v>
      </c>
      <c r="AS2516" s="7">
        <v>0.24248711305964282</v>
      </c>
    </row>
    <row r="2517" spans="44:45" x14ac:dyDescent="0.25">
      <c r="AR2517" s="11">
        <v>0.50000000000000022</v>
      </c>
      <c r="AS2517" s="7">
        <v>0.24248711305964282</v>
      </c>
    </row>
    <row r="2518" spans="44:45" x14ac:dyDescent="0.25">
      <c r="AR2518" s="11">
        <v>0.51000000000000023</v>
      </c>
      <c r="AS2518" s="7">
        <v>0.24248711305964282</v>
      </c>
    </row>
    <row r="2519" spans="44:45" x14ac:dyDescent="0.25">
      <c r="AR2519" s="11">
        <v>0.52000000000000024</v>
      </c>
      <c r="AS2519" s="7">
        <v>0.24248711305964282</v>
      </c>
    </row>
    <row r="2520" spans="44:45" x14ac:dyDescent="0.25">
      <c r="AR2520" s="11">
        <v>0.53000000000000025</v>
      </c>
      <c r="AS2520" s="7">
        <v>0.24248711305964282</v>
      </c>
    </row>
    <row r="2521" spans="44:45" x14ac:dyDescent="0.25">
      <c r="AR2521" s="11">
        <v>0.54000000000000026</v>
      </c>
      <c r="AS2521" s="7">
        <v>0.24248711305964282</v>
      </c>
    </row>
    <row r="2522" spans="44:45" x14ac:dyDescent="0.25">
      <c r="AR2522" s="11">
        <v>0.55000000000000027</v>
      </c>
      <c r="AS2522" s="7">
        <v>0.24248711305964282</v>
      </c>
    </row>
    <row r="2523" spans="44:45" x14ac:dyDescent="0.25">
      <c r="AR2523" s="11">
        <v>0.56000000000000028</v>
      </c>
      <c r="AS2523" s="7">
        <v>0.24248711305964282</v>
      </c>
    </row>
    <row r="2524" spans="44:45" x14ac:dyDescent="0.25">
      <c r="AR2524" s="11">
        <v>0.57000000000000028</v>
      </c>
      <c r="AS2524" s="7">
        <v>0.24248711305964282</v>
      </c>
    </row>
    <row r="2525" spans="44:45" x14ac:dyDescent="0.25">
      <c r="AR2525" s="11">
        <v>0.58000000000000029</v>
      </c>
      <c r="AS2525" s="7">
        <v>0.24248711305964282</v>
      </c>
    </row>
    <row r="2526" spans="44:45" x14ac:dyDescent="0.25">
      <c r="AR2526" s="11">
        <v>0.5900000000000003</v>
      </c>
      <c r="AS2526" s="7">
        <v>0.24248711305964282</v>
      </c>
    </row>
    <row r="2527" spans="44:45" x14ac:dyDescent="0.25">
      <c r="AR2527" s="11">
        <v>0.60000000000000031</v>
      </c>
      <c r="AS2527" s="7">
        <v>0.24248711305964282</v>
      </c>
    </row>
    <row r="2528" spans="44:45" x14ac:dyDescent="0.25">
      <c r="AR2528" s="11">
        <v>0.61000000000000032</v>
      </c>
      <c r="AS2528" s="7">
        <v>0.24248711305964282</v>
      </c>
    </row>
    <row r="2529" spans="44:45" x14ac:dyDescent="0.25">
      <c r="AR2529" s="11">
        <v>0.62000000000000033</v>
      </c>
      <c r="AS2529" s="7">
        <v>0.24248711305964282</v>
      </c>
    </row>
    <row r="2530" spans="44:45" x14ac:dyDescent="0.25">
      <c r="AR2530" s="11">
        <v>0.63000000000000034</v>
      </c>
      <c r="AS2530" s="7">
        <v>0.24248711305964282</v>
      </c>
    </row>
    <row r="2531" spans="44:45" x14ac:dyDescent="0.25">
      <c r="AR2531" s="11">
        <v>0.64000000000000035</v>
      </c>
      <c r="AS2531" s="7">
        <v>0.24248711305964282</v>
      </c>
    </row>
    <row r="2532" spans="44:45" x14ac:dyDescent="0.25">
      <c r="AR2532" s="11">
        <v>0.65000000000000036</v>
      </c>
      <c r="AS2532" s="7">
        <v>0.24248711305964282</v>
      </c>
    </row>
    <row r="2533" spans="44:45" x14ac:dyDescent="0.25">
      <c r="AR2533" s="11">
        <v>0.66000000000000036</v>
      </c>
      <c r="AS2533" s="7">
        <v>0.24248711305964282</v>
      </c>
    </row>
    <row r="2534" spans="44:45" x14ac:dyDescent="0.25">
      <c r="AR2534" s="11">
        <v>0.67000000000000037</v>
      </c>
      <c r="AS2534" s="7">
        <v>0.24248711305964282</v>
      </c>
    </row>
    <row r="2535" spans="44:45" x14ac:dyDescent="0.25">
      <c r="AR2535" s="11">
        <v>0.68000000000000038</v>
      </c>
      <c r="AS2535" s="7">
        <v>0.24248711305964282</v>
      </c>
    </row>
    <row r="2536" spans="44:45" x14ac:dyDescent="0.25">
      <c r="AR2536" s="11">
        <v>0.69000000000000039</v>
      </c>
      <c r="AS2536" s="7">
        <v>0.24248711305964282</v>
      </c>
    </row>
    <row r="2537" spans="44:45" x14ac:dyDescent="0.25">
      <c r="AR2537" s="11">
        <v>0.7000000000000004</v>
      </c>
      <c r="AS2537" s="7">
        <v>0.24248711305964282</v>
      </c>
    </row>
    <row r="2538" spans="44:45" x14ac:dyDescent="0.25">
      <c r="AR2538" s="11">
        <v>0.71000000000000041</v>
      </c>
      <c r="AS2538" s="7">
        <v>0.24248711305964282</v>
      </c>
    </row>
    <row r="2539" spans="44:45" x14ac:dyDescent="0.25">
      <c r="AR2539" s="11">
        <v>0.72000000000000042</v>
      </c>
      <c r="AS2539" s="7">
        <v>0.24248711305964282</v>
      </c>
    </row>
    <row r="2540" spans="44:45" x14ac:dyDescent="0.25">
      <c r="AR2540" s="11">
        <v>0.73000000000000043</v>
      </c>
      <c r="AS2540" s="7">
        <v>0.24248711305964282</v>
      </c>
    </row>
    <row r="2541" spans="44:45" x14ac:dyDescent="0.25">
      <c r="AR2541" s="11">
        <v>0.74000000000000044</v>
      </c>
      <c r="AS2541" s="7">
        <v>0.24248711305964282</v>
      </c>
    </row>
    <row r="2542" spans="44:45" x14ac:dyDescent="0.25">
      <c r="AR2542" s="11">
        <v>0.75000000000000044</v>
      </c>
      <c r="AS2542" s="7">
        <v>0.24248711305964282</v>
      </c>
    </row>
    <row r="2543" spans="44:45" x14ac:dyDescent="0.25">
      <c r="AR2543" s="11">
        <v>0.76000000000000045</v>
      </c>
      <c r="AS2543" s="7">
        <v>0.24248711305964282</v>
      </c>
    </row>
    <row r="2544" spans="44:45" x14ac:dyDescent="0.25">
      <c r="AR2544" s="11">
        <v>0.77000000000000046</v>
      </c>
      <c r="AS2544" s="7">
        <v>0.24248711305964282</v>
      </c>
    </row>
    <row r="2545" spans="44:45" x14ac:dyDescent="0.25">
      <c r="AR2545" s="11">
        <v>0.78000000000000047</v>
      </c>
      <c r="AS2545" s="7">
        <v>0.24248711305964282</v>
      </c>
    </row>
    <row r="2546" spans="44:45" x14ac:dyDescent="0.25">
      <c r="AR2546" s="11">
        <v>0.79000000000000048</v>
      </c>
      <c r="AS2546" s="7">
        <v>0.24248711305964282</v>
      </c>
    </row>
    <row r="2547" spans="44:45" x14ac:dyDescent="0.25">
      <c r="AR2547" s="11">
        <v>0.80000000000000049</v>
      </c>
      <c r="AS2547" s="7">
        <v>0.24248711305964282</v>
      </c>
    </row>
    <row r="2548" spans="44:45" x14ac:dyDescent="0.25">
      <c r="AR2548" s="11">
        <v>0.8100000000000005</v>
      </c>
      <c r="AS2548" s="7">
        <v>0.24248711305964282</v>
      </c>
    </row>
    <row r="2549" spans="44:45" x14ac:dyDescent="0.25">
      <c r="AR2549" s="11">
        <v>0.82000000000000051</v>
      </c>
      <c r="AS2549" s="7">
        <v>0.24248711305964282</v>
      </c>
    </row>
    <row r="2550" spans="44:45" x14ac:dyDescent="0.25">
      <c r="AR2550" s="11">
        <v>0.83000000000000052</v>
      </c>
      <c r="AS2550" s="7">
        <v>0.24248711305964282</v>
      </c>
    </row>
    <row r="2551" spans="44:45" x14ac:dyDescent="0.25">
      <c r="AR2551" s="11">
        <v>0.84000000000000052</v>
      </c>
      <c r="AS2551" s="7">
        <v>0.24248711305964282</v>
      </c>
    </row>
    <row r="2552" spans="44:45" x14ac:dyDescent="0.25">
      <c r="AR2552" s="11">
        <v>0.85000000000000053</v>
      </c>
      <c r="AS2552" s="7">
        <v>0.24248711305964282</v>
      </c>
    </row>
    <row r="2553" spans="44:45" x14ac:dyDescent="0.25">
      <c r="AR2553" s="11">
        <v>0.86000000000000054</v>
      </c>
      <c r="AS2553" s="7">
        <v>0.24248711305964282</v>
      </c>
    </row>
    <row r="2554" spans="44:45" x14ac:dyDescent="0.25">
      <c r="AR2554" s="11"/>
      <c r="AS2554" s="7"/>
    </row>
    <row r="2555" spans="44:45" x14ac:dyDescent="0.25">
      <c r="AR2555" s="11">
        <v>0.14499999999999999</v>
      </c>
      <c r="AS2555" s="7">
        <v>0.2511473670974872</v>
      </c>
    </row>
    <row r="2556" spans="44:45" x14ac:dyDescent="0.25">
      <c r="AR2556" s="11">
        <v>0.155</v>
      </c>
      <c r="AS2556" s="7">
        <v>0.2511473670974872</v>
      </c>
    </row>
    <row r="2557" spans="44:45" x14ac:dyDescent="0.25">
      <c r="AR2557" s="11">
        <v>0.16500000000000001</v>
      </c>
      <c r="AS2557" s="7">
        <v>0.2511473670974872</v>
      </c>
    </row>
    <row r="2558" spans="44:45" x14ac:dyDescent="0.25">
      <c r="AR2558" s="11">
        <v>0.17500000000000002</v>
      </c>
      <c r="AS2558" s="7">
        <v>0.2511473670974872</v>
      </c>
    </row>
    <row r="2559" spans="44:45" x14ac:dyDescent="0.25">
      <c r="AR2559" s="11">
        <v>0.18500000000000003</v>
      </c>
      <c r="AS2559" s="7">
        <v>0.2511473670974872</v>
      </c>
    </row>
    <row r="2560" spans="44:45" x14ac:dyDescent="0.25">
      <c r="AR2560" s="11">
        <v>0.19500000000000003</v>
      </c>
      <c r="AS2560" s="7">
        <v>0.2511473670974872</v>
      </c>
    </row>
    <row r="2561" spans="44:45" x14ac:dyDescent="0.25">
      <c r="AR2561" s="11">
        <v>0.20500000000000004</v>
      </c>
      <c r="AS2561" s="7">
        <v>0.2511473670974872</v>
      </c>
    </row>
    <row r="2562" spans="44:45" x14ac:dyDescent="0.25">
      <c r="AR2562" s="11">
        <v>0.21500000000000005</v>
      </c>
      <c r="AS2562" s="7">
        <v>0.2511473670974872</v>
      </c>
    </row>
    <row r="2563" spans="44:45" x14ac:dyDescent="0.25">
      <c r="AR2563" s="11">
        <v>0.22500000000000006</v>
      </c>
      <c r="AS2563" s="7">
        <v>0.2511473670974872</v>
      </c>
    </row>
    <row r="2564" spans="44:45" x14ac:dyDescent="0.25">
      <c r="AR2564" s="11">
        <v>0.23500000000000007</v>
      </c>
      <c r="AS2564" s="7">
        <v>0.2511473670974872</v>
      </c>
    </row>
    <row r="2565" spans="44:45" x14ac:dyDescent="0.25">
      <c r="AR2565" s="11">
        <v>0.24500000000000008</v>
      </c>
      <c r="AS2565" s="7">
        <v>0.2511473670974872</v>
      </c>
    </row>
    <row r="2566" spans="44:45" x14ac:dyDescent="0.25">
      <c r="AR2566" s="11">
        <v>0.25500000000000006</v>
      </c>
      <c r="AS2566" s="7">
        <v>0.2511473670974872</v>
      </c>
    </row>
    <row r="2567" spans="44:45" x14ac:dyDescent="0.25">
      <c r="AR2567" s="11">
        <v>0.26500000000000007</v>
      </c>
      <c r="AS2567" s="7">
        <v>0.2511473670974872</v>
      </c>
    </row>
    <row r="2568" spans="44:45" x14ac:dyDescent="0.25">
      <c r="AR2568" s="11">
        <v>0.27500000000000008</v>
      </c>
      <c r="AS2568" s="7">
        <v>0.2511473670974872</v>
      </c>
    </row>
    <row r="2569" spans="44:45" x14ac:dyDescent="0.25">
      <c r="AR2569" s="11">
        <v>0.28500000000000009</v>
      </c>
      <c r="AS2569" s="7">
        <v>0.2511473670974872</v>
      </c>
    </row>
    <row r="2570" spans="44:45" x14ac:dyDescent="0.25">
      <c r="AR2570" s="11">
        <v>0.2950000000000001</v>
      </c>
      <c r="AS2570" s="7">
        <v>0.2511473670974872</v>
      </c>
    </row>
    <row r="2571" spans="44:45" x14ac:dyDescent="0.25">
      <c r="AR2571" s="11">
        <v>0.3050000000000001</v>
      </c>
      <c r="AS2571" s="7">
        <v>0.2511473670974872</v>
      </c>
    </row>
    <row r="2572" spans="44:45" x14ac:dyDescent="0.25">
      <c r="AR2572" s="11">
        <v>0.31500000000000011</v>
      </c>
      <c r="AS2572" s="7">
        <v>0.2511473670974872</v>
      </c>
    </row>
    <row r="2573" spans="44:45" x14ac:dyDescent="0.25">
      <c r="AR2573" s="11">
        <v>0.32500000000000012</v>
      </c>
      <c r="AS2573" s="7">
        <v>0.2511473670974872</v>
      </c>
    </row>
    <row r="2574" spans="44:45" x14ac:dyDescent="0.25">
      <c r="AR2574" s="11">
        <v>0.33500000000000013</v>
      </c>
      <c r="AS2574" s="7">
        <v>0.2511473670974872</v>
      </c>
    </row>
    <row r="2575" spans="44:45" x14ac:dyDescent="0.25">
      <c r="AR2575" s="11">
        <v>0.34500000000000014</v>
      </c>
      <c r="AS2575" s="7">
        <v>0.2511473670974872</v>
      </c>
    </row>
    <row r="2576" spans="44:45" x14ac:dyDescent="0.25">
      <c r="AR2576" s="11">
        <v>0.35500000000000015</v>
      </c>
      <c r="AS2576" s="7">
        <v>0.2511473670974872</v>
      </c>
    </row>
    <row r="2577" spans="44:45" x14ac:dyDescent="0.25">
      <c r="AR2577" s="11">
        <v>0.36500000000000016</v>
      </c>
      <c r="AS2577" s="7">
        <v>0.2511473670974872</v>
      </c>
    </row>
    <row r="2578" spans="44:45" x14ac:dyDescent="0.25">
      <c r="AR2578" s="11">
        <v>0.37500000000000017</v>
      </c>
      <c r="AS2578" s="7">
        <v>0.2511473670974872</v>
      </c>
    </row>
    <row r="2579" spans="44:45" x14ac:dyDescent="0.25">
      <c r="AR2579" s="11">
        <v>0.38500000000000018</v>
      </c>
      <c r="AS2579" s="7">
        <v>0.2511473670974872</v>
      </c>
    </row>
    <row r="2580" spans="44:45" x14ac:dyDescent="0.25">
      <c r="AR2580" s="11">
        <v>0.39500000000000018</v>
      </c>
      <c r="AS2580" s="7">
        <v>0.2511473670974872</v>
      </c>
    </row>
    <row r="2581" spans="44:45" x14ac:dyDescent="0.25">
      <c r="AR2581" s="11">
        <v>0.40500000000000019</v>
      </c>
      <c r="AS2581" s="7">
        <v>0.2511473670974872</v>
      </c>
    </row>
    <row r="2582" spans="44:45" x14ac:dyDescent="0.25">
      <c r="AR2582" s="11">
        <v>0.4150000000000002</v>
      </c>
      <c r="AS2582" s="7">
        <v>0.2511473670974872</v>
      </c>
    </row>
    <row r="2583" spans="44:45" x14ac:dyDescent="0.25">
      <c r="AR2583" s="11">
        <v>0.42500000000000021</v>
      </c>
      <c r="AS2583" s="7">
        <v>0.2511473670974872</v>
      </c>
    </row>
    <row r="2584" spans="44:45" x14ac:dyDescent="0.25">
      <c r="AR2584" s="11">
        <v>0.43500000000000022</v>
      </c>
      <c r="AS2584" s="7">
        <v>0.2511473670974872</v>
      </c>
    </row>
    <row r="2585" spans="44:45" x14ac:dyDescent="0.25">
      <c r="AR2585" s="11">
        <v>0.44500000000000023</v>
      </c>
      <c r="AS2585" s="7">
        <v>0.2511473670974872</v>
      </c>
    </row>
    <row r="2586" spans="44:45" x14ac:dyDescent="0.25">
      <c r="AR2586" s="11">
        <v>0.45500000000000024</v>
      </c>
      <c r="AS2586" s="7">
        <v>0.2511473670974872</v>
      </c>
    </row>
    <row r="2587" spans="44:45" x14ac:dyDescent="0.25">
      <c r="AR2587" s="11">
        <v>0.46500000000000025</v>
      </c>
      <c r="AS2587" s="7">
        <v>0.2511473670974872</v>
      </c>
    </row>
    <row r="2588" spans="44:45" x14ac:dyDescent="0.25">
      <c r="AR2588" s="11">
        <v>0.47500000000000026</v>
      </c>
      <c r="AS2588" s="7">
        <v>0.2511473670974872</v>
      </c>
    </row>
    <row r="2589" spans="44:45" x14ac:dyDescent="0.25">
      <c r="AR2589" s="11">
        <v>0.48500000000000026</v>
      </c>
      <c r="AS2589" s="7">
        <v>0.2511473670974872</v>
      </c>
    </row>
    <row r="2590" spans="44:45" x14ac:dyDescent="0.25">
      <c r="AR2590" s="11">
        <v>0.49500000000000027</v>
      </c>
      <c r="AS2590" s="7">
        <v>0.2511473670974872</v>
      </c>
    </row>
    <row r="2591" spans="44:45" x14ac:dyDescent="0.25">
      <c r="AR2591" s="11">
        <v>0.50500000000000023</v>
      </c>
      <c r="AS2591" s="7">
        <v>0.2511473670974872</v>
      </c>
    </row>
    <row r="2592" spans="44:45" x14ac:dyDescent="0.25">
      <c r="AR2592" s="11">
        <v>0.51500000000000024</v>
      </c>
      <c r="AS2592" s="7">
        <v>0.2511473670974872</v>
      </c>
    </row>
    <row r="2593" spans="44:45" x14ac:dyDescent="0.25">
      <c r="AR2593" s="11">
        <v>0.52500000000000024</v>
      </c>
      <c r="AS2593" s="7">
        <v>0.2511473670974872</v>
      </c>
    </row>
    <row r="2594" spans="44:45" x14ac:dyDescent="0.25">
      <c r="AR2594" s="11">
        <v>0.53500000000000025</v>
      </c>
      <c r="AS2594" s="7">
        <v>0.2511473670974872</v>
      </c>
    </row>
    <row r="2595" spans="44:45" x14ac:dyDescent="0.25">
      <c r="AR2595" s="11">
        <v>0.54500000000000026</v>
      </c>
      <c r="AS2595" s="7">
        <v>0.2511473670974872</v>
      </c>
    </row>
    <row r="2596" spans="44:45" x14ac:dyDescent="0.25">
      <c r="AR2596" s="11">
        <v>0.55500000000000027</v>
      </c>
      <c r="AS2596" s="7">
        <v>0.2511473670974872</v>
      </c>
    </row>
    <row r="2597" spans="44:45" x14ac:dyDescent="0.25">
      <c r="AR2597" s="11">
        <v>0.56500000000000028</v>
      </c>
      <c r="AS2597" s="7">
        <v>0.2511473670974872</v>
      </c>
    </row>
    <row r="2598" spans="44:45" x14ac:dyDescent="0.25">
      <c r="AR2598" s="11">
        <v>0.57500000000000029</v>
      </c>
      <c r="AS2598" s="7">
        <v>0.2511473670974872</v>
      </c>
    </row>
    <row r="2599" spans="44:45" x14ac:dyDescent="0.25">
      <c r="AR2599" s="11">
        <v>0.5850000000000003</v>
      </c>
      <c r="AS2599" s="7">
        <v>0.2511473670974872</v>
      </c>
    </row>
    <row r="2600" spans="44:45" x14ac:dyDescent="0.25">
      <c r="AR2600" s="11">
        <v>0.59500000000000031</v>
      </c>
      <c r="AS2600" s="7">
        <v>0.2511473670974872</v>
      </c>
    </row>
    <row r="2601" spans="44:45" x14ac:dyDescent="0.25">
      <c r="AR2601" s="11">
        <v>0.60500000000000032</v>
      </c>
      <c r="AS2601" s="7">
        <v>0.2511473670974872</v>
      </c>
    </row>
    <row r="2602" spans="44:45" x14ac:dyDescent="0.25">
      <c r="AR2602" s="11">
        <v>0.61500000000000032</v>
      </c>
      <c r="AS2602" s="7">
        <v>0.2511473670974872</v>
      </c>
    </row>
    <row r="2603" spans="44:45" x14ac:dyDescent="0.25">
      <c r="AR2603" s="11">
        <v>0.62500000000000033</v>
      </c>
      <c r="AS2603" s="7">
        <v>0.2511473670974872</v>
      </c>
    </row>
    <row r="2604" spans="44:45" x14ac:dyDescent="0.25">
      <c r="AR2604" s="11">
        <v>0.63500000000000034</v>
      </c>
      <c r="AS2604" s="7">
        <v>0.2511473670974872</v>
      </c>
    </row>
    <row r="2605" spans="44:45" x14ac:dyDescent="0.25">
      <c r="AR2605" s="11">
        <v>0.64500000000000035</v>
      </c>
      <c r="AS2605" s="7">
        <v>0.2511473670974872</v>
      </c>
    </row>
    <row r="2606" spans="44:45" x14ac:dyDescent="0.25">
      <c r="AR2606" s="11">
        <v>0.65500000000000036</v>
      </c>
      <c r="AS2606" s="7">
        <v>0.2511473670974872</v>
      </c>
    </row>
    <row r="2607" spans="44:45" x14ac:dyDescent="0.25">
      <c r="AR2607" s="11">
        <v>0.66500000000000037</v>
      </c>
      <c r="AS2607" s="7">
        <v>0.2511473670974872</v>
      </c>
    </row>
    <row r="2608" spans="44:45" x14ac:dyDescent="0.25">
      <c r="AR2608" s="11">
        <v>0.67500000000000038</v>
      </c>
      <c r="AS2608" s="7">
        <v>0.2511473670974872</v>
      </c>
    </row>
    <row r="2609" spans="44:45" x14ac:dyDescent="0.25">
      <c r="AR2609" s="11">
        <v>0.68500000000000039</v>
      </c>
      <c r="AS2609" s="7">
        <v>0.2511473670974872</v>
      </c>
    </row>
    <row r="2610" spans="44:45" x14ac:dyDescent="0.25">
      <c r="AR2610" s="11">
        <v>0.6950000000000004</v>
      </c>
      <c r="AS2610" s="7">
        <v>0.2511473670974872</v>
      </c>
    </row>
    <row r="2611" spans="44:45" x14ac:dyDescent="0.25">
      <c r="AR2611" s="11">
        <v>0.7050000000000004</v>
      </c>
      <c r="AS2611" s="7">
        <v>0.2511473670974872</v>
      </c>
    </row>
    <row r="2612" spans="44:45" x14ac:dyDescent="0.25">
      <c r="AR2612" s="11">
        <v>0.71500000000000041</v>
      </c>
      <c r="AS2612" s="7">
        <v>0.2511473670974872</v>
      </c>
    </row>
    <row r="2613" spans="44:45" x14ac:dyDescent="0.25">
      <c r="AR2613" s="11">
        <v>0.72500000000000042</v>
      </c>
      <c r="AS2613" s="7">
        <v>0.2511473670974872</v>
      </c>
    </row>
    <row r="2614" spans="44:45" x14ac:dyDescent="0.25">
      <c r="AR2614" s="11">
        <v>0.73500000000000043</v>
      </c>
      <c r="AS2614" s="7">
        <v>0.2511473670974872</v>
      </c>
    </row>
    <row r="2615" spans="44:45" x14ac:dyDescent="0.25">
      <c r="AR2615" s="11">
        <v>0.74500000000000044</v>
      </c>
      <c r="AS2615" s="7">
        <v>0.2511473670974872</v>
      </c>
    </row>
    <row r="2616" spans="44:45" x14ac:dyDescent="0.25">
      <c r="AR2616" s="11">
        <v>0.75500000000000045</v>
      </c>
      <c r="AS2616" s="7">
        <v>0.2511473670974872</v>
      </c>
    </row>
    <row r="2617" spans="44:45" x14ac:dyDescent="0.25">
      <c r="AR2617" s="11">
        <v>0.76500000000000046</v>
      </c>
      <c r="AS2617" s="7">
        <v>0.2511473670974872</v>
      </c>
    </row>
    <row r="2618" spans="44:45" x14ac:dyDescent="0.25">
      <c r="AR2618" s="11">
        <v>0.77500000000000047</v>
      </c>
      <c r="AS2618" s="7">
        <v>0.2511473670974872</v>
      </c>
    </row>
    <row r="2619" spans="44:45" x14ac:dyDescent="0.25">
      <c r="AR2619" s="11">
        <v>0.78500000000000048</v>
      </c>
      <c r="AS2619" s="7">
        <v>0.2511473670974872</v>
      </c>
    </row>
    <row r="2620" spans="44:45" x14ac:dyDescent="0.25">
      <c r="AR2620" s="11">
        <v>0.79500000000000048</v>
      </c>
      <c r="AS2620" s="7">
        <v>0.2511473670974872</v>
      </c>
    </row>
    <row r="2621" spans="44:45" x14ac:dyDescent="0.25">
      <c r="AR2621" s="11">
        <v>0.80500000000000049</v>
      </c>
      <c r="AS2621" s="7">
        <v>0.2511473670974872</v>
      </c>
    </row>
    <row r="2622" spans="44:45" x14ac:dyDescent="0.25">
      <c r="AR2622" s="11">
        <v>0.8150000000000005</v>
      </c>
      <c r="AS2622" s="7">
        <v>0.2511473670974872</v>
      </c>
    </row>
    <row r="2623" spans="44:45" x14ac:dyDescent="0.25">
      <c r="AR2623" s="11">
        <v>0.82500000000000051</v>
      </c>
      <c r="AS2623" s="7">
        <v>0.2511473670974872</v>
      </c>
    </row>
    <row r="2624" spans="44:45" x14ac:dyDescent="0.25">
      <c r="AR2624" s="11">
        <v>0.83500000000000052</v>
      </c>
      <c r="AS2624" s="7">
        <v>0.2511473670974872</v>
      </c>
    </row>
    <row r="2625" spans="44:45" x14ac:dyDescent="0.25">
      <c r="AR2625" s="11">
        <v>0.84500000000000053</v>
      </c>
      <c r="AS2625" s="7">
        <v>0.2511473670974872</v>
      </c>
    </row>
    <row r="2626" spans="44:45" x14ac:dyDescent="0.25">
      <c r="AR2626" s="11">
        <v>0.85500000000000054</v>
      </c>
      <c r="AS2626" s="7">
        <v>0.2511473670974872</v>
      </c>
    </row>
    <row r="2627" spans="44:45" x14ac:dyDescent="0.25">
      <c r="AR2627" s="11"/>
      <c r="AS2627" s="7"/>
    </row>
    <row r="2628" spans="44:45" x14ac:dyDescent="0.25">
      <c r="AR2628" s="11">
        <v>0.15</v>
      </c>
      <c r="AS2628" s="7">
        <v>0.25980762113533162</v>
      </c>
    </row>
    <row r="2629" spans="44:45" x14ac:dyDescent="0.25">
      <c r="AR2629" s="11">
        <v>0.16</v>
      </c>
      <c r="AS2629" s="7">
        <v>0.25980762113533162</v>
      </c>
    </row>
    <row r="2630" spans="44:45" x14ac:dyDescent="0.25">
      <c r="AR2630" s="11">
        <v>0.17</v>
      </c>
      <c r="AS2630" s="7">
        <v>0.25980762113533162</v>
      </c>
    </row>
    <row r="2631" spans="44:45" x14ac:dyDescent="0.25">
      <c r="AR2631" s="11">
        <v>0.18000000000000002</v>
      </c>
      <c r="AS2631" s="7">
        <v>0.25980762113533162</v>
      </c>
    </row>
    <row r="2632" spans="44:45" x14ac:dyDescent="0.25">
      <c r="AR2632" s="11">
        <v>0.19000000000000003</v>
      </c>
      <c r="AS2632" s="7">
        <v>0.25980762113533162</v>
      </c>
    </row>
    <row r="2633" spans="44:45" x14ac:dyDescent="0.25">
      <c r="AR2633" s="11">
        <v>0.20000000000000004</v>
      </c>
      <c r="AS2633" s="7">
        <v>0.25980762113533162</v>
      </c>
    </row>
    <row r="2634" spans="44:45" x14ac:dyDescent="0.25">
      <c r="AR2634" s="11">
        <v>0.21000000000000005</v>
      </c>
      <c r="AS2634" s="7">
        <v>0.25980762113533162</v>
      </c>
    </row>
    <row r="2635" spans="44:45" x14ac:dyDescent="0.25">
      <c r="AR2635" s="11">
        <v>0.22000000000000006</v>
      </c>
      <c r="AS2635" s="7">
        <v>0.25980762113533162</v>
      </c>
    </row>
    <row r="2636" spans="44:45" x14ac:dyDescent="0.25">
      <c r="AR2636" s="11">
        <v>0.23000000000000007</v>
      </c>
      <c r="AS2636" s="7">
        <v>0.25980762113533162</v>
      </c>
    </row>
    <row r="2637" spans="44:45" x14ac:dyDescent="0.25">
      <c r="AR2637" s="11">
        <v>0.24000000000000007</v>
      </c>
      <c r="AS2637" s="7">
        <v>0.25980762113533162</v>
      </c>
    </row>
    <row r="2638" spans="44:45" x14ac:dyDescent="0.25">
      <c r="AR2638" s="11">
        <v>0.25000000000000006</v>
      </c>
      <c r="AS2638" s="7">
        <v>0.25980762113533162</v>
      </c>
    </row>
    <row r="2639" spans="44:45" x14ac:dyDescent="0.25">
      <c r="AR2639" s="11">
        <v>0.26000000000000006</v>
      </c>
      <c r="AS2639" s="7">
        <v>0.25980762113533162</v>
      </c>
    </row>
    <row r="2640" spans="44:45" x14ac:dyDescent="0.25">
      <c r="AR2640" s="11">
        <v>0.27000000000000007</v>
      </c>
      <c r="AS2640" s="7">
        <v>0.25980762113533162</v>
      </c>
    </row>
    <row r="2641" spans="44:45" x14ac:dyDescent="0.25">
      <c r="AR2641" s="11">
        <v>0.28000000000000008</v>
      </c>
      <c r="AS2641" s="7">
        <v>0.25980762113533162</v>
      </c>
    </row>
    <row r="2642" spans="44:45" x14ac:dyDescent="0.25">
      <c r="AR2642" s="11">
        <v>0.29000000000000009</v>
      </c>
      <c r="AS2642" s="7">
        <v>0.25980762113533162</v>
      </c>
    </row>
    <row r="2643" spans="44:45" x14ac:dyDescent="0.25">
      <c r="AR2643" s="11">
        <v>0.3000000000000001</v>
      </c>
      <c r="AS2643" s="7">
        <v>0.25980762113533162</v>
      </c>
    </row>
    <row r="2644" spans="44:45" x14ac:dyDescent="0.25">
      <c r="AR2644" s="11">
        <v>0.31000000000000011</v>
      </c>
      <c r="AS2644" s="7">
        <v>0.25980762113533162</v>
      </c>
    </row>
    <row r="2645" spans="44:45" x14ac:dyDescent="0.25">
      <c r="AR2645" s="11">
        <v>0.32000000000000012</v>
      </c>
      <c r="AS2645" s="7">
        <v>0.25980762113533162</v>
      </c>
    </row>
    <row r="2646" spans="44:45" x14ac:dyDescent="0.25">
      <c r="AR2646" s="11">
        <v>0.33000000000000013</v>
      </c>
      <c r="AS2646" s="7">
        <v>0.25980762113533162</v>
      </c>
    </row>
    <row r="2647" spans="44:45" x14ac:dyDescent="0.25">
      <c r="AR2647" s="11">
        <v>0.34000000000000014</v>
      </c>
      <c r="AS2647" s="7">
        <v>0.25980762113533162</v>
      </c>
    </row>
    <row r="2648" spans="44:45" x14ac:dyDescent="0.25">
      <c r="AR2648" s="11">
        <v>0.35000000000000014</v>
      </c>
      <c r="AS2648" s="7">
        <v>0.25980762113533162</v>
      </c>
    </row>
    <row r="2649" spans="44:45" x14ac:dyDescent="0.25">
      <c r="AR2649" s="11">
        <v>0.36000000000000015</v>
      </c>
      <c r="AS2649" s="7">
        <v>0.25980762113533162</v>
      </c>
    </row>
    <row r="2650" spans="44:45" x14ac:dyDescent="0.25">
      <c r="AR2650" s="11">
        <v>0.37000000000000016</v>
      </c>
      <c r="AS2650" s="7">
        <v>0.25980762113533162</v>
      </c>
    </row>
    <row r="2651" spans="44:45" x14ac:dyDescent="0.25">
      <c r="AR2651" s="11">
        <v>0.38000000000000017</v>
      </c>
      <c r="AS2651" s="7">
        <v>0.25980762113533162</v>
      </c>
    </row>
    <row r="2652" spans="44:45" x14ac:dyDescent="0.25">
      <c r="AR2652" s="11">
        <v>0.39000000000000018</v>
      </c>
      <c r="AS2652" s="7">
        <v>0.25980762113533162</v>
      </c>
    </row>
    <row r="2653" spans="44:45" x14ac:dyDescent="0.25">
      <c r="AR2653" s="11">
        <v>0.40000000000000019</v>
      </c>
      <c r="AS2653" s="7">
        <v>0.25980762113533162</v>
      </c>
    </row>
    <row r="2654" spans="44:45" x14ac:dyDescent="0.25">
      <c r="AR2654" s="11">
        <v>0.4100000000000002</v>
      </c>
      <c r="AS2654" s="7">
        <v>0.25980762113533162</v>
      </c>
    </row>
    <row r="2655" spans="44:45" x14ac:dyDescent="0.25">
      <c r="AR2655" s="11">
        <v>0.42000000000000021</v>
      </c>
      <c r="AS2655" s="7">
        <v>0.25980762113533162</v>
      </c>
    </row>
    <row r="2656" spans="44:45" x14ac:dyDescent="0.25">
      <c r="AR2656" s="11">
        <v>0.43000000000000022</v>
      </c>
      <c r="AS2656" s="7">
        <v>0.25980762113533162</v>
      </c>
    </row>
    <row r="2657" spans="44:45" x14ac:dyDescent="0.25">
      <c r="AR2657" s="11">
        <v>0.44000000000000022</v>
      </c>
      <c r="AS2657" s="7">
        <v>0.25980762113533162</v>
      </c>
    </row>
    <row r="2658" spans="44:45" x14ac:dyDescent="0.25">
      <c r="AR2658" s="11">
        <v>0.45000000000000023</v>
      </c>
      <c r="AS2658" s="7">
        <v>0.25980762113533162</v>
      </c>
    </row>
    <row r="2659" spans="44:45" x14ac:dyDescent="0.25">
      <c r="AR2659" s="11">
        <v>0.46000000000000024</v>
      </c>
      <c r="AS2659" s="7">
        <v>0.25980762113533162</v>
      </c>
    </row>
    <row r="2660" spans="44:45" x14ac:dyDescent="0.25">
      <c r="AR2660" s="11">
        <v>0.47000000000000025</v>
      </c>
      <c r="AS2660" s="7">
        <v>0.25980762113533162</v>
      </c>
    </row>
    <row r="2661" spans="44:45" x14ac:dyDescent="0.25">
      <c r="AR2661" s="11">
        <v>0.48000000000000026</v>
      </c>
      <c r="AS2661" s="7">
        <v>0.25980762113533162</v>
      </c>
    </row>
    <row r="2662" spans="44:45" x14ac:dyDescent="0.25">
      <c r="AR2662" s="11">
        <v>0.49000000000000027</v>
      </c>
      <c r="AS2662" s="7">
        <v>0.25980762113533162</v>
      </c>
    </row>
    <row r="2663" spans="44:45" x14ac:dyDescent="0.25">
      <c r="AR2663" s="11">
        <v>0.50000000000000022</v>
      </c>
      <c r="AS2663" s="7">
        <v>0.25980762113533162</v>
      </c>
    </row>
    <row r="2664" spans="44:45" x14ac:dyDescent="0.25">
      <c r="AR2664" s="11">
        <v>0.51000000000000023</v>
      </c>
      <c r="AS2664" s="7">
        <v>0.25980762113533162</v>
      </c>
    </row>
    <row r="2665" spans="44:45" x14ac:dyDescent="0.25">
      <c r="AR2665" s="11">
        <v>0.52000000000000024</v>
      </c>
      <c r="AS2665" s="7">
        <v>0.25980762113533162</v>
      </c>
    </row>
    <row r="2666" spans="44:45" x14ac:dyDescent="0.25">
      <c r="AR2666" s="11">
        <v>0.53000000000000025</v>
      </c>
      <c r="AS2666" s="7">
        <v>0.25980762113533162</v>
      </c>
    </row>
    <row r="2667" spans="44:45" x14ac:dyDescent="0.25">
      <c r="AR2667" s="11">
        <v>0.54000000000000026</v>
      </c>
      <c r="AS2667" s="7">
        <v>0.25980762113533162</v>
      </c>
    </row>
    <row r="2668" spans="44:45" x14ac:dyDescent="0.25">
      <c r="AR2668" s="11">
        <v>0.55000000000000027</v>
      </c>
      <c r="AS2668" s="7">
        <v>0.25980762113533162</v>
      </c>
    </row>
    <row r="2669" spans="44:45" x14ac:dyDescent="0.25">
      <c r="AR2669" s="11">
        <v>0.56000000000000028</v>
      </c>
      <c r="AS2669" s="7">
        <v>0.25980762113533162</v>
      </c>
    </row>
    <row r="2670" spans="44:45" x14ac:dyDescent="0.25">
      <c r="AR2670" s="11">
        <v>0.57000000000000028</v>
      </c>
      <c r="AS2670" s="7">
        <v>0.25980762113533162</v>
      </c>
    </row>
    <row r="2671" spans="44:45" x14ac:dyDescent="0.25">
      <c r="AR2671" s="11">
        <v>0.58000000000000029</v>
      </c>
      <c r="AS2671" s="7">
        <v>0.25980762113533162</v>
      </c>
    </row>
    <row r="2672" spans="44:45" x14ac:dyDescent="0.25">
      <c r="AR2672" s="11">
        <v>0.5900000000000003</v>
      </c>
      <c r="AS2672" s="7">
        <v>0.25980762113533162</v>
      </c>
    </row>
    <row r="2673" spans="44:45" x14ac:dyDescent="0.25">
      <c r="AR2673" s="11">
        <v>0.60000000000000031</v>
      </c>
      <c r="AS2673" s="7">
        <v>0.25980762113533162</v>
      </c>
    </row>
    <row r="2674" spans="44:45" x14ac:dyDescent="0.25">
      <c r="AR2674" s="11">
        <v>0.61000000000000032</v>
      </c>
      <c r="AS2674" s="7">
        <v>0.25980762113533162</v>
      </c>
    </row>
    <row r="2675" spans="44:45" x14ac:dyDescent="0.25">
      <c r="AR2675" s="11">
        <v>0.62000000000000033</v>
      </c>
      <c r="AS2675" s="7">
        <v>0.25980762113533162</v>
      </c>
    </row>
    <row r="2676" spans="44:45" x14ac:dyDescent="0.25">
      <c r="AR2676" s="11">
        <v>0.63000000000000034</v>
      </c>
      <c r="AS2676" s="7">
        <v>0.25980762113533162</v>
      </c>
    </row>
    <row r="2677" spans="44:45" x14ac:dyDescent="0.25">
      <c r="AR2677" s="11">
        <v>0.64000000000000035</v>
      </c>
      <c r="AS2677" s="7">
        <v>0.25980762113533162</v>
      </c>
    </row>
    <row r="2678" spans="44:45" x14ac:dyDescent="0.25">
      <c r="AR2678" s="11">
        <v>0.65000000000000036</v>
      </c>
      <c r="AS2678" s="7">
        <v>0.25980762113533162</v>
      </c>
    </row>
    <row r="2679" spans="44:45" x14ac:dyDescent="0.25">
      <c r="AR2679" s="11">
        <v>0.66000000000000036</v>
      </c>
      <c r="AS2679" s="7">
        <v>0.25980762113533162</v>
      </c>
    </row>
    <row r="2680" spans="44:45" x14ac:dyDescent="0.25">
      <c r="AR2680" s="11">
        <v>0.67000000000000037</v>
      </c>
      <c r="AS2680" s="7">
        <v>0.25980762113533162</v>
      </c>
    </row>
    <row r="2681" spans="44:45" x14ac:dyDescent="0.25">
      <c r="AR2681" s="11">
        <v>0.68000000000000038</v>
      </c>
      <c r="AS2681" s="7">
        <v>0.25980762113533162</v>
      </c>
    </row>
    <row r="2682" spans="44:45" x14ac:dyDescent="0.25">
      <c r="AR2682" s="11">
        <v>0.69000000000000039</v>
      </c>
      <c r="AS2682" s="7">
        <v>0.25980762113533162</v>
      </c>
    </row>
    <row r="2683" spans="44:45" x14ac:dyDescent="0.25">
      <c r="AR2683" s="11">
        <v>0.7000000000000004</v>
      </c>
      <c r="AS2683" s="7">
        <v>0.25980762113533162</v>
      </c>
    </row>
    <row r="2684" spans="44:45" x14ac:dyDescent="0.25">
      <c r="AR2684" s="11">
        <v>0.71000000000000041</v>
      </c>
      <c r="AS2684" s="7">
        <v>0.25980762113533162</v>
      </c>
    </row>
    <row r="2685" spans="44:45" x14ac:dyDescent="0.25">
      <c r="AR2685" s="11">
        <v>0.72000000000000042</v>
      </c>
      <c r="AS2685" s="7">
        <v>0.25980762113533162</v>
      </c>
    </row>
    <row r="2686" spans="44:45" x14ac:dyDescent="0.25">
      <c r="AR2686" s="11">
        <v>0.73000000000000043</v>
      </c>
      <c r="AS2686" s="7">
        <v>0.25980762113533162</v>
      </c>
    </row>
    <row r="2687" spans="44:45" x14ac:dyDescent="0.25">
      <c r="AR2687" s="11">
        <v>0.74000000000000044</v>
      </c>
      <c r="AS2687" s="7">
        <v>0.25980762113533162</v>
      </c>
    </row>
    <row r="2688" spans="44:45" x14ac:dyDescent="0.25">
      <c r="AR2688" s="11">
        <v>0.75000000000000044</v>
      </c>
      <c r="AS2688" s="7">
        <v>0.25980762113533162</v>
      </c>
    </row>
    <row r="2689" spans="44:45" x14ac:dyDescent="0.25">
      <c r="AR2689" s="11">
        <v>0.76000000000000045</v>
      </c>
      <c r="AS2689" s="7">
        <v>0.25980762113533162</v>
      </c>
    </row>
    <row r="2690" spans="44:45" x14ac:dyDescent="0.25">
      <c r="AR2690" s="11">
        <v>0.77000000000000046</v>
      </c>
      <c r="AS2690" s="7">
        <v>0.25980762113533162</v>
      </c>
    </row>
    <row r="2691" spans="44:45" x14ac:dyDescent="0.25">
      <c r="AR2691" s="11">
        <v>0.78000000000000047</v>
      </c>
      <c r="AS2691" s="7">
        <v>0.25980762113533162</v>
      </c>
    </row>
    <row r="2692" spans="44:45" x14ac:dyDescent="0.25">
      <c r="AR2692" s="11">
        <v>0.79000000000000048</v>
      </c>
      <c r="AS2692" s="7">
        <v>0.25980762113533162</v>
      </c>
    </row>
    <row r="2693" spans="44:45" x14ac:dyDescent="0.25">
      <c r="AR2693" s="11">
        <v>0.80000000000000049</v>
      </c>
      <c r="AS2693" s="7">
        <v>0.25980762113533162</v>
      </c>
    </row>
    <row r="2694" spans="44:45" x14ac:dyDescent="0.25">
      <c r="AR2694" s="11">
        <v>0.8100000000000005</v>
      </c>
      <c r="AS2694" s="7">
        <v>0.25980762113533162</v>
      </c>
    </row>
    <row r="2695" spans="44:45" x14ac:dyDescent="0.25">
      <c r="AR2695" s="11">
        <v>0.82000000000000051</v>
      </c>
      <c r="AS2695" s="7">
        <v>0.25980762113533162</v>
      </c>
    </row>
    <row r="2696" spans="44:45" x14ac:dyDescent="0.25">
      <c r="AR2696" s="11">
        <v>0.83000000000000052</v>
      </c>
      <c r="AS2696" s="7">
        <v>0.25980762113533162</v>
      </c>
    </row>
    <row r="2697" spans="44:45" x14ac:dyDescent="0.25">
      <c r="AR2697" s="11">
        <v>0.84000000000000052</v>
      </c>
      <c r="AS2697" s="7">
        <v>0.25980762113533162</v>
      </c>
    </row>
    <row r="2698" spans="44:45" x14ac:dyDescent="0.25">
      <c r="AR2698" s="11">
        <v>0.85000000000000053</v>
      </c>
      <c r="AS2698" s="7">
        <v>0.25980762113533162</v>
      </c>
    </row>
    <row r="2699" spans="44:45" x14ac:dyDescent="0.25">
      <c r="AR2699" s="11"/>
      <c r="AS2699" s="7"/>
    </row>
    <row r="2700" spans="44:45" x14ac:dyDescent="0.25">
      <c r="AR2700" s="11">
        <v>0.155</v>
      </c>
      <c r="AS2700" s="7">
        <v>0.268467875173176</v>
      </c>
    </row>
    <row r="2701" spans="44:45" x14ac:dyDescent="0.25">
      <c r="AR2701" s="11">
        <v>0.16500000000000001</v>
      </c>
      <c r="AS2701" s="7">
        <v>0.268467875173176</v>
      </c>
    </row>
    <row r="2702" spans="44:45" x14ac:dyDescent="0.25">
      <c r="AR2702" s="11">
        <v>0.17500000000000002</v>
      </c>
      <c r="AS2702" s="7">
        <v>0.268467875173176</v>
      </c>
    </row>
    <row r="2703" spans="44:45" x14ac:dyDescent="0.25">
      <c r="AR2703" s="11">
        <v>0.18500000000000003</v>
      </c>
      <c r="AS2703" s="7">
        <v>0.268467875173176</v>
      </c>
    </row>
    <row r="2704" spans="44:45" x14ac:dyDescent="0.25">
      <c r="AR2704" s="11">
        <v>0.19500000000000003</v>
      </c>
      <c r="AS2704" s="7">
        <v>0.268467875173176</v>
      </c>
    </row>
    <row r="2705" spans="44:45" x14ac:dyDescent="0.25">
      <c r="AR2705" s="11">
        <v>0.20500000000000004</v>
      </c>
      <c r="AS2705" s="7">
        <v>0.268467875173176</v>
      </c>
    </row>
    <row r="2706" spans="44:45" x14ac:dyDescent="0.25">
      <c r="AR2706" s="11">
        <v>0.21500000000000005</v>
      </c>
      <c r="AS2706" s="7">
        <v>0.268467875173176</v>
      </c>
    </row>
    <row r="2707" spans="44:45" x14ac:dyDescent="0.25">
      <c r="AR2707" s="11">
        <v>0.22500000000000006</v>
      </c>
      <c r="AS2707" s="7">
        <v>0.268467875173176</v>
      </c>
    </row>
    <row r="2708" spans="44:45" x14ac:dyDescent="0.25">
      <c r="AR2708" s="11">
        <v>0.23500000000000007</v>
      </c>
      <c r="AS2708" s="7">
        <v>0.268467875173176</v>
      </c>
    </row>
    <row r="2709" spans="44:45" x14ac:dyDescent="0.25">
      <c r="AR2709" s="11">
        <v>0.24500000000000008</v>
      </c>
      <c r="AS2709" s="7">
        <v>0.268467875173176</v>
      </c>
    </row>
    <row r="2710" spans="44:45" x14ac:dyDescent="0.25">
      <c r="AR2710" s="11">
        <v>0.25500000000000006</v>
      </c>
      <c r="AS2710" s="7">
        <v>0.268467875173176</v>
      </c>
    </row>
    <row r="2711" spans="44:45" x14ac:dyDescent="0.25">
      <c r="AR2711" s="11">
        <v>0.26500000000000007</v>
      </c>
      <c r="AS2711" s="7">
        <v>0.268467875173176</v>
      </c>
    </row>
    <row r="2712" spans="44:45" x14ac:dyDescent="0.25">
      <c r="AR2712" s="11">
        <v>0.27500000000000008</v>
      </c>
      <c r="AS2712" s="7">
        <v>0.268467875173176</v>
      </c>
    </row>
    <row r="2713" spans="44:45" x14ac:dyDescent="0.25">
      <c r="AR2713" s="11">
        <v>0.28500000000000009</v>
      </c>
      <c r="AS2713" s="7">
        <v>0.268467875173176</v>
      </c>
    </row>
    <row r="2714" spans="44:45" x14ac:dyDescent="0.25">
      <c r="AR2714" s="11">
        <v>0.2950000000000001</v>
      </c>
      <c r="AS2714" s="7">
        <v>0.268467875173176</v>
      </c>
    </row>
    <row r="2715" spans="44:45" x14ac:dyDescent="0.25">
      <c r="AR2715" s="11">
        <v>0.3050000000000001</v>
      </c>
      <c r="AS2715" s="7">
        <v>0.268467875173176</v>
      </c>
    </row>
    <row r="2716" spans="44:45" x14ac:dyDescent="0.25">
      <c r="AR2716" s="11">
        <v>0.31500000000000011</v>
      </c>
      <c r="AS2716" s="7">
        <v>0.268467875173176</v>
      </c>
    </row>
    <row r="2717" spans="44:45" x14ac:dyDescent="0.25">
      <c r="AR2717" s="11">
        <v>0.32500000000000012</v>
      </c>
      <c r="AS2717" s="7">
        <v>0.268467875173176</v>
      </c>
    </row>
    <row r="2718" spans="44:45" x14ac:dyDescent="0.25">
      <c r="AR2718" s="11">
        <v>0.33500000000000013</v>
      </c>
      <c r="AS2718" s="7">
        <v>0.268467875173176</v>
      </c>
    </row>
    <row r="2719" spans="44:45" x14ac:dyDescent="0.25">
      <c r="AR2719" s="11">
        <v>0.34500000000000014</v>
      </c>
      <c r="AS2719" s="7">
        <v>0.268467875173176</v>
      </c>
    </row>
    <row r="2720" spans="44:45" x14ac:dyDescent="0.25">
      <c r="AR2720" s="11">
        <v>0.35500000000000015</v>
      </c>
      <c r="AS2720" s="7">
        <v>0.268467875173176</v>
      </c>
    </row>
    <row r="2721" spans="44:45" x14ac:dyDescent="0.25">
      <c r="AR2721" s="11">
        <v>0.36500000000000016</v>
      </c>
      <c r="AS2721" s="7">
        <v>0.268467875173176</v>
      </c>
    </row>
    <row r="2722" spans="44:45" x14ac:dyDescent="0.25">
      <c r="AR2722" s="11">
        <v>0.37500000000000017</v>
      </c>
      <c r="AS2722" s="7">
        <v>0.268467875173176</v>
      </c>
    </row>
    <row r="2723" spans="44:45" x14ac:dyDescent="0.25">
      <c r="AR2723" s="11">
        <v>0.38500000000000018</v>
      </c>
      <c r="AS2723" s="7">
        <v>0.268467875173176</v>
      </c>
    </row>
    <row r="2724" spans="44:45" x14ac:dyDescent="0.25">
      <c r="AR2724" s="11">
        <v>0.39500000000000018</v>
      </c>
      <c r="AS2724" s="7">
        <v>0.268467875173176</v>
      </c>
    </row>
    <row r="2725" spans="44:45" x14ac:dyDescent="0.25">
      <c r="AR2725" s="11">
        <v>0.40500000000000019</v>
      </c>
      <c r="AS2725" s="7">
        <v>0.268467875173176</v>
      </c>
    </row>
    <row r="2726" spans="44:45" x14ac:dyDescent="0.25">
      <c r="AR2726" s="11">
        <v>0.4150000000000002</v>
      </c>
      <c r="AS2726" s="7">
        <v>0.268467875173176</v>
      </c>
    </row>
    <row r="2727" spans="44:45" x14ac:dyDescent="0.25">
      <c r="AR2727" s="11">
        <v>0.42500000000000021</v>
      </c>
      <c r="AS2727" s="7">
        <v>0.268467875173176</v>
      </c>
    </row>
    <row r="2728" spans="44:45" x14ac:dyDescent="0.25">
      <c r="AR2728" s="11">
        <v>0.43500000000000022</v>
      </c>
      <c r="AS2728" s="7">
        <v>0.268467875173176</v>
      </c>
    </row>
    <row r="2729" spans="44:45" x14ac:dyDescent="0.25">
      <c r="AR2729" s="11">
        <v>0.44500000000000023</v>
      </c>
      <c r="AS2729" s="7">
        <v>0.268467875173176</v>
      </c>
    </row>
    <row r="2730" spans="44:45" x14ac:dyDescent="0.25">
      <c r="AR2730" s="11">
        <v>0.45500000000000024</v>
      </c>
      <c r="AS2730" s="7">
        <v>0.268467875173176</v>
      </c>
    </row>
    <row r="2731" spans="44:45" x14ac:dyDescent="0.25">
      <c r="AR2731" s="11">
        <v>0.46500000000000025</v>
      </c>
      <c r="AS2731" s="7">
        <v>0.268467875173176</v>
      </c>
    </row>
    <row r="2732" spans="44:45" x14ac:dyDescent="0.25">
      <c r="AR2732" s="11">
        <v>0.47500000000000026</v>
      </c>
      <c r="AS2732" s="7">
        <v>0.268467875173176</v>
      </c>
    </row>
    <row r="2733" spans="44:45" x14ac:dyDescent="0.25">
      <c r="AR2733" s="11">
        <v>0.48500000000000026</v>
      </c>
      <c r="AS2733" s="7">
        <v>0.268467875173176</v>
      </c>
    </row>
    <row r="2734" spans="44:45" x14ac:dyDescent="0.25">
      <c r="AR2734" s="11">
        <v>0.49500000000000027</v>
      </c>
      <c r="AS2734" s="7">
        <v>0.268467875173176</v>
      </c>
    </row>
    <row r="2735" spans="44:45" x14ac:dyDescent="0.25">
      <c r="AR2735" s="11">
        <v>0.50500000000000023</v>
      </c>
      <c r="AS2735" s="7">
        <v>0.268467875173176</v>
      </c>
    </row>
    <row r="2736" spans="44:45" x14ac:dyDescent="0.25">
      <c r="AR2736" s="11">
        <v>0.51500000000000024</v>
      </c>
      <c r="AS2736" s="7">
        <v>0.268467875173176</v>
      </c>
    </row>
    <row r="2737" spans="44:45" x14ac:dyDescent="0.25">
      <c r="AR2737" s="11">
        <v>0.52500000000000024</v>
      </c>
      <c r="AS2737" s="7">
        <v>0.268467875173176</v>
      </c>
    </row>
    <row r="2738" spans="44:45" x14ac:dyDescent="0.25">
      <c r="AR2738" s="11">
        <v>0.53500000000000025</v>
      </c>
      <c r="AS2738" s="7">
        <v>0.268467875173176</v>
      </c>
    </row>
    <row r="2739" spans="44:45" x14ac:dyDescent="0.25">
      <c r="AR2739" s="11">
        <v>0.54500000000000026</v>
      </c>
      <c r="AS2739" s="7">
        <v>0.268467875173176</v>
      </c>
    </row>
    <row r="2740" spans="44:45" x14ac:dyDescent="0.25">
      <c r="AR2740" s="11">
        <v>0.55500000000000027</v>
      </c>
      <c r="AS2740" s="7">
        <v>0.268467875173176</v>
      </c>
    </row>
    <row r="2741" spans="44:45" x14ac:dyDescent="0.25">
      <c r="AR2741" s="11">
        <v>0.56500000000000028</v>
      </c>
      <c r="AS2741" s="7">
        <v>0.268467875173176</v>
      </c>
    </row>
    <row r="2742" spans="44:45" x14ac:dyDescent="0.25">
      <c r="AR2742" s="11">
        <v>0.57500000000000029</v>
      </c>
      <c r="AS2742" s="7">
        <v>0.268467875173176</v>
      </c>
    </row>
    <row r="2743" spans="44:45" x14ac:dyDescent="0.25">
      <c r="AR2743" s="11">
        <v>0.5850000000000003</v>
      </c>
      <c r="AS2743" s="7">
        <v>0.268467875173176</v>
      </c>
    </row>
    <row r="2744" spans="44:45" x14ac:dyDescent="0.25">
      <c r="AR2744" s="11">
        <v>0.59500000000000031</v>
      </c>
      <c r="AS2744" s="7">
        <v>0.268467875173176</v>
      </c>
    </row>
    <row r="2745" spans="44:45" x14ac:dyDescent="0.25">
      <c r="AR2745" s="11">
        <v>0.60500000000000032</v>
      </c>
      <c r="AS2745" s="7">
        <v>0.268467875173176</v>
      </c>
    </row>
    <row r="2746" spans="44:45" x14ac:dyDescent="0.25">
      <c r="AR2746" s="11">
        <v>0.61500000000000032</v>
      </c>
      <c r="AS2746" s="7">
        <v>0.268467875173176</v>
      </c>
    </row>
    <row r="2747" spans="44:45" x14ac:dyDescent="0.25">
      <c r="AR2747" s="11">
        <v>0.62500000000000033</v>
      </c>
      <c r="AS2747" s="7">
        <v>0.268467875173176</v>
      </c>
    </row>
    <row r="2748" spans="44:45" x14ac:dyDescent="0.25">
      <c r="AR2748" s="11">
        <v>0.63500000000000034</v>
      </c>
      <c r="AS2748" s="7">
        <v>0.268467875173176</v>
      </c>
    </row>
    <row r="2749" spans="44:45" x14ac:dyDescent="0.25">
      <c r="AR2749" s="11">
        <v>0.64500000000000035</v>
      </c>
      <c r="AS2749" s="7">
        <v>0.268467875173176</v>
      </c>
    </row>
    <row r="2750" spans="44:45" x14ac:dyDescent="0.25">
      <c r="AR2750" s="11">
        <v>0.65500000000000036</v>
      </c>
      <c r="AS2750" s="7">
        <v>0.268467875173176</v>
      </c>
    </row>
    <row r="2751" spans="44:45" x14ac:dyDescent="0.25">
      <c r="AR2751" s="11">
        <v>0.66500000000000037</v>
      </c>
      <c r="AS2751" s="7">
        <v>0.268467875173176</v>
      </c>
    </row>
    <row r="2752" spans="44:45" x14ac:dyDescent="0.25">
      <c r="AR2752" s="11">
        <v>0.67500000000000038</v>
      </c>
      <c r="AS2752" s="7">
        <v>0.268467875173176</v>
      </c>
    </row>
    <row r="2753" spans="44:45" x14ac:dyDescent="0.25">
      <c r="AR2753" s="11">
        <v>0.68500000000000039</v>
      </c>
      <c r="AS2753" s="7">
        <v>0.268467875173176</v>
      </c>
    </row>
    <row r="2754" spans="44:45" x14ac:dyDescent="0.25">
      <c r="AR2754" s="11">
        <v>0.6950000000000004</v>
      </c>
      <c r="AS2754" s="7">
        <v>0.268467875173176</v>
      </c>
    </row>
    <row r="2755" spans="44:45" x14ac:dyDescent="0.25">
      <c r="AR2755" s="11">
        <v>0.7050000000000004</v>
      </c>
      <c r="AS2755" s="7">
        <v>0.268467875173176</v>
      </c>
    </row>
    <row r="2756" spans="44:45" x14ac:dyDescent="0.25">
      <c r="AR2756" s="11">
        <v>0.71500000000000041</v>
      </c>
      <c r="AS2756" s="7">
        <v>0.268467875173176</v>
      </c>
    </row>
    <row r="2757" spans="44:45" x14ac:dyDescent="0.25">
      <c r="AR2757" s="11">
        <v>0.72500000000000042</v>
      </c>
      <c r="AS2757" s="7">
        <v>0.268467875173176</v>
      </c>
    </row>
    <row r="2758" spans="44:45" x14ac:dyDescent="0.25">
      <c r="AR2758" s="11">
        <v>0.73500000000000043</v>
      </c>
      <c r="AS2758" s="7">
        <v>0.268467875173176</v>
      </c>
    </row>
    <row r="2759" spans="44:45" x14ac:dyDescent="0.25">
      <c r="AR2759" s="11">
        <v>0.74500000000000044</v>
      </c>
      <c r="AS2759" s="7">
        <v>0.268467875173176</v>
      </c>
    </row>
    <row r="2760" spans="44:45" x14ac:dyDescent="0.25">
      <c r="AR2760" s="11">
        <v>0.75500000000000045</v>
      </c>
      <c r="AS2760" s="7">
        <v>0.268467875173176</v>
      </c>
    </row>
    <row r="2761" spans="44:45" x14ac:dyDescent="0.25">
      <c r="AR2761" s="11">
        <v>0.76500000000000046</v>
      </c>
      <c r="AS2761" s="7">
        <v>0.268467875173176</v>
      </c>
    </row>
    <row r="2762" spans="44:45" x14ac:dyDescent="0.25">
      <c r="AR2762" s="11">
        <v>0.77500000000000047</v>
      </c>
      <c r="AS2762" s="7">
        <v>0.268467875173176</v>
      </c>
    </row>
    <row r="2763" spans="44:45" x14ac:dyDescent="0.25">
      <c r="AR2763" s="11">
        <v>0.78500000000000048</v>
      </c>
      <c r="AS2763" s="7">
        <v>0.268467875173176</v>
      </c>
    </row>
    <row r="2764" spans="44:45" x14ac:dyDescent="0.25">
      <c r="AR2764" s="11">
        <v>0.79500000000000048</v>
      </c>
      <c r="AS2764" s="7">
        <v>0.268467875173176</v>
      </c>
    </row>
    <row r="2765" spans="44:45" x14ac:dyDescent="0.25">
      <c r="AR2765" s="11">
        <v>0.80500000000000049</v>
      </c>
      <c r="AS2765" s="7">
        <v>0.268467875173176</v>
      </c>
    </row>
    <row r="2766" spans="44:45" x14ac:dyDescent="0.25">
      <c r="AR2766" s="11">
        <v>0.8150000000000005</v>
      </c>
      <c r="AS2766" s="7">
        <v>0.268467875173176</v>
      </c>
    </row>
    <row r="2767" spans="44:45" x14ac:dyDescent="0.25">
      <c r="AR2767" s="11">
        <v>0.82500000000000051</v>
      </c>
      <c r="AS2767" s="7">
        <v>0.268467875173176</v>
      </c>
    </row>
    <row r="2768" spans="44:45" x14ac:dyDescent="0.25">
      <c r="AR2768" s="11">
        <v>0.83500000000000052</v>
      </c>
      <c r="AS2768" s="7">
        <v>0.268467875173176</v>
      </c>
    </row>
    <row r="2769" spans="44:45" x14ac:dyDescent="0.25">
      <c r="AR2769" s="11">
        <v>0.84500000000000053</v>
      </c>
      <c r="AS2769" s="7">
        <v>0.268467875173176</v>
      </c>
    </row>
    <row r="2770" spans="44:45" x14ac:dyDescent="0.25">
      <c r="AR2770" s="11"/>
      <c r="AS2770" s="7"/>
    </row>
    <row r="2771" spans="44:45" x14ac:dyDescent="0.25">
      <c r="AR2771" s="11">
        <v>0.16</v>
      </c>
      <c r="AS2771" s="7">
        <v>0.27712812921102037</v>
      </c>
    </row>
    <row r="2772" spans="44:45" x14ac:dyDescent="0.25">
      <c r="AR2772" s="11">
        <v>0.17</v>
      </c>
      <c r="AS2772" s="7">
        <v>0.27712812921102037</v>
      </c>
    </row>
    <row r="2773" spans="44:45" x14ac:dyDescent="0.25">
      <c r="AR2773" s="11">
        <v>0.18000000000000002</v>
      </c>
      <c r="AS2773" s="7">
        <v>0.27712812921102037</v>
      </c>
    </row>
    <row r="2774" spans="44:45" x14ac:dyDescent="0.25">
      <c r="AR2774" s="11">
        <v>0.19000000000000003</v>
      </c>
      <c r="AS2774" s="7">
        <v>0.27712812921102037</v>
      </c>
    </row>
    <row r="2775" spans="44:45" x14ac:dyDescent="0.25">
      <c r="AR2775" s="11">
        <v>0.20000000000000004</v>
      </c>
      <c r="AS2775" s="7">
        <v>0.27712812921102037</v>
      </c>
    </row>
    <row r="2776" spans="44:45" x14ac:dyDescent="0.25">
      <c r="AR2776" s="11">
        <v>0.21000000000000005</v>
      </c>
      <c r="AS2776" s="7">
        <v>0.27712812921102037</v>
      </c>
    </row>
    <row r="2777" spans="44:45" x14ac:dyDescent="0.25">
      <c r="AR2777" s="11">
        <v>0.22000000000000006</v>
      </c>
      <c r="AS2777" s="7">
        <v>0.27712812921102037</v>
      </c>
    </row>
    <row r="2778" spans="44:45" x14ac:dyDescent="0.25">
      <c r="AR2778" s="11">
        <v>0.23000000000000007</v>
      </c>
      <c r="AS2778" s="7">
        <v>0.27712812921102037</v>
      </c>
    </row>
    <row r="2779" spans="44:45" x14ac:dyDescent="0.25">
      <c r="AR2779" s="11">
        <v>0.24000000000000007</v>
      </c>
      <c r="AS2779" s="7">
        <v>0.27712812921102037</v>
      </c>
    </row>
    <row r="2780" spans="44:45" x14ac:dyDescent="0.25">
      <c r="AR2780" s="11">
        <v>0.25000000000000006</v>
      </c>
      <c r="AS2780" s="7">
        <v>0.27712812921102037</v>
      </c>
    </row>
    <row r="2781" spans="44:45" x14ac:dyDescent="0.25">
      <c r="AR2781" s="11">
        <v>0.26000000000000006</v>
      </c>
      <c r="AS2781" s="7">
        <v>0.27712812921102037</v>
      </c>
    </row>
    <row r="2782" spans="44:45" x14ac:dyDescent="0.25">
      <c r="AR2782" s="11">
        <v>0.27000000000000007</v>
      </c>
      <c r="AS2782" s="7">
        <v>0.27712812921102037</v>
      </c>
    </row>
    <row r="2783" spans="44:45" x14ac:dyDescent="0.25">
      <c r="AR2783" s="11">
        <v>0.28000000000000008</v>
      </c>
      <c r="AS2783" s="7">
        <v>0.27712812921102037</v>
      </c>
    </row>
    <row r="2784" spans="44:45" x14ac:dyDescent="0.25">
      <c r="AR2784" s="11">
        <v>0.29000000000000009</v>
      </c>
      <c r="AS2784" s="7">
        <v>0.27712812921102037</v>
      </c>
    </row>
    <row r="2785" spans="44:45" x14ac:dyDescent="0.25">
      <c r="AR2785" s="11">
        <v>0.3000000000000001</v>
      </c>
      <c r="AS2785" s="7">
        <v>0.27712812921102037</v>
      </c>
    </row>
    <row r="2786" spans="44:45" x14ac:dyDescent="0.25">
      <c r="AR2786" s="11">
        <v>0.31000000000000011</v>
      </c>
      <c r="AS2786" s="7">
        <v>0.27712812921102037</v>
      </c>
    </row>
    <row r="2787" spans="44:45" x14ac:dyDescent="0.25">
      <c r="AR2787" s="11">
        <v>0.32000000000000012</v>
      </c>
      <c r="AS2787" s="7">
        <v>0.27712812921102037</v>
      </c>
    </row>
    <row r="2788" spans="44:45" x14ac:dyDescent="0.25">
      <c r="AR2788" s="11">
        <v>0.33000000000000013</v>
      </c>
      <c r="AS2788" s="7">
        <v>0.27712812921102037</v>
      </c>
    </row>
    <row r="2789" spans="44:45" x14ac:dyDescent="0.25">
      <c r="AR2789" s="11">
        <v>0.34000000000000014</v>
      </c>
      <c r="AS2789" s="7">
        <v>0.27712812921102037</v>
      </c>
    </row>
    <row r="2790" spans="44:45" x14ac:dyDescent="0.25">
      <c r="AR2790" s="11">
        <v>0.35000000000000014</v>
      </c>
      <c r="AS2790" s="7">
        <v>0.27712812921102037</v>
      </c>
    </row>
    <row r="2791" spans="44:45" x14ac:dyDescent="0.25">
      <c r="AR2791" s="11">
        <v>0.36000000000000015</v>
      </c>
      <c r="AS2791" s="7">
        <v>0.27712812921102037</v>
      </c>
    </row>
    <row r="2792" spans="44:45" x14ac:dyDescent="0.25">
      <c r="AR2792" s="11">
        <v>0.37000000000000016</v>
      </c>
      <c r="AS2792" s="7">
        <v>0.27712812921102037</v>
      </c>
    </row>
    <row r="2793" spans="44:45" x14ac:dyDescent="0.25">
      <c r="AR2793" s="11">
        <v>0.38000000000000017</v>
      </c>
      <c r="AS2793" s="7">
        <v>0.27712812921102037</v>
      </c>
    </row>
    <row r="2794" spans="44:45" x14ac:dyDescent="0.25">
      <c r="AR2794" s="11">
        <v>0.39000000000000018</v>
      </c>
      <c r="AS2794" s="7">
        <v>0.27712812921102037</v>
      </c>
    </row>
    <row r="2795" spans="44:45" x14ac:dyDescent="0.25">
      <c r="AR2795" s="11">
        <v>0.40000000000000019</v>
      </c>
      <c r="AS2795" s="7">
        <v>0.27712812921102037</v>
      </c>
    </row>
    <row r="2796" spans="44:45" x14ac:dyDescent="0.25">
      <c r="AR2796" s="11">
        <v>0.4100000000000002</v>
      </c>
      <c r="AS2796" s="7">
        <v>0.27712812921102037</v>
      </c>
    </row>
    <row r="2797" spans="44:45" x14ac:dyDescent="0.25">
      <c r="AR2797" s="11">
        <v>0.42000000000000021</v>
      </c>
      <c r="AS2797" s="7">
        <v>0.27712812921102037</v>
      </c>
    </row>
    <row r="2798" spans="44:45" x14ac:dyDescent="0.25">
      <c r="AR2798" s="11">
        <v>0.43000000000000022</v>
      </c>
      <c r="AS2798" s="7">
        <v>0.27712812921102037</v>
      </c>
    </row>
    <row r="2799" spans="44:45" x14ac:dyDescent="0.25">
      <c r="AR2799" s="11">
        <v>0.44000000000000022</v>
      </c>
      <c r="AS2799" s="7">
        <v>0.27712812921102037</v>
      </c>
    </row>
    <row r="2800" spans="44:45" x14ac:dyDescent="0.25">
      <c r="AR2800" s="11">
        <v>0.45000000000000023</v>
      </c>
      <c r="AS2800" s="7">
        <v>0.27712812921102037</v>
      </c>
    </row>
    <row r="2801" spans="44:45" x14ac:dyDescent="0.25">
      <c r="AR2801" s="11">
        <v>0.46000000000000024</v>
      </c>
      <c r="AS2801" s="7">
        <v>0.27712812921102037</v>
      </c>
    </row>
    <row r="2802" spans="44:45" x14ac:dyDescent="0.25">
      <c r="AR2802" s="11">
        <v>0.47000000000000025</v>
      </c>
      <c r="AS2802" s="7">
        <v>0.27712812921102037</v>
      </c>
    </row>
    <row r="2803" spans="44:45" x14ac:dyDescent="0.25">
      <c r="AR2803" s="11">
        <v>0.48000000000000026</v>
      </c>
      <c r="AS2803" s="7">
        <v>0.27712812921102037</v>
      </c>
    </row>
    <row r="2804" spans="44:45" x14ac:dyDescent="0.25">
      <c r="AR2804" s="11">
        <v>0.49000000000000027</v>
      </c>
      <c r="AS2804" s="7">
        <v>0.27712812921102037</v>
      </c>
    </row>
    <row r="2805" spans="44:45" x14ac:dyDescent="0.25">
      <c r="AR2805" s="11">
        <v>0.50000000000000022</v>
      </c>
      <c r="AS2805" s="7">
        <v>0.27712812921102037</v>
      </c>
    </row>
    <row r="2806" spans="44:45" x14ac:dyDescent="0.25">
      <c r="AR2806" s="11">
        <v>0.51000000000000023</v>
      </c>
      <c r="AS2806" s="7">
        <v>0.27712812921102037</v>
      </c>
    </row>
    <row r="2807" spans="44:45" x14ac:dyDescent="0.25">
      <c r="AR2807" s="11">
        <v>0.52000000000000024</v>
      </c>
      <c r="AS2807" s="7">
        <v>0.27712812921102037</v>
      </c>
    </row>
    <row r="2808" spans="44:45" x14ac:dyDescent="0.25">
      <c r="AR2808" s="11">
        <v>0.53000000000000025</v>
      </c>
      <c r="AS2808" s="7">
        <v>0.27712812921102037</v>
      </c>
    </row>
    <row r="2809" spans="44:45" x14ac:dyDescent="0.25">
      <c r="AR2809" s="11">
        <v>0.54000000000000026</v>
      </c>
      <c r="AS2809" s="7">
        <v>0.27712812921102037</v>
      </c>
    </row>
    <row r="2810" spans="44:45" x14ac:dyDescent="0.25">
      <c r="AR2810" s="11">
        <v>0.55000000000000027</v>
      </c>
      <c r="AS2810" s="7">
        <v>0.27712812921102037</v>
      </c>
    </row>
    <row r="2811" spans="44:45" x14ac:dyDescent="0.25">
      <c r="AR2811" s="11">
        <v>0.56000000000000028</v>
      </c>
      <c r="AS2811" s="7">
        <v>0.27712812921102037</v>
      </c>
    </row>
    <row r="2812" spans="44:45" x14ac:dyDescent="0.25">
      <c r="AR2812" s="11">
        <v>0.57000000000000028</v>
      </c>
      <c r="AS2812" s="7">
        <v>0.27712812921102037</v>
      </c>
    </row>
    <row r="2813" spans="44:45" x14ac:dyDescent="0.25">
      <c r="AR2813" s="11">
        <v>0.58000000000000029</v>
      </c>
      <c r="AS2813" s="7">
        <v>0.27712812921102037</v>
      </c>
    </row>
    <row r="2814" spans="44:45" x14ac:dyDescent="0.25">
      <c r="AR2814" s="11">
        <v>0.5900000000000003</v>
      </c>
      <c r="AS2814" s="7">
        <v>0.27712812921102037</v>
      </c>
    </row>
    <row r="2815" spans="44:45" x14ac:dyDescent="0.25">
      <c r="AR2815" s="11">
        <v>0.60000000000000031</v>
      </c>
      <c r="AS2815" s="7">
        <v>0.27712812921102037</v>
      </c>
    </row>
    <row r="2816" spans="44:45" x14ac:dyDescent="0.25">
      <c r="AR2816" s="11">
        <v>0.61000000000000032</v>
      </c>
      <c r="AS2816" s="7">
        <v>0.27712812921102037</v>
      </c>
    </row>
    <row r="2817" spans="44:45" x14ac:dyDescent="0.25">
      <c r="AR2817" s="11">
        <v>0.62000000000000033</v>
      </c>
      <c r="AS2817" s="7">
        <v>0.27712812921102037</v>
      </c>
    </row>
    <row r="2818" spans="44:45" x14ac:dyDescent="0.25">
      <c r="AR2818" s="11">
        <v>0.63000000000000034</v>
      </c>
      <c r="AS2818" s="7">
        <v>0.27712812921102037</v>
      </c>
    </row>
    <row r="2819" spans="44:45" x14ac:dyDescent="0.25">
      <c r="AR2819" s="11">
        <v>0.64000000000000035</v>
      </c>
      <c r="AS2819" s="7">
        <v>0.27712812921102037</v>
      </c>
    </row>
    <row r="2820" spans="44:45" x14ac:dyDescent="0.25">
      <c r="AR2820" s="11">
        <v>0.65000000000000036</v>
      </c>
      <c r="AS2820" s="7">
        <v>0.27712812921102037</v>
      </c>
    </row>
    <row r="2821" spans="44:45" x14ac:dyDescent="0.25">
      <c r="AR2821" s="11">
        <v>0.66000000000000036</v>
      </c>
      <c r="AS2821" s="7">
        <v>0.27712812921102037</v>
      </c>
    </row>
    <row r="2822" spans="44:45" x14ac:dyDescent="0.25">
      <c r="AR2822" s="11">
        <v>0.67000000000000037</v>
      </c>
      <c r="AS2822" s="7">
        <v>0.27712812921102037</v>
      </c>
    </row>
    <row r="2823" spans="44:45" x14ac:dyDescent="0.25">
      <c r="AR2823" s="11">
        <v>0.68000000000000038</v>
      </c>
      <c r="AS2823" s="7">
        <v>0.27712812921102037</v>
      </c>
    </row>
    <row r="2824" spans="44:45" x14ac:dyDescent="0.25">
      <c r="AR2824" s="11">
        <v>0.69000000000000039</v>
      </c>
      <c r="AS2824" s="7">
        <v>0.27712812921102037</v>
      </c>
    </row>
    <row r="2825" spans="44:45" x14ac:dyDescent="0.25">
      <c r="AR2825" s="11">
        <v>0.7000000000000004</v>
      </c>
      <c r="AS2825" s="7">
        <v>0.27712812921102037</v>
      </c>
    </row>
    <row r="2826" spans="44:45" x14ac:dyDescent="0.25">
      <c r="AR2826" s="11">
        <v>0.71000000000000041</v>
      </c>
      <c r="AS2826" s="7">
        <v>0.27712812921102037</v>
      </c>
    </row>
    <row r="2827" spans="44:45" x14ac:dyDescent="0.25">
      <c r="AR2827" s="11">
        <v>0.72000000000000042</v>
      </c>
      <c r="AS2827" s="7">
        <v>0.27712812921102037</v>
      </c>
    </row>
    <row r="2828" spans="44:45" x14ac:dyDescent="0.25">
      <c r="AR2828" s="11">
        <v>0.73000000000000043</v>
      </c>
      <c r="AS2828" s="7">
        <v>0.27712812921102037</v>
      </c>
    </row>
    <row r="2829" spans="44:45" x14ac:dyDescent="0.25">
      <c r="AR2829" s="11">
        <v>0.74000000000000044</v>
      </c>
      <c r="AS2829" s="7">
        <v>0.27712812921102037</v>
      </c>
    </row>
    <row r="2830" spans="44:45" x14ac:dyDescent="0.25">
      <c r="AR2830" s="11">
        <v>0.75000000000000044</v>
      </c>
      <c r="AS2830" s="7">
        <v>0.27712812921102037</v>
      </c>
    </row>
    <row r="2831" spans="44:45" x14ac:dyDescent="0.25">
      <c r="AR2831" s="11">
        <v>0.76000000000000045</v>
      </c>
      <c r="AS2831" s="7">
        <v>0.27712812921102037</v>
      </c>
    </row>
    <row r="2832" spans="44:45" x14ac:dyDescent="0.25">
      <c r="AR2832" s="11">
        <v>0.77000000000000046</v>
      </c>
      <c r="AS2832" s="7">
        <v>0.27712812921102037</v>
      </c>
    </row>
    <row r="2833" spans="44:45" x14ac:dyDescent="0.25">
      <c r="AR2833" s="11">
        <v>0.78000000000000047</v>
      </c>
      <c r="AS2833" s="7">
        <v>0.27712812921102037</v>
      </c>
    </row>
    <row r="2834" spans="44:45" x14ac:dyDescent="0.25">
      <c r="AR2834" s="11">
        <v>0.79000000000000048</v>
      </c>
      <c r="AS2834" s="7">
        <v>0.27712812921102037</v>
      </c>
    </row>
    <row r="2835" spans="44:45" x14ac:dyDescent="0.25">
      <c r="AR2835" s="11">
        <v>0.80000000000000049</v>
      </c>
      <c r="AS2835" s="7">
        <v>0.27712812921102037</v>
      </c>
    </row>
    <row r="2836" spans="44:45" x14ac:dyDescent="0.25">
      <c r="AR2836" s="11">
        <v>0.8100000000000005</v>
      </c>
      <c r="AS2836" s="7">
        <v>0.27712812921102037</v>
      </c>
    </row>
    <row r="2837" spans="44:45" x14ac:dyDescent="0.25">
      <c r="AR2837" s="11">
        <v>0.82000000000000051</v>
      </c>
      <c r="AS2837" s="7">
        <v>0.27712812921102037</v>
      </c>
    </row>
    <row r="2838" spans="44:45" x14ac:dyDescent="0.25">
      <c r="AR2838" s="11">
        <v>0.83000000000000052</v>
      </c>
      <c r="AS2838" s="7">
        <v>0.27712812921102037</v>
      </c>
    </row>
    <row r="2839" spans="44:45" x14ac:dyDescent="0.25">
      <c r="AR2839" s="11">
        <v>0.84000000000000052</v>
      </c>
      <c r="AS2839" s="7">
        <v>0.27712812921102037</v>
      </c>
    </row>
    <row r="2840" spans="44:45" x14ac:dyDescent="0.25">
      <c r="AR2840" s="11"/>
      <c r="AS2840" s="7"/>
    </row>
    <row r="2841" spans="44:45" x14ac:dyDescent="0.25">
      <c r="AR2841" s="11">
        <v>0.16500000000000001</v>
      </c>
      <c r="AS2841" s="7">
        <v>0.2857883832488648</v>
      </c>
    </row>
    <row r="2842" spans="44:45" x14ac:dyDescent="0.25">
      <c r="AR2842" s="11">
        <v>0.17500000000000002</v>
      </c>
      <c r="AS2842" s="7">
        <v>0.2857883832488648</v>
      </c>
    </row>
    <row r="2843" spans="44:45" x14ac:dyDescent="0.25">
      <c r="AR2843" s="11">
        <v>0.18500000000000003</v>
      </c>
      <c r="AS2843" s="7">
        <v>0.2857883832488648</v>
      </c>
    </row>
    <row r="2844" spans="44:45" x14ac:dyDescent="0.25">
      <c r="AR2844" s="11">
        <v>0.19500000000000003</v>
      </c>
      <c r="AS2844" s="7">
        <v>0.2857883832488648</v>
      </c>
    </row>
    <row r="2845" spans="44:45" x14ac:dyDescent="0.25">
      <c r="AR2845" s="11">
        <v>0.20500000000000004</v>
      </c>
      <c r="AS2845" s="7">
        <v>0.2857883832488648</v>
      </c>
    </row>
    <row r="2846" spans="44:45" x14ac:dyDescent="0.25">
      <c r="AR2846" s="11">
        <v>0.21500000000000005</v>
      </c>
      <c r="AS2846" s="7">
        <v>0.2857883832488648</v>
      </c>
    </row>
    <row r="2847" spans="44:45" x14ac:dyDescent="0.25">
      <c r="AR2847" s="11">
        <v>0.22500000000000006</v>
      </c>
      <c r="AS2847" s="7">
        <v>0.2857883832488648</v>
      </c>
    </row>
    <row r="2848" spans="44:45" x14ac:dyDescent="0.25">
      <c r="AR2848" s="11">
        <v>0.23500000000000007</v>
      </c>
      <c r="AS2848" s="7">
        <v>0.2857883832488648</v>
      </c>
    </row>
    <row r="2849" spans="44:45" x14ac:dyDescent="0.25">
      <c r="AR2849" s="11">
        <v>0.24500000000000008</v>
      </c>
      <c r="AS2849" s="7">
        <v>0.2857883832488648</v>
      </c>
    </row>
    <row r="2850" spans="44:45" x14ac:dyDescent="0.25">
      <c r="AR2850" s="11">
        <v>0.25500000000000006</v>
      </c>
      <c r="AS2850" s="7">
        <v>0.2857883832488648</v>
      </c>
    </row>
    <row r="2851" spans="44:45" x14ac:dyDescent="0.25">
      <c r="AR2851" s="11">
        <v>0.26500000000000007</v>
      </c>
      <c r="AS2851" s="7">
        <v>0.2857883832488648</v>
      </c>
    </row>
    <row r="2852" spans="44:45" x14ac:dyDescent="0.25">
      <c r="AR2852" s="11">
        <v>0.27500000000000008</v>
      </c>
      <c r="AS2852" s="7">
        <v>0.2857883832488648</v>
      </c>
    </row>
    <row r="2853" spans="44:45" x14ac:dyDescent="0.25">
      <c r="AR2853" s="11">
        <v>0.28500000000000009</v>
      </c>
      <c r="AS2853" s="7">
        <v>0.2857883832488648</v>
      </c>
    </row>
    <row r="2854" spans="44:45" x14ac:dyDescent="0.25">
      <c r="AR2854" s="11">
        <v>0.2950000000000001</v>
      </c>
      <c r="AS2854" s="7">
        <v>0.2857883832488648</v>
      </c>
    </row>
    <row r="2855" spans="44:45" x14ac:dyDescent="0.25">
      <c r="AR2855" s="11">
        <v>0.3050000000000001</v>
      </c>
      <c r="AS2855" s="7">
        <v>0.2857883832488648</v>
      </c>
    </row>
    <row r="2856" spans="44:45" x14ac:dyDescent="0.25">
      <c r="AR2856" s="11">
        <v>0.31500000000000011</v>
      </c>
      <c r="AS2856" s="7">
        <v>0.2857883832488648</v>
      </c>
    </row>
    <row r="2857" spans="44:45" x14ac:dyDescent="0.25">
      <c r="AR2857" s="11">
        <v>0.32500000000000012</v>
      </c>
      <c r="AS2857" s="7">
        <v>0.2857883832488648</v>
      </c>
    </row>
    <row r="2858" spans="44:45" x14ac:dyDescent="0.25">
      <c r="AR2858" s="11">
        <v>0.33500000000000013</v>
      </c>
      <c r="AS2858" s="7">
        <v>0.2857883832488648</v>
      </c>
    </row>
    <row r="2859" spans="44:45" x14ac:dyDescent="0.25">
      <c r="AR2859" s="11">
        <v>0.34500000000000014</v>
      </c>
      <c r="AS2859" s="7">
        <v>0.2857883832488648</v>
      </c>
    </row>
    <row r="2860" spans="44:45" x14ac:dyDescent="0.25">
      <c r="AR2860" s="11">
        <v>0.35500000000000015</v>
      </c>
      <c r="AS2860" s="7">
        <v>0.2857883832488648</v>
      </c>
    </row>
    <row r="2861" spans="44:45" x14ac:dyDescent="0.25">
      <c r="AR2861" s="11">
        <v>0.36500000000000016</v>
      </c>
      <c r="AS2861" s="7">
        <v>0.2857883832488648</v>
      </c>
    </row>
    <row r="2862" spans="44:45" x14ac:dyDescent="0.25">
      <c r="AR2862" s="11">
        <v>0.37500000000000017</v>
      </c>
      <c r="AS2862" s="7">
        <v>0.2857883832488648</v>
      </c>
    </row>
    <row r="2863" spans="44:45" x14ac:dyDescent="0.25">
      <c r="AR2863" s="11">
        <v>0.38500000000000018</v>
      </c>
      <c r="AS2863" s="7">
        <v>0.2857883832488648</v>
      </c>
    </row>
    <row r="2864" spans="44:45" x14ac:dyDescent="0.25">
      <c r="AR2864" s="11">
        <v>0.39500000000000018</v>
      </c>
      <c r="AS2864" s="7">
        <v>0.2857883832488648</v>
      </c>
    </row>
    <row r="2865" spans="44:45" x14ac:dyDescent="0.25">
      <c r="AR2865" s="11">
        <v>0.40500000000000019</v>
      </c>
      <c r="AS2865" s="7">
        <v>0.2857883832488648</v>
      </c>
    </row>
    <row r="2866" spans="44:45" x14ac:dyDescent="0.25">
      <c r="AR2866" s="11">
        <v>0.4150000000000002</v>
      </c>
      <c r="AS2866" s="7">
        <v>0.2857883832488648</v>
      </c>
    </row>
    <row r="2867" spans="44:45" x14ac:dyDescent="0.25">
      <c r="AR2867" s="11">
        <v>0.42500000000000021</v>
      </c>
      <c r="AS2867" s="7">
        <v>0.2857883832488648</v>
      </c>
    </row>
    <row r="2868" spans="44:45" x14ac:dyDescent="0.25">
      <c r="AR2868" s="11">
        <v>0.43500000000000022</v>
      </c>
      <c r="AS2868" s="7">
        <v>0.2857883832488648</v>
      </c>
    </row>
    <row r="2869" spans="44:45" x14ac:dyDescent="0.25">
      <c r="AR2869" s="11">
        <v>0.44500000000000023</v>
      </c>
      <c r="AS2869" s="7">
        <v>0.2857883832488648</v>
      </c>
    </row>
    <row r="2870" spans="44:45" x14ac:dyDescent="0.25">
      <c r="AR2870" s="11">
        <v>0.45500000000000024</v>
      </c>
      <c r="AS2870" s="7">
        <v>0.2857883832488648</v>
      </c>
    </row>
    <row r="2871" spans="44:45" x14ac:dyDescent="0.25">
      <c r="AR2871" s="11">
        <v>0.46500000000000025</v>
      </c>
      <c r="AS2871" s="7">
        <v>0.2857883832488648</v>
      </c>
    </row>
    <row r="2872" spans="44:45" x14ac:dyDescent="0.25">
      <c r="AR2872" s="11">
        <v>0.47500000000000026</v>
      </c>
      <c r="AS2872" s="7">
        <v>0.2857883832488648</v>
      </c>
    </row>
    <row r="2873" spans="44:45" x14ac:dyDescent="0.25">
      <c r="AR2873" s="11">
        <v>0.48500000000000026</v>
      </c>
      <c r="AS2873" s="7">
        <v>0.2857883832488648</v>
      </c>
    </row>
    <row r="2874" spans="44:45" x14ac:dyDescent="0.25">
      <c r="AR2874" s="11">
        <v>0.49500000000000027</v>
      </c>
      <c r="AS2874" s="7">
        <v>0.2857883832488648</v>
      </c>
    </row>
    <row r="2875" spans="44:45" x14ac:dyDescent="0.25">
      <c r="AR2875" s="11">
        <v>0.50500000000000023</v>
      </c>
      <c r="AS2875" s="7">
        <v>0.2857883832488648</v>
      </c>
    </row>
    <row r="2876" spans="44:45" x14ac:dyDescent="0.25">
      <c r="AR2876" s="11">
        <v>0.51500000000000024</v>
      </c>
      <c r="AS2876" s="7">
        <v>0.2857883832488648</v>
      </c>
    </row>
    <row r="2877" spans="44:45" x14ac:dyDescent="0.25">
      <c r="AR2877" s="11">
        <v>0.52500000000000024</v>
      </c>
      <c r="AS2877" s="7">
        <v>0.2857883832488648</v>
      </c>
    </row>
    <row r="2878" spans="44:45" x14ac:dyDescent="0.25">
      <c r="AR2878" s="11">
        <v>0.53500000000000025</v>
      </c>
      <c r="AS2878" s="7">
        <v>0.2857883832488648</v>
      </c>
    </row>
    <row r="2879" spans="44:45" x14ac:dyDescent="0.25">
      <c r="AR2879" s="11">
        <v>0.54500000000000026</v>
      </c>
      <c r="AS2879" s="7">
        <v>0.2857883832488648</v>
      </c>
    </row>
    <row r="2880" spans="44:45" x14ac:dyDescent="0.25">
      <c r="AR2880" s="11">
        <v>0.55500000000000027</v>
      </c>
      <c r="AS2880" s="7">
        <v>0.2857883832488648</v>
      </c>
    </row>
    <row r="2881" spans="44:45" x14ac:dyDescent="0.25">
      <c r="AR2881" s="11">
        <v>0.56500000000000028</v>
      </c>
      <c r="AS2881" s="7">
        <v>0.2857883832488648</v>
      </c>
    </row>
    <row r="2882" spans="44:45" x14ac:dyDescent="0.25">
      <c r="AR2882" s="11">
        <v>0.57500000000000029</v>
      </c>
      <c r="AS2882" s="7">
        <v>0.2857883832488648</v>
      </c>
    </row>
    <row r="2883" spans="44:45" x14ac:dyDescent="0.25">
      <c r="AR2883" s="11">
        <v>0.5850000000000003</v>
      </c>
      <c r="AS2883" s="7">
        <v>0.2857883832488648</v>
      </c>
    </row>
    <row r="2884" spans="44:45" x14ac:dyDescent="0.25">
      <c r="AR2884" s="11">
        <v>0.59500000000000031</v>
      </c>
      <c r="AS2884" s="7">
        <v>0.2857883832488648</v>
      </c>
    </row>
    <row r="2885" spans="44:45" x14ac:dyDescent="0.25">
      <c r="AR2885" s="11">
        <v>0.60500000000000032</v>
      </c>
      <c r="AS2885" s="7">
        <v>0.2857883832488648</v>
      </c>
    </row>
    <row r="2886" spans="44:45" x14ac:dyDescent="0.25">
      <c r="AR2886" s="11">
        <v>0.61500000000000032</v>
      </c>
      <c r="AS2886" s="7">
        <v>0.2857883832488648</v>
      </c>
    </row>
    <row r="2887" spans="44:45" x14ac:dyDescent="0.25">
      <c r="AR2887" s="11">
        <v>0.62500000000000033</v>
      </c>
      <c r="AS2887" s="7">
        <v>0.2857883832488648</v>
      </c>
    </row>
    <row r="2888" spans="44:45" x14ac:dyDescent="0.25">
      <c r="AR2888" s="11">
        <v>0.63500000000000034</v>
      </c>
      <c r="AS2888" s="7">
        <v>0.2857883832488648</v>
      </c>
    </row>
    <row r="2889" spans="44:45" x14ac:dyDescent="0.25">
      <c r="AR2889" s="11">
        <v>0.64500000000000035</v>
      </c>
      <c r="AS2889" s="7">
        <v>0.2857883832488648</v>
      </c>
    </row>
    <row r="2890" spans="44:45" x14ac:dyDescent="0.25">
      <c r="AR2890" s="11">
        <v>0.65500000000000036</v>
      </c>
      <c r="AS2890" s="7">
        <v>0.2857883832488648</v>
      </c>
    </row>
    <row r="2891" spans="44:45" x14ac:dyDescent="0.25">
      <c r="AR2891" s="11">
        <v>0.66500000000000037</v>
      </c>
      <c r="AS2891" s="7">
        <v>0.2857883832488648</v>
      </c>
    </row>
    <row r="2892" spans="44:45" x14ac:dyDescent="0.25">
      <c r="AR2892" s="11">
        <v>0.67500000000000038</v>
      </c>
      <c r="AS2892" s="7">
        <v>0.2857883832488648</v>
      </c>
    </row>
    <row r="2893" spans="44:45" x14ac:dyDescent="0.25">
      <c r="AR2893" s="11">
        <v>0.68500000000000039</v>
      </c>
      <c r="AS2893" s="7">
        <v>0.2857883832488648</v>
      </c>
    </row>
    <row r="2894" spans="44:45" x14ac:dyDescent="0.25">
      <c r="AR2894" s="11">
        <v>0.6950000000000004</v>
      </c>
      <c r="AS2894" s="7">
        <v>0.2857883832488648</v>
      </c>
    </row>
    <row r="2895" spans="44:45" x14ac:dyDescent="0.25">
      <c r="AR2895" s="11">
        <v>0.7050000000000004</v>
      </c>
      <c r="AS2895" s="7">
        <v>0.2857883832488648</v>
      </c>
    </row>
    <row r="2896" spans="44:45" x14ac:dyDescent="0.25">
      <c r="AR2896" s="11">
        <v>0.71500000000000041</v>
      </c>
      <c r="AS2896" s="7">
        <v>0.2857883832488648</v>
      </c>
    </row>
    <row r="2897" spans="44:45" x14ac:dyDescent="0.25">
      <c r="AR2897" s="11">
        <v>0.72500000000000042</v>
      </c>
      <c r="AS2897" s="7">
        <v>0.2857883832488648</v>
      </c>
    </row>
    <row r="2898" spans="44:45" x14ac:dyDescent="0.25">
      <c r="AR2898" s="11">
        <v>0.73500000000000043</v>
      </c>
      <c r="AS2898" s="7">
        <v>0.2857883832488648</v>
      </c>
    </row>
    <row r="2899" spans="44:45" x14ac:dyDescent="0.25">
      <c r="AR2899" s="11">
        <v>0.74500000000000044</v>
      </c>
      <c r="AS2899" s="7">
        <v>0.2857883832488648</v>
      </c>
    </row>
    <row r="2900" spans="44:45" x14ac:dyDescent="0.25">
      <c r="AR2900" s="11">
        <v>0.75500000000000045</v>
      </c>
      <c r="AS2900" s="7">
        <v>0.2857883832488648</v>
      </c>
    </row>
    <row r="2901" spans="44:45" x14ac:dyDescent="0.25">
      <c r="AR2901" s="11">
        <v>0.76500000000000046</v>
      </c>
      <c r="AS2901" s="7">
        <v>0.2857883832488648</v>
      </c>
    </row>
    <row r="2902" spans="44:45" x14ac:dyDescent="0.25">
      <c r="AR2902" s="11">
        <v>0.77500000000000047</v>
      </c>
      <c r="AS2902" s="7">
        <v>0.2857883832488648</v>
      </c>
    </row>
    <row r="2903" spans="44:45" x14ac:dyDescent="0.25">
      <c r="AR2903" s="11">
        <v>0.78500000000000048</v>
      </c>
      <c r="AS2903" s="7">
        <v>0.2857883832488648</v>
      </c>
    </row>
    <row r="2904" spans="44:45" x14ac:dyDescent="0.25">
      <c r="AR2904" s="11">
        <v>0.79500000000000048</v>
      </c>
      <c r="AS2904" s="7">
        <v>0.2857883832488648</v>
      </c>
    </row>
    <row r="2905" spans="44:45" x14ac:dyDescent="0.25">
      <c r="AR2905" s="11">
        <v>0.80500000000000049</v>
      </c>
      <c r="AS2905" s="7">
        <v>0.2857883832488648</v>
      </c>
    </row>
    <row r="2906" spans="44:45" x14ac:dyDescent="0.25">
      <c r="AR2906" s="11">
        <v>0.8150000000000005</v>
      </c>
      <c r="AS2906" s="7">
        <v>0.2857883832488648</v>
      </c>
    </row>
    <row r="2907" spans="44:45" x14ac:dyDescent="0.25">
      <c r="AR2907" s="11">
        <v>0.82500000000000051</v>
      </c>
      <c r="AS2907" s="7">
        <v>0.2857883832488648</v>
      </c>
    </row>
    <row r="2908" spans="44:45" x14ac:dyDescent="0.25">
      <c r="AR2908" s="11">
        <v>0.83500000000000052</v>
      </c>
      <c r="AS2908" s="7">
        <v>0.2857883832488648</v>
      </c>
    </row>
    <row r="2909" spans="44:45" x14ac:dyDescent="0.25">
      <c r="AR2909" s="11"/>
      <c r="AS2909" s="7"/>
    </row>
    <row r="2910" spans="44:45" x14ac:dyDescent="0.25">
      <c r="AR2910" s="11">
        <v>0.17</v>
      </c>
      <c r="AS2910" s="7">
        <v>0.29444863728670917</v>
      </c>
    </row>
    <row r="2911" spans="44:45" x14ac:dyDescent="0.25">
      <c r="AR2911" s="11">
        <v>0.18000000000000002</v>
      </c>
      <c r="AS2911" s="7">
        <v>0.29444863728670917</v>
      </c>
    </row>
    <row r="2912" spans="44:45" x14ac:dyDescent="0.25">
      <c r="AR2912" s="11">
        <v>0.19000000000000003</v>
      </c>
      <c r="AS2912" s="7">
        <v>0.29444863728670917</v>
      </c>
    </row>
    <row r="2913" spans="44:45" x14ac:dyDescent="0.25">
      <c r="AR2913" s="11">
        <v>0.20000000000000004</v>
      </c>
      <c r="AS2913" s="7">
        <v>0.29444863728670917</v>
      </c>
    </row>
    <row r="2914" spans="44:45" x14ac:dyDescent="0.25">
      <c r="AR2914" s="11">
        <v>0.21000000000000005</v>
      </c>
      <c r="AS2914" s="7">
        <v>0.29444863728670917</v>
      </c>
    </row>
    <row r="2915" spans="44:45" x14ac:dyDescent="0.25">
      <c r="AR2915" s="11">
        <v>0.22000000000000006</v>
      </c>
      <c r="AS2915" s="7">
        <v>0.29444863728670917</v>
      </c>
    </row>
    <row r="2916" spans="44:45" x14ac:dyDescent="0.25">
      <c r="AR2916" s="11">
        <v>0.23000000000000007</v>
      </c>
      <c r="AS2916" s="7">
        <v>0.29444863728670917</v>
      </c>
    </row>
    <row r="2917" spans="44:45" x14ac:dyDescent="0.25">
      <c r="AR2917" s="11">
        <v>0.24000000000000007</v>
      </c>
      <c r="AS2917" s="7">
        <v>0.29444863728670917</v>
      </c>
    </row>
    <row r="2918" spans="44:45" x14ac:dyDescent="0.25">
      <c r="AR2918" s="11">
        <v>0.25000000000000006</v>
      </c>
      <c r="AS2918" s="7">
        <v>0.29444863728670917</v>
      </c>
    </row>
    <row r="2919" spans="44:45" x14ac:dyDescent="0.25">
      <c r="AR2919" s="11">
        <v>0.26000000000000006</v>
      </c>
      <c r="AS2919" s="7">
        <v>0.29444863728670917</v>
      </c>
    </row>
    <row r="2920" spans="44:45" x14ac:dyDescent="0.25">
      <c r="AR2920" s="11">
        <v>0.27000000000000007</v>
      </c>
      <c r="AS2920" s="7">
        <v>0.29444863728670917</v>
      </c>
    </row>
    <row r="2921" spans="44:45" x14ac:dyDescent="0.25">
      <c r="AR2921" s="11">
        <v>0.28000000000000008</v>
      </c>
      <c r="AS2921" s="7">
        <v>0.29444863728670917</v>
      </c>
    </row>
    <row r="2922" spans="44:45" x14ac:dyDescent="0.25">
      <c r="AR2922" s="11">
        <v>0.29000000000000009</v>
      </c>
      <c r="AS2922" s="7">
        <v>0.29444863728670917</v>
      </c>
    </row>
    <row r="2923" spans="44:45" x14ac:dyDescent="0.25">
      <c r="AR2923" s="11">
        <v>0.3000000000000001</v>
      </c>
      <c r="AS2923" s="7">
        <v>0.29444863728670917</v>
      </c>
    </row>
    <row r="2924" spans="44:45" x14ac:dyDescent="0.25">
      <c r="AR2924" s="11">
        <v>0.31000000000000011</v>
      </c>
      <c r="AS2924" s="7">
        <v>0.29444863728670917</v>
      </c>
    </row>
    <row r="2925" spans="44:45" x14ac:dyDescent="0.25">
      <c r="AR2925" s="11">
        <v>0.32000000000000012</v>
      </c>
      <c r="AS2925" s="7">
        <v>0.29444863728670917</v>
      </c>
    </row>
    <row r="2926" spans="44:45" x14ac:dyDescent="0.25">
      <c r="AR2926" s="11">
        <v>0.33000000000000013</v>
      </c>
      <c r="AS2926" s="7">
        <v>0.29444863728670917</v>
      </c>
    </row>
    <row r="2927" spans="44:45" x14ac:dyDescent="0.25">
      <c r="AR2927" s="11">
        <v>0.34000000000000014</v>
      </c>
      <c r="AS2927" s="7">
        <v>0.29444863728670917</v>
      </c>
    </row>
    <row r="2928" spans="44:45" x14ac:dyDescent="0.25">
      <c r="AR2928" s="11">
        <v>0.35000000000000014</v>
      </c>
      <c r="AS2928" s="7">
        <v>0.29444863728670917</v>
      </c>
    </row>
    <row r="2929" spans="44:45" x14ac:dyDescent="0.25">
      <c r="AR2929" s="11">
        <v>0.36000000000000015</v>
      </c>
      <c r="AS2929" s="7">
        <v>0.29444863728670917</v>
      </c>
    </row>
    <row r="2930" spans="44:45" x14ac:dyDescent="0.25">
      <c r="AR2930" s="11">
        <v>0.37000000000000016</v>
      </c>
      <c r="AS2930" s="7">
        <v>0.29444863728670917</v>
      </c>
    </row>
    <row r="2931" spans="44:45" x14ac:dyDescent="0.25">
      <c r="AR2931" s="11">
        <v>0.38000000000000017</v>
      </c>
      <c r="AS2931" s="7">
        <v>0.29444863728670917</v>
      </c>
    </row>
    <row r="2932" spans="44:45" x14ac:dyDescent="0.25">
      <c r="AR2932" s="11">
        <v>0.39000000000000018</v>
      </c>
      <c r="AS2932" s="7">
        <v>0.29444863728670917</v>
      </c>
    </row>
    <row r="2933" spans="44:45" x14ac:dyDescent="0.25">
      <c r="AR2933" s="11">
        <v>0.40000000000000019</v>
      </c>
      <c r="AS2933" s="7">
        <v>0.29444863728670917</v>
      </c>
    </row>
    <row r="2934" spans="44:45" x14ac:dyDescent="0.25">
      <c r="AR2934" s="11">
        <v>0.4100000000000002</v>
      </c>
      <c r="AS2934" s="7">
        <v>0.29444863728670917</v>
      </c>
    </row>
    <row r="2935" spans="44:45" x14ac:dyDescent="0.25">
      <c r="AR2935" s="11">
        <v>0.42000000000000021</v>
      </c>
      <c r="AS2935" s="7">
        <v>0.29444863728670917</v>
      </c>
    </row>
    <row r="2936" spans="44:45" x14ac:dyDescent="0.25">
      <c r="AR2936" s="11">
        <v>0.43000000000000022</v>
      </c>
      <c r="AS2936" s="7">
        <v>0.29444863728670917</v>
      </c>
    </row>
    <row r="2937" spans="44:45" x14ac:dyDescent="0.25">
      <c r="AR2937" s="11">
        <v>0.44000000000000022</v>
      </c>
      <c r="AS2937" s="7">
        <v>0.29444863728670917</v>
      </c>
    </row>
    <row r="2938" spans="44:45" x14ac:dyDescent="0.25">
      <c r="AR2938" s="11">
        <v>0.45000000000000023</v>
      </c>
      <c r="AS2938" s="7">
        <v>0.29444863728670917</v>
      </c>
    </row>
    <row r="2939" spans="44:45" x14ac:dyDescent="0.25">
      <c r="AR2939" s="11">
        <v>0.46000000000000024</v>
      </c>
      <c r="AS2939" s="7">
        <v>0.29444863728670917</v>
      </c>
    </row>
    <row r="2940" spans="44:45" x14ac:dyDescent="0.25">
      <c r="AR2940" s="11">
        <v>0.47000000000000025</v>
      </c>
      <c r="AS2940" s="7">
        <v>0.29444863728670917</v>
      </c>
    </row>
    <row r="2941" spans="44:45" x14ac:dyDescent="0.25">
      <c r="AR2941" s="11">
        <v>0.48000000000000026</v>
      </c>
      <c r="AS2941" s="7">
        <v>0.29444863728670917</v>
      </c>
    </row>
    <row r="2942" spans="44:45" x14ac:dyDescent="0.25">
      <c r="AR2942" s="11">
        <v>0.49000000000000027</v>
      </c>
      <c r="AS2942" s="7">
        <v>0.29444863728670917</v>
      </c>
    </row>
    <row r="2943" spans="44:45" x14ac:dyDescent="0.25">
      <c r="AR2943" s="11">
        <v>0.50000000000000022</v>
      </c>
      <c r="AS2943" s="7">
        <v>0.29444863728670917</v>
      </c>
    </row>
    <row r="2944" spans="44:45" x14ac:dyDescent="0.25">
      <c r="AR2944" s="11">
        <v>0.51000000000000023</v>
      </c>
      <c r="AS2944" s="7">
        <v>0.29444863728670917</v>
      </c>
    </row>
    <row r="2945" spans="44:45" x14ac:dyDescent="0.25">
      <c r="AR2945" s="11">
        <v>0.52000000000000024</v>
      </c>
      <c r="AS2945" s="7">
        <v>0.29444863728670917</v>
      </c>
    </row>
    <row r="2946" spans="44:45" x14ac:dyDescent="0.25">
      <c r="AR2946" s="11">
        <v>0.53000000000000025</v>
      </c>
      <c r="AS2946" s="7">
        <v>0.29444863728670917</v>
      </c>
    </row>
    <row r="2947" spans="44:45" x14ac:dyDescent="0.25">
      <c r="AR2947" s="11">
        <v>0.54000000000000026</v>
      </c>
      <c r="AS2947" s="7">
        <v>0.29444863728670917</v>
      </c>
    </row>
    <row r="2948" spans="44:45" x14ac:dyDescent="0.25">
      <c r="AR2948" s="11">
        <v>0.55000000000000027</v>
      </c>
      <c r="AS2948" s="7">
        <v>0.29444863728670917</v>
      </c>
    </row>
    <row r="2949" spans="44:45" x14ac:dyDescent="0.25">
      <c r="AR2949" s="11">
        <v>0.56000000000000028</v>
      </c>
      <c r="AS2949" s="7">
        <v>0.29444863728670917</v>
      </c>
    </row>
    <row r="2950" spans="44:45" x14ac:dyDescent="0.25">
      <c r="AR2950" s="11">
        <v>0.57000000000000028</v>
      </c>
      <c r="AS2950" s="7">
        <v>0.29444863728670917</v>
      </c>
    </row>
    <row r="2951" spans="44:45" x14ac:dyDescent="0.25">
      <c r="AR2951" s="11">
        <v>0.58000000000000029</v>
      </c>
      <c r="AS2951" s="7">
        <v>0.29444863728670917</v>
      </c>
    </row>
    <row r="2952" spans="44:45" x14ac:dyDescent="0.25">
      <c r="AR2952" s="11">
        <v>0.5900000000000003</v>
      </c>
      <c r="AS2952" s="7">
        <v>0.29444863728670917</v>
      </c>
    </row>
    <row r="2953" spans="44:45" x14ac:dyDescent="0.25">
      <c r="AR2953" s="11">
        <v>0.60000000000000031</v>
      </c>
      <c r="AS2953" s="7">
        <v>0.29444863728670917</v>
      </c>
    </row>
    <row r="2954" spans="44:45" x14ac:dyDescent="0.25">
      <c r="AR2954" s="11">
        <v>0.61000000000000032</v>
      </c>
      <c r="AS2954" s="7">
        <v>0.29444863728670917</v>
      </c>
    </row>
    <row r="2955" spans="44:45" x14ac:dyDescent="0.25">
      <c r="AR2955" s="11">
        <v>0.62000000000000033</v>
      </c>
      <c r="AS2955" s="7">
        <v>0.29444863728670917</v>
      </c>
    </row>
    <row r="2956" spans="44:45" x14ac:dyDescent="0.25">
      <c r="AR2956" s="11">
        <v>0.63000000000000034</v>
      </c>
      <c r="AS2956" s="7">
        <v>0.29444863728670917</v>
      </c>
    </row>
    <row r="2957" spans="44:45" x14ac:dyDescent="0.25">
      <c r="AR2957" s="11">
        <v>0.64000000000000035</v>
      </c>
      <c r="AS2957" s="7">
        <v>0.29444863728670917</v>
      </c>
    </row>
    <row r="2958" spans="44:45" x14ac:dyDescent="0.25">
      <c r="AR2958" s="11">
        <v>0.65000000000000036</v>
      </c>
      <c r="AS2958" s="7">
        <v>0.29444863728670917</v>
      </c>
    </row>
    <row r="2959" spans="44:45" x14ac:dyDescent="0.25">
      <c r="AR2959" s="11">
        <v>0.66000000000000036</v>
      </c>
      <c r="AS2959" s="7">
        <v>0.29444863728670917</v>
      </c>
    </row>
    <row r="2960" spans="44:45" x14ac:dyDescent="0.25">
      <c r="AR2960" s="11">
        <v>0.67000000000000037</v>
      </c>
      <c r="AS2960" s="7">
        <v>0.29444863728670917</v>
      </c>
    </row>
    <row r="2961" spans="44:45" x14ac:dyDescent="0.25">
      <c r="AR2961" s="11">
        <v>0.68000000000000038</v>
      </c>
      <c r="AS2961" s="7">
        <v>0.29444863728670917</v>
      </c>
    </row>
    <row r="2962" spans="44:45" x14ac:dyDescent="0.25">
      <c r="AR2962" s="11">
        <v>0.69000000000000039</v>
      </c>
      <c r="AS2962" s="7">
        <v>0.29444863728670917</v>
      </c>
    </row>
    <row r="2963" spans="44:45" x14ac:dyDescent="0.25">
      <c r="AR2963" s="11">
        <v>0.7000000000000004</v>
      </c>
      <c r="AS2963" s="7">
        <v>0.29444863728670917</v>
      </c>
    </row>
    <row r="2964" spans="44:45" x14ac:dyDescent="0.25">
      <c r="AR2964" s="11">
        <v>0.71000000000000041</v>
      </c>
      <c r="AS2964" s="7">
        <v>0.29444863728670917</v>
      </c>
    </row>
    <row r="2965" spans="44:45" x14ac:dyDescent="0.25">
      <c r="AR2965" s="11">
        <v>0.72000000000000042</v>
      </c>
      <c r="AS2965" s="7">
        <v>0.29444863728670917</v>
      </c>
    </row>
    <row r="2966" spans="44:45" x14ac:dyDescent="0.25">
      <c r="AR2966" s="11">
        <v>0.73000000000000043</v>
      </c>
      <c r="AS2966" s="7">
        <v>0.29444863728670917</v>
      </c>
    </row>
    <row r="2967" spans="44:45" x14ac:dyDescent="0.25">
      <c r="AR2967" s="11">
        <v>0.74000000000000044</v>
      </c>
      <c r="AS2967" s="7">
        <v>0.29444863728670917</v>
      </c>
    </row>
    <row r="2968" spans="44:45" x14ac:dyDescent="0.25">
      <c r="AR2968" s="11">
        <v>0.75000000000000044</v>
      </c>
      <c r="AS2968" s="7">
        <v>0.29444863728670917</v>
      </c>
    </row>
    <row r="2969" spans="44:45" x14ac:dyDescent="0.25">
      <c r="AR2969" s="11">
        <v>0.76000000000000045</v>
      </c>
      <c r="AS2969" s="7">
        <v>0.29444863728670917</v>
      </c>
    </row>
    <row r="2970" spans="44:45" x14ac:dyDescent="0.25">
      <c r="AR2970" s="11">
        <v>0.77000000000000046</v>
      </c>
      <c r="AS2970" s="7">
        <v>0.29444863728670917</v>
      </c>
    </row>
    <row r="2971" spans="44:45" x14ac:dyDescent="0.25">
      <c r="AR2971" s="11">
        <v>0.78000000000000047</v>
      </c>
      <c r="AS2971" s="7">
        <v>0.29444863728670917</v>
      </c>
    </row>
    <row r="2972" spans="44:45" x14ac:dyDescent="0.25">
      <c r="AR2972" s="11">
        <v>0.79000000000000048</v>
      </c>
      <c r="AS2972" s="7">
        <v>0.29444863728670917</v>
      </c>
    </row>
    <row r="2973" spans="44:45" x14ac:dyDescent="0.25">
      <c r="AR2973" s="11">
        <v>0.80000000000000049</v>
      </c>
      <c r="AS2973" s="7">
        <v>0.29444863728670917</v>
      </c>
    </row>
    <row r="2974" spans="44:45" x14ac:dyDescent="0.25">
      <c r="AR2974" s="11">
        <v>0.8100000000000005</v>
      </c>
      <c r="AS2974" s="7">
        <v>0.29444863728670917</v>
      </c>
    </row>
    <row r="2975" spans="44:45" x14ac:dyDescent="0.25">
      <c r="AR2975" s="11">
        <v>0.82000000000000051</v>
      </c>
      <c r="AS2975" s="7">
        <v>0.29444863728670917</v>
      </c>
    </row>
    <row r="2976" spans="44:45" x14ac:dyDescent="0.25">
      <c r="AR2976" s="11">
        <v>0.83000000000000052</v>
      </c>
      <c r="AS2976" s="7">
        <v>0.29444863728670917</v>
      </c>
    </row>
    <row r="2977" spans="42:45" x14ac:dyDescent="0.25">
      <c r="AR2977" s="11"/>
      <c r="AS2977" s="7"/>
    </row>
    <row r="2978" spans="42:45" x14ac:dyDescent="0.25">
      <c r="AR2978" s="11">
        <v>0.17500000000000002</v>
      </c>
      <c r="AS2978" s="7">
        <v>0.30310889132455349</v>
      </c>
    </row>
    <row r="2979" spans="42:45" x14ac:dyDescent="0.25">
      <c r="AP2979" s="30"/>
      <c r="AR2979" s="11">
        <v>0.18500000000000003</v>
      </c>
      <c r="AS2979" s="7">
        <v>0.30310889132455349</v>
      </c>
    </row>
    <row r="2980" spans="42:45" x14ac:dyDescent="0.25">
      <c r="AR2980" s="11">
        <v>0.19500000000000003</v>
      </c>
      <c r="AS2980" s="7">
        <v>0.30310889132455349</v>
      </c>
    </row>
    <row r="2981" spans="42:45" x14ac:dyDescent="0.25">
      <c r="AR2981" s="11">
        <v>0.20500000000000004</v>
      </c>
      <c r="AS2981" s="7">
        <v>0.30310889132455349</v>
      </c>
    </row>
    <row r="2982" spans="42:45" x14ac:dyDescent="0.25">
      <c r="AR2982" s="11">
        <v>0.21500000000000005</v>
      </c>
      <c r="AS2982" s="7">
        <v>0.30310889132455349</v>
      </c>
    </row>
    <row r="2983" spans="42:45" x14ac:dyDescent="0.25">
      <c r="AR2983" s="11">
        <v>0.22500000000000006</v>
      </c>
      <c r="AS2983" s="7">
        <v>0.30310889132455349</v>
      </c>
    </row>
    <row r="2984" spans="42:45" x14ac:dyDescent="0.25">
      <c r="AR2984" s="11">
        <v>0.23500000000000007</v>
      </c>
      <c r="AS2984" s="7">
        <v>0.30310889132455349</v>
      </c>
    </row>
    <row r="2985" spans="42:45" x14ac:dyDescent="0.25">
      <c r="AR2985" s="11">
        <v>0.24500000000000008</v>
      </c>
      <c r="AS2985" s="7">
        <v>0.30310889132455349</v>
      </c>
    </row>
    <row r="2986" spans="42:45" x14ac:dyDescent="0.25">
      <c r="AR2986" s="11">
        <v>0.25500000000000006</v>
      </c>
      <c r="AS2986" s="7">
        <v>0.30310889132455349</v>
      </c>
    </row>
    <row r="2987" spans="42:45" x14ac:dyDescent="0.25">
      <c r="AR2987" s="11">
        <v>0.26500000000000007</v>
      </c>
      <c r="AS2987" s="7">
        <v>0.30310889132455349</v>
      </c>
    </row>
    <row r="2988" spans="42:45" x14ac:dyDescent="0.25">
      <c r="AR2988" s="11">
        <v>0.27500000000000008</v>
      </c>
      <c r="AS2988" s="7">
        <v>0.30310889132455349</v>
      </c>
    </row>
    <row r="2989" spans="42:45" x14ac:dyDescent="0.25">
      <c r="AR2989" s="11">
        <v>0.28500000000000009</v>
      </c>
      <c r="AS2989" s="7">
        <v>0.30310889132455349</v>
      </c>
    </row>
    <row r="2990" spans="42:45" x14ac:dyDescent="0.25">
      <c r="AR2990" s="11">
        <v>0.2950000000000001</v>
      </c>
      <c r="AS2990" s="7">
        <v>0.30310889132455349</v>
      </c>
    </row>
    <row r="2991" spans="42:45" x14ac:dyDescent="0.25">
      <c r="AR2991" s="11">
        <v>0.3050000000000001</v>
      </c>
      <c r="AS2991" s="7">
        <v>0.30310889132455349</v>
      </c>
    </row>
    <row r="2992" spans="42:45" x14ac:dyDescent="0.25">
      <c r="AR2992" s="11">
        <v>0.31500000000000011</v>
      </c>
      <c r="AS2992" s="7">
        <v>0.30310889132455349</v>
      </c>
    </row>
    <row r="2993" spans="44:45" x14ac:dyDescent="0.25">
      <c r="AR2993" s="11">
        <v>0.32500000000000012</v>
      </c>
      <c r="AS2993" s="7">
        <v>0.30310889132455349</v>
      </c>
    </row>
    <row r="2994" spans="44:45" x14ac:dyDescent="0.25">
      <c r="AR2994" s="11">
        <v>0.33500000000000013</v>
      </c>
      <c r="AS2994" s="7">
        <v>0.30310889132455349</v>
      </c>
    </row>
    <row r="2995" spans="44:45" x14ac:dyDescent="0.25">
      <c r="AR2995" s="11">
        <v>0.34500000000000014</v>
      </c>
      <c r="AS2995" s="7">
        <v>0.30310889132455349</v>
      </c>
    </row>
    <row r="2996" spans="44:45" x14ac:dyDescent="0.25">
      <c r="AR2996" s="11">
        <v>0.35500000000000015</v>
      </c>
      <c r="AS2996" s="7">
        <v>0.30310889132455349</v>
      </c>
    </row>
    <row r="2997" spans="44:45" x14ac:dyDescent="0.25">
      <c r="AR2997" s="11">
        <v>0.36500000000000016</v>
      </c>
      <c r="AS2997" s="7">
        <v>0.30310889132455349</v>
      </c>
    </row>
    <row r="2998" spans="44:45" x14ac:dyDescent="0.25">
      <c r="AR2998" s="11">
        <v>0.37500000000000017</v>
      </c>
      <c r="AS2998" s="7">
        <v>0.30310889132455349</v>
      </c>
    </row>
    <row r="2999" spans="44:45" x14ac:dyDescent="0.25">
      <c r="AR2999" s="11">
        <v>0.38500000000000018</v>
      </c>
      <c r="AS2999" s="7">
        <v>0.30310889132455349</v>
      </c>
    </row>
    <row r="3000" spans="44:45" x14ac:dyDescent="0.25">
      <c r="AR3000" s="11">
        <v>0.39500000000000018</v>
      </c>
      <c r="AS3000" s="7">
        <v>0.30310889132455349</v>
      </c>
    </row>
    <row r="3001" spans="44:45" x14ac:dyDescent="0.25">
      <c r="AR3001" s="11">
        <v>0.40500000000000019</v>
      </c>
      <c r="AS3001" s="7">
        <v>0.30310889132455349</v>
      </c>
    </row>
    <row r="3002" spans="44:45" x14ac:dyDescent="0.25">
      <c r="AR3002" s="11">
        <v>0.4150000000000002</v>
      </c>
      <c r="AS3002" s="7">
        <v>0.30310889132455349</v>
      </c>
    </row>
    <row r="3003" spans="44:45" x14ac:dyDescent="0.25">
      <c r="AR3003" s="11">
        <v>0.42500000000000021</v>
      </c>
      <c r="AS3003" s="7">
        <v>0.30310889132455349</v>
      </c>
    </row>
    <row r="3004" spans="44:45" x14ac:dyDescent="0.25">
      <c r="AR3004" s="11">
        <v>0.43500000000000022</v>
      </c>
      <c r="AS3004" s="7">
        <v>0.30310889132455349</v>
      </c>
    </row>
    <row r="3005" spans="44:45" x14ac:dyDescent="0.25">
      <c r="AR3005" s="11">
        <v>0.44500000000000023</v>
      </c>
      <c r="AS3005" s="7">
        <v>0.30310889132455349</v>
      </c>
    </row>
    <row r="3006" spans="44:45" x14ac:dyDescent="0.25">
      <c r="AR3006" s="11">
        <v>0.45500000000000024</v>
      </c>
      <c r="AS3006" s="7">
        <v>0.30310889132455349</v>
      </c>
    </row>
    <row r="3007" spans="44:45" x14ac:dyDescent="0.25">
      <c r="AR3007" s="11">
        <v>0.46500000000000025</v>
      </c>
      <c r="AS3007" s="7">
        <v>0.30310889132455349</v>
      </c>
    </row>
    <row r="3008" spans="44:45" x14ac:dyDescent="0.25">
      <c r="AR3008" s="11">
        <v>0.47500000000000026</v>
      </c>
      <c r="AS3008" s="7">
        <v>0.30310889132455349</v>
      </c>
    </row>
    <row r="3009" spans="44:45" x14ac:dyDescent="0.25">
      <c r="AR3009" s="11">
        <v>0.48500000000000026</v>
      </c>
      <c r="AS3009" s="7">
        <v>0.30310889132455349</v>
      </c>
    </row>
    <row r="3010" spans="44:45" x14ac:dyDescent="0.25">
      <c r="AR3010" s="11">
        <v>0.49500000000000027</v>
      </c>
      <c r="AS3010" s="7">
        <v>0.30310889132455349</v>
      </c>
    </row>
    <row r="3011" spans="44:45" x14ac:dyDescent="0.25">
      <c r="AR3011" s="11">
        <v>0.50500000000000023</v>
      </c>
      <c r="AS3011" s="7">
        <v>0.30310889132455349</v>
      </c>
    </row>
    <row r="3012" spans="44:45" x14ac:dyDescent="0.25">
      <c r="AR3012" s="11">
        <v>0.51500000000000024</v>
      </c>
      <c r="AS3012" s="7">
        <v>0.30310889132455349</v>
      </c>
    </row>
    <row r="3013" spans="44:45" x14ac:dyDescent="0.25">
      <c r="AR3013" s="11">
        <v>0.52500000000000024</v>
      </c>
      <c r="AS3013" s="7">
        <v>0.30310889132455349</v>
      </c>
    </row>
    <row r="3014" spans="44:45" x14ac:dyDescent="0.25">
      <c r="AR3014" s="11">
        <v>0.53500000000000025</v>
      </c>
      <c r="AS3014" s="7">
        <v>0.30310889132455349</v>
      </c>
    </row>
    <row r="3015" spans="44:45" x14ac:dyDescent="0.25">
      <c r="AR3015" s="11">
        <v>0.54500000000000026</v>
      </c>
      <c r="AS3015" s="7">
        <v>0.30310889132455349</v>
      </c>
    </row>
    <row r="3016" spans="44:45" x14ac:dyDescent="0.25">
      <c r="AR3016" s="11">
        <v>0.55500000000000027</v>
      </c>
      <c r="AS3016" s="7">
        <v>0.30310889132455349</v>
      </c>
    </row>
    <row r="3017" spans="44:45" x14ac:dyDescent="0.25">
      <c r="AR3017" s="11">
        <v>0.56500000000000028</v>
      </c>
      <c r="AS3017" s="7">
        <v>0.30310889132455349</v>
      </c>
    </row>
    <row r="3018" spans="44:45" x14ac:dyDescent="0.25">
      <c r="AR3018" s="11">
        <v>0.57500000000000029</v>
      </c>
      <c r="AS3018" s="7">
        <v>0.30310889132455349</v>
      </c>
    </row>
    <row r="3019" spans="44:45" x14ac:dyDescent="0.25">
      <c r="AR3019" s="11">
        <v>0.5850000000000003</v>
      </c>
      <c r="AS3019" s="7">
        <v>0.30310889132455349</v>
      </c>
    </row>
    <row r="3020" spans="44:45" x14ac:dyDescent="0.25">
      <c r="AR3020" s="11">
        <v>0.59500000000000031</v>
      </c>
      <c r="AS3020" s="7">
        <v>0.30310889132455349</v>
      </c>
    </row>
    <row r="3021" spans="44:45" x14ac:dyDescent="0.25">
      <c r="AR3021" s="11">
        <v>0.60500000000000032</v>
      </c>
      <c r="AS3021" s="7">
        <v>0.30310889132455349</v>
      </c>
    </row>
    <row r="3022" spans="44:45" x14ac:dyDescent="0.25">
      <c r="AR3022" s="11">
        <v>0.61500000000000032</v>
      </c>
      <c r="AS3022" s="7">
        <v>0.30310889132455349</v>
      </c>
    </row>
    <row r="3023" spans="44:45" x14ac:dyDescent="0.25">
      <c r="AR3023" s="11">
        <v>0.62500000000000033</v>
      </c>
      <c r="AS3023" s="7">
        <v>0.30310889132455349</v>
      </c>
    </row>
    <row r="3024" spans="44:45" x14ac:dyDescent="0.25">
      <c r="AR3024" s="11">
        <v>0.63500000000000034</v>
      </c>
      <c r="AS3024" s="7">
        <v>0.30310889132455349</v>
      </c>
    </row>
    <row r="3025" spans="44:45" x14ac:dyDescent="0.25">
      <c r="AR3025" s="11">
        <v>0.64500000000000035</v>
      </c>
      <c r="AS3025" s="7">
        <v>0.30310889132455349</v>
      </c>
    </row>
    <row r="3026" spans="44:45" x14ac:dyDescent="0.25">
      <c r="AR3026" s="11">
        <v>0.65500000000000036</v>
      </c>
      <c r="AS3026" s="7">
        <v>0.30310889132455349</v>
      </c>
    </row>
    <row r="3027" spans="44:45" x14ac:dyDescent="0.25">
      <c r="AR3027" s="11">
        <v>0.66500000000000037</v>
      </c>
      <c r="AS3027" s="7">
        <v>0.30310889132455349</v>
      </c>
    </row>
    <row r="3028" spans="44:45" x14ac:dyDescent="0.25">
      <c r="AR3028" s="11">
        <v>0.67500000000000038</v>
      </c>
      <c r="AS3028" s="7">
        <v>0.30310889132455349</v>
      </c>
    </row>
    <row r="3029" spans="44:45" x14ac:dyDescent="0.25">
      <c r="AR3029" s="11">
        <v>0.68500000000000039</v>
      </c>
      <c r="AS3029" s="7">
        <v>0.30310889132455349</v>
      </c>
    </row>
    <row r="3030" spans="44:45" x14ac:dyDescent="0.25">
      <c r="AR3030" s="11">
        <v>0.6950000000000004</v>
      </c>
      <c r="AS3030" s="7">
        <v>0.30310889132455349</v>
      </c>
    </row>
    <row r="3031" spans="44:45" x14ac:dyDescent="0.25">
      <c r="AR3031" s="11">
        <v>0.7050000000000004</v>
      </c>
      <c r="AS3031" s="7">
        <v>0.30310889132455349</v>
      </c>
    </row>
    <row r="3032" spans="44:45" x14ac:dyDescent="0.25">
      <c r="AR3032" s="11">
        <v>0.71500000000000041</v>
      </c>
      <c r="AS3032" s="7">
        <v>0.30310889132455349</v>
      </c>
    </row>
    <row r="3033" spans="44:45" x14ac:dyDescent="0.25">
      <c r="AR3033" s="11">
        <v>0.72500000000000042</v>
      </c>
      <c r="AS3033" s="7">
        <v>0.30310889132455349</v>
      </c>
    </row>
    <row r="3034" spans="44:45" x14ac:dyDescent="0.25">
      <c r="AR3034" s="11">
        <v>0.73500000000000043</v>
      </c>
      <c r="AS3034" s="7">
        <v>0.30310889132455349</v>
      </c>
    </row>
    <row r="3035" spans="44:45" x14ac:dyDescent="0.25">
      <c r="AR3035" s="11">
        <v>0.74500000000000044</v>
      </c>
      <c r="AS3035" s="7">
        <v>0.30310889132455349</v>
      </c>
    </row>
    <row r="3036" spans="44:45" x14ac:dyDescent="0.25">
      <c r="AR3036" s="11">
        <v>0.75500000000000045</v>
      </c>
      <c r="AS3036" s="7">
        <v>0.30310889132455349</v>
      </c>
    </row>
    <row r="3037" spans="44:45" x14ac:dyDescent="0.25">
      <c r="AR3037" s="11">
        <v>0.76500000000000046</v>
      </c>
      <c r="AS3037" s="7">
        <v>0.30310889132455349</v>
      </c>
    </row>
    <row r="3038" spans="44:45" x14ac:dyDescent="0.25">
      <c r="AR3038" s="11">
        <v>0.77500000000000047</v>
      </c>
      <c r="AS3038" s="7">
        <v>0.30310889132455349</v>
      </c>
    </row>
    <row r="3039" spans="44:45" x14ac:dyDescent="0.25">
      <c r="AR3039" s="11">
        <v>0.78500000000000048</v>
      </c>
      <c r="AS3039" s="7">
        <v>0.30310889132455349</v>
      </c>
    </row>
    <row r="3040" spans="44:45" x14ac:dyDescent="0.25">
      <c r="AR3040" s="11">
        <v>0.79500000000000048</v>
      </c>
      <c r="AS3040" s="7">
        <v>0.30310889132455349</v>
      </c>
    </row>
    <row r="3041" spans="44:45" x14ac:dyDescent="0.25">
      <c r="AR3041" s="11">
        <v>0.80500000000000049</v>
      </c>
      <c r="AS3041" s="7">
        <v>0.30310889132455349</v>
      </c>
    </row>
    <row r="3042" spans="44:45" x14ac:dyDescent="0.25">
      <c r="AR3042" s="11">
        <v>0.8150000000000005</v>
      </c>
      <c r="AS3042" s="7">
        <v>0.30310889132455349</v>
      </c>
    </row>
    <row r="3043" spans="44:45" x14ac:dyDescent="0.25">
      <c r="AR3043" s="11">
        <v>0.82500000000000051</v>
      </c>
      <c r="AS3043" s="7">
        <v>0.30310889132455349</v>
      </c>
    </row>
    <row r="3044" spans="44:45" x14ac:dyDescent="0.25">
      <c r="AR3044" s="11"/>
      <c r="AS3044" s="7"/>
    </row>
    <row r="3045" spans="44:45" x14ac:dyDescent="0.25">
      <c r="AR3045" s="11">
        <v>0.18000000000000002</v>
      </c>
      <c r="AS3045" s="7">
        <v>0.31176914536239791</v>
      </c>
    </row>
    <row r="3046" spans="44:45" x14ac:dyDescent="0.25">
      <c r="AR3046" s="11">
        <v>0.19000000000000003</v>
      </c>
      <c r="AS3046" s="7">
        <v>0.31176914536239791</v>
      </c>
    </row>
    <row r="3047" spans="44:45" x14ac:dyDescent="0.25">
      <c r="AR3047" s="11">
        <v>0.20000000000000004</v>
      </c>
      <c r="AS3047" s="7">
        <v>0.31176914536239791</v>
      </c>
    </row>
    <row r="3048" spans="44:45" x14ac:dyDescent="0.25">
      <c r="AR3048" s="11">
        <v>0.21000000000000005</v>
      </c>
      <c r="AS3048" s="7">
        <v>0.31176914536239791</v>
      </c>
    </row>
    <row r="3049" spans="44:45" x14ac:dyDescent="0.25">
      <c r="AR3049" s="11">
        <v>0.22000000000000006</v>
      </c>
      <c r="AS3049" s="7">
        <v>0.31176914536239791</v>
      </c>
    </row>
    <row r="3050" spans="44:45" x14ac:dyDescent="0.25">
      <c r="AR3050" s="11">
        <v>0.23000000000000007</v>
      </c>
      <c r="AS3050" s="7">
        <v>0.31176914536239791</v>
      </c>
    </row>
    <row r="3051" spans="44:45" x14ac:dyDescent="0.25">
      <c r="AR3051" s="11">
        <v>0.24000000000000007</v>
      </c>
      <c r="AS3051" s="7">
        <v>0.31176914536239791</v>
      </c>
    </row>
    <row r="3052" spans="44:45" x14ac:dyDescent="0.25">
      <c r="AR3052" s="11">
        <v>0.25000000000000006</v>
      </c>
      <c r="AS3052" s="7">
        <v>0.31176914536239791</v>
      </c>
    </row>
    <row r="3053" spans="44:45" x14ac:dyDescent="0.25">
      <c r="AR3053" s="11">
        <v>0.26000000000000006</v>
      </c>
      <c r="AS3053" s="7">
        <v>0.31176914536239791</v>
      </c>
    </row>
    <row r="3054" spans="44:45" x14ac:dyDescent="0.25">
      <c r="AR3054" s="11">
        <v>0.27000000000000007</v>
      </c>
      <c r="AS3054" s="7">
        <v>0.31176914536239791</v>
      </c>
    </row>
    <row r="3055" spans="44:45" x14ac:dyDescent="0.25">
      <c r="AR3055" s="11">
        <v>0.28000000000000008</v>
      </c>
      <c r="AS3055" s="7">
        <v>0.31176914536239791</v>
      </c>
    </row>
    <row r="3056" spans="44:45" x14ac:dyDescent="0.25">
      <c r="AR3056" s="11">
        <v>0.29000000000000009</v>
      </c>
      <c r="AS3056" s="7">
        <v>0.31176914536239791</v>
      </c>
    </row>
    <row r="3057" spans="44:45" x14ac:dyDescent="0.25">
      <c r="AR3057" s="11">
        <v>0.3000000000000001</v>
      </c>
      <c r="AS3057" s="7">
        <v>0.31176914536239791</v>
      </c>
    </row>
    <row r="3058" spans="44:45" x14ac:dyDescent="0.25">
      <c r="AR3058" s="11">
        <v>0.31000000000000011</v>
      </c>
      <c r="AS3058" s="7">
        <v>0.31176914536239791</v>
      </c>
    </row>
    <row r="3059" spans="44:45" x14ac:dyDescent="0.25">
      <c r="AR3059" s="11">
        <v>0.32000000000000012</v>
      </c>
      <c r="AS3059" s="7">
        <v>0.31176914536239791</v>
      </c>
    </row>
    <row r="3060" spans="44:45" x14ac:dyDescent="0.25">
      <c r="AR3060" s="11">
        <v>0.33000000000000013</v>
      </c>
      <c r="AS3060" s="7">
        <v>0.31176914536239791</v>
      </c>
    </row>
    <row r="3061" spans="44:45" x14ac:dyDescent="0.25">
      <c r="AR3061" s="11">
        <v>0.34000000000000014</v>
      </c>
      <c r="AS3061" s="7">
        <v>0.31176914536239791</v>
      </c>
    </row>
    <row r="3062" spans="44:45" x14ac:dyDescent="0.25">
      <c r="AR3062" s="11">
        <v>0.35000000000000014</v>
      </c>
      <c r="AS3062" s="7">
        <v>0.31176914536239791</v>
      </c>
    </row>
    <row r="3063" spans="44:45" x14ac:dyDescent="0.25">
      <c r="AR3063" s="11">
        <v>0.36000000000000015</v>
      </c>
      <c r="AS3063" s="7">
        <v>0.31176914536239791</v>
      </c>
    </row>
    <row r="3064" spans="44:45" x14ac:dyDescent="0.25">
      <c r="AR3064" s="11">
        <v>0.37000000000000016</v>
      </c>
      <c r="AS3064" s="7">
        <v>0.31176914536239791</v>
      </c>
    </row>
    <row r="3065" spans="44:45" x14ac:dyDescent="0.25">
      <c r="AR3065" s="11">
        <v>0.38000000000000017</v>
      </c>
      <c r="AS3065" s="7">
        <v>0.31176914536239791</v>
      </c>
    </row>
    <row r="3066" spans="44:45" x14ac:dyDescent="0.25">
      <c r="AR3066" s="11">
        <v>0.39000000000000018</v>
      </c>
      <c r="AS3066" s="7">
        <v>0.31176914536239791</v>
      </c>
    </row>
    <row r="3067" spans="44:45" x14ac:dyDescent="0.25">
      <c r="AR3067" s="11">
        <v>0.40000000000000019</v>
      </c>
      <c r="AS3067" s="7">
        <v>0.31176914536239791</v>
      </c>
    </row>
    <row r="3068" spans="44:45" x14ac:dyDescent="0.25">
      <c r="AR3068" s="11">
        <v>0.4100000000000002</v>
      </c>
      <c r="AS3068" s="7">
        <v>0.31176914536239791</v>
      </c>
    </row>
    <row r="3069" spans="44:45" x14ac:dyDescent="0.25">
      <c r="AR3069" s="11">
        <v>0.42000000000000021</v>
      </c>
      <c r="AS3069" s="7">
        <v>0.31176914536239791</v>
      </c>
    </row>
    <row r="3070" spans="44:45" x14ac:dyDescent="0.25">
      <c r="AR3070" s="11">
        <v>0.43000000000000022</v>
      </c>
      <c r="AS3070" s="7">
        <v>0.31176914536239791</v>
      </c>
    </row>
    <row r="3071" spans="44:45" x14ac:dyDescent="0.25">
      <c r="AR3071" s="11">
        <v>0.44000000000000022</v>
      </c>
      <c r="AS3071" s="7">
        <v>0.31176914536239791</v>
      </c>
    </row>
    <row r="3072" spans="44:45" x14ac:dyDescent="0.25">
      <c r="AR3072" s="11">
        <v>0.45000000000000023</v>
      </c>
      <c r="AS3072" s="7">
        <v>0.31176914536239791</v>
      </c>
    </row>
    <row r="3073" spans="44:45" x14ac:dyDescent="0.25">
      <c r="AR3073" s="11">
        <v>0.46000000000000024</v>
      </c>
      <c r="AS3073" s="7">
        <v>0.31176914536239791</v>
      </c>
    </row>
    <row r="3074" spans="44:45" x14ac:dyDescent="0.25">
      <c r="AR3074" s="11">
        <v>0.47000000000000025</v>
      </c>
      <c r="AS3074" s="7">
        <v>0.31176914536239791</v>
      </c>
    </row>
    <row r="3075" spans="44:45" x14ac:dyDescent="0.25">
      <c r="AR3075" s="11">
        <v>0.48000000000000026</v>
      </c>
      <c r="AS3075" s="7">
        <v>0.31176914536239791</v>
      </c>
    </row>
    <row r="3076" spans="44:45" x14ac:dyDescent="0.25">
      <c r="AR3076" s="11">
        <v>0.49000000000000027</v>
      </c>
      <c r="AS3076" s="7">
        <v>0.31176914536239791</v>
      </c>
    </row>
    <row r="3077" spans="44:45" x14ac:dyDescent="0.25">
      <c r="AR3077" s="11">
        <v>0.50000000000000022</v>
      </c>
      <c r="AS3077" s="7">
        <v>0.31176914536239791</v>
      </c>
    </row>
    <row r="3078" spans="44:45" x14ac:dyDescent="0.25">
      <c r="AR3078" s="11">
        <v>0.51000000000000023</v>
      </c>
      <c r="AS3078" s="7">
        <v>0.31176914536239791</v>
      </c>
    </row>
    <row r="3079" spans="44:45" x14ac:dyDescent="0.25">
      <c r="AR3079" s="11">
        <v>0.52000000000000024</v>
      </c>
      <c r="AS3079" s="7">
        <v>0.31176914536239791</v>
      </c>
    </row>
    <row r="3080" spans="44:45" x14ac:dyDescent="0.25">
      <c r="AR3080" s="11">
        <v>0.53000000000000025</v>
      </c>
      <c r="AS3080" s="7">
        <v>0.31176914536239791</v>
      </c>
    </row>
    <row r="3081" spans="44:45" x14ac:dyDescent="0.25">
      <c r="AR3081" s="11">
        <v>0.54000000000000026</v>
      </c>
      <c r="AS3081" s="7">
        <v>0.31176914536239791</v>
      </c>
    </row>
    <row r="3082" spans="44:45" x14ac:dyDescent="0.25">
      <c r="AR3082" s="11">
        <v>0.55000000000000027</v>
      </c>
      <c r="AS3082" s="7">
        <v>0.31176914536239791</v>
      </c>
    </row>
    <row r="3083" spans="44:45" x14ac:dyDescent="0.25">
      <c r="AR3083" s="11">
        <v>0.56000000000000028</v>
      </c>
      <c r="AS3083" s="7">
        <v>0.31176914536239791</v>
      </c>
    </row>
    <row r="3084" spans="44:45" x14ac:dyDescent="0.25">
      <c r="AR3084" s="11">
        <v>0.57000000000000028</v>
      </c>
      <c r="AS3084" s="7">
        <v>0.31176914536239791</v>
      </c>
    </row>
    <row r="3085" spans="44:45" x14ac:dyDescent="0.25">
      <c r="AR3085" s="11">
        <v>0.58000000000000029</v>
      </c>
      <c r="AS3085" s="7">
        <v>0.31176914536239791</v>
      </c>
    </row>
    <row r="3086" spans="44:45" x14ac:dyDescent="0.25">
      <c r="AR3086" s="11">
        <v>0.5900000000000003</v>
      </c>
      <c r="AS3086" s="7">
        <v>0.31176914536239791</v>
      </c>
    </row>
    <row r="3087" spans="44:45" x14ac:dyDescent="0.25">
      <c r="AR3087" s="11">
        <v>0.60000000000000031</v>
      </c>
      <c r="AS3087" s="7">
        <v>0.31176914536239791</v>
      </c>
    </row>
    <row r="3088" spans="44:45" x14ac:dyDescent="0.25">
      <c r="AR3088" s="11">
        <v>0.61000000000000032</v>
      </c>
      <c r="AS3088" s="7">
        <v>0.31176914536239791</v>
      </c>
    </row>
    <row r="3089" spans="44:45" x14ac:dyDescent="0.25">
      <c r="AR3089" s="11">
        <v>0.62000000000000033</v>
      </c>
      <c r="AS3089" s="7">
        <v>0.31176914536239791</v>
      </c>
    </row>
    <row r="3090" spans="44:45" x14ac:dyDescent="0.25">
      <c r="AR3090" s="11">
        <v>0.63000000000000034</v>
      </c>
      <c r="AS3090" s="7">
        <v>0.31176914536239791</v>
      </c>
    </row>
    <row r="3091" spans="44:45" x14ac:dyDescent="0.25">
      <c r="AR3091" s="11">
        <v>0.64000000000000035</v>
      </c>
      <c r="AS3091" s="7">
        <v>0.31176914536239791</v>
      </c>
    </row>
    <row r="3092" spans="44:45" x14ac:dyDescent="0.25">
      <c r="AR3092" s="11">
        <v>0.65000000000000036</v>
      </c>
      <c r="AS3092" s="7">
        <v>0.31176914536239791</v>
      </c>
    </row>
    <row r="3093" spans="44:45" x14ac:dyDescent="0.25">
      <c r="AR3093" s="11">
        <v>0.66000000000000036</v>
      </c>
      <c r="AS3093" s="7">
        <v>0.31176914536239791</v>
      </c>
    </row>
    <row r="3094" spans="44:45" x14ac:dyDescent="0.25">
      <c r="AR3094" s="11">
        <v>0.67000000000000037</v>
      </c>
      <c r="AS3094" s="7">
        <v>0.31176914536239791</v>
      </c>
    </row>
    <row r="3095" spans="44:45" x14ac:dyDescent="0.25">
      <c r="AR3095" s="11">
        <v>0.68000000000000038</v>
      </c>
      <c r="AS3095" s="7">
        <v>0.31176914536239791</v>
      </c>
    </row>
    <row r="3096" spans="44:45" x14ac:dyDescent="0.25">
      <c r="AR3096" s="11">
        <v>0.69000000000000039</v>
      </c>
      <c r="AS3096" s="7">
        <v>0.31176914536239791</v>
      </c>
    </row>
    <row r="3097" spans="44:45" x14ac:dyDescent="0.25">
      <c r="AR3097" s="11">
        <v>0.7000000000000004</v>
      </c>
      <c r="AS3097" s="7">
        <v>0.31176914536239791</v>
      </c>
    </row>
    <row r="3098" spans="44:45" x14ac:dyDescent="0.25">
      <c r="AR3098" s="11">
        <v>0.71000000000000041</v>
      </c>
      <c r="AS3098" s="7">
        <v>0.31176914536239791</v>
      </c>
    </row>
    <row r="3099" spans="44:45" x14ac:dyDescent="0.25">
      <c r="AR3099" s="11">
        <v>0.72000000000000042</v>
      </c>
      <c r="AS3099" s="7">
        <v>0.31176914536239791</v>
      </c>
    </row>
    <row r="3100" spans="44:45" x14ac:dyDescent="0.25">
      <c r="AR3100" s="11">
        <v>0.73000000000000043</v>
      </c>
      <c r="AS3100" s="7">
        <v>0.31176914536239791</v>
      </c>
    </row>
    <row r="3101" spans="44:45" x14ac:dyDescent="0.25">
      <c r="AR3101" s="11">
        <v>0.74000000000000044</v>
      </c>
      <c r="AS3101" s="7">
        <v>0.31176914536239791</v>
      </c>
    </row>
    <row r="3102" spans="44:45" x14ac:dyDescent="0.25">
      <c r="AR3102" s="11">
        <v>0.75000000000000044</v>
      </c>
      <c r="AS3102" s="7">
        <v>0.31176914536239791</v>
      </c>
    </row>
    <row r="3103" spans="44:45" x14ac:dyDescent="0.25">
      <c r="AR3103" s="11">
        <v>0.76000000000000045</v>
      </c>
      <c r="AS3103" s="7">
        <v>0.31176914536239791</v>
      </c>
    </row>
    <row r="3104" spans="44:45" x14ac:dyDescent="0.25">
      <c r="AR3104" s="11">
        <v>0.77000000000000046</v>
      </c>
      <c r="AS3104" s="7">
        <v>0.31176914536239791</v>
      </c>
    </row>
    <row r="3105" spans="44:45" x14ac:dyDescent="0.25">
      <c r="AR3105" s="11">
        <v>0.78000000000000047</v>
      </c>
      <c r="AS3105" s="7">
        <v>0.31176914536239791</v>
      </c>
    </row>
    <row r="3106" spans="44:45" x14ac:dyDescent="0.25">
      <c r="AR3106" s="11">
        <v>0.79000000000000048</v>
      </c>
      <c r="AS3106" s="7">
        <v>0.31176914536239791</v>
      </c>
    </row>
    <row r="3107" spans="44:45" x14ac:dyDescent="0.25">
      <c r="AR3107" s="11">
        <v>0.80000000000000049</v>
      </c>
      <c r="AS3107" s="7">
        <v>0.31176914536239791</v>
      </c>
    </row>
    <row r="3108" spans="44:45" x14ac:dyDescent="0.25">
      <c r="AR3108" s="11">
        <v>0.8100000000000005</v>
      </c>
      <c r="AS3108" s="7">
        <v>0.31176914536239791</v>
      </c>
    </row>
    <row r="3109" spans="44:45" x14ac:dyDescent="0.25">
      <c r="AR3109" s="11">
        <v>0.82000000000000051</v>
      </c>
      <c r="AS3109" s="7">
        <v>0.31176914536239791</v>
      </c>
    </row>
    <row r="3110" spans="44:45" x14ac:dyDescent="0.25">
      <c r="AR3110" s="11"/>
      <c r="AS3110" s="7"/>
    </row>
    <row r="3111" spans="44:45" x14ac:dyDescent="0.25">
      <c r="AR3111" s="11">
        <v>0.18500000000000003</v>
      </c>
      <c r="AS3111" s="7">
        <v>0.32042939940024229</v>
      </c>
    </row>
    <row r="3112" spans="44:45" x14ac:dyDescent="0.25">
      <c r="AR3112" s="11">
        <v>0.19500000000000003</v>
      </c>
      <c r="AS3112" s="7">
        <v>0.32042939940024229</v>
      </c>
    </row>
    <row r="3113" spans="44:45" x14ac:dyDescent="0.25">
      <c r="AR3113" s="11">
        <v>0.20500000000000004</v>
      </c>
      <c r="AS3113" s="7">
        <v>0.32042939940024229</v>
      </c>
    </row>
    <row r="3114" spans="44:45" x14ac:dyDescent="0.25">
      <c r="AR3114" s="11">
        <v>0.21500000000000005</v>
      </c>
      <c r="AS3114" s="7">
        <v>0.32042939940024229</v>
      </c>
    </row>
    <row r="3115" spans="44:45" x14ac:dyDescent="0.25">
      <c r="AR3115" s="11">
        <v>0.22500000000000006</v>
      </c>
      <c r="AS3115" s="7">
        <v>0.32042939940024229</v>
      </c>
    </row>
    <row r="3116" spans="44:45" x14ac:dyDescent="0.25">
      <c r="AR3116" s="11">
        <v>0.23500000000000007</v>
      </c>
      <c r="AS3116" s="7">
        <v>0.32042939940024229</v>
      </c>
    </row>
    <row r="3117" spans="44:45" x14ac:dyDescent="0.25">
      <c r="AR3117" s="11">
        <v>0.24500000000000008</v>
      </c>
      <c r="AS3117" s="7">
        <v>0.32042939940024229</v>
      </c>
    </row>
    <row r="3118" spans="44:45" x14ac:dyDescent="0.25">
      <c r="AR3118" s="11">
        <v>0.25500000000000006</v>
      </c>
      <c r="AS3118" s="7">
        <v>0.32042939940024229</v>
      </c>
    </row>
    <row r="3119" spans="44:45" x14ac:dyDescent="0.25">
      <c r="AR3119" s="11">
        <v>0.26500000000000007</v>
      </c>
      <c r="AS3119" s="7">
        <v>0.32042939940024229</v>
      </c>
    </row>
    <row r="3120" spans="44:45" x14ac:dyDescent="0.25">
      <c r="AR3120" s="11">
        <v>0.27500000000000008</v>
      </c>
      <c r="AS3120" s="7">
        <v>0.32042939940024229</v>
      </c>
    </row>
    <row r="3121" spans="44:45" x14ac:dyDescent="0.25">
      <c r="AR3121" s="11">
        <v>0.28500000000000009</v>
      </c>
      <c r="AS3121" s="7">
        <v>0.32042939940024229</v>
      </c>
    </row>
    <row r="3122" spans="44:45" x14ac:dyDescent="0.25">
      <c r="AR3122" s="11">
        <v>0.2950000000000001</v>
      </c>
      <c r="AS3122" s="7">
        <v>0.32042939940024229</v>
      </c>
    </row>
    <row r="3123" spans="44:45" x14ac:dyDescent="0.25">
      <c r="AR3123" s="11">
        <v>0.3050000000000001</v>
      </c>
      <c r="AS3123" s="7">
        <v>0.32042939940024229</v>
      </c>
    </row>
    <row r="3124" spans="44:45" x14ac:dyDescent="0.25">
      <c r="AR3124" s="11">
        <v>0.31500000000000011</v>
      </c>
      <c r="AS3124" s="7">
        <v>0.32042939940024229</v>
      </c>
    </row>
    <row r="3125" spans="44:45" x14ac:dyDescent="0.25">
      <c r="AR3125" s="11">
        <v>0.32500000000000012</v>
      </c>
      <c r="AS3125" s="7">
        <v>0.32042939940024229</v>
      </c>
    </row>
    <row r="3126" spans="44:45" x14ac:dyDescent="0.25">
      <c r="AR3126" s="11">
        <v>0.33500000000000013</v>
      </c>
      <c r="AS3126" s="7">
        <v>0.32042939940024229</v>
      </c>
    </row>
    <row r="3127" spans="44:45" x14ac:dyDescent="0.25">
      <c r="AR3127" s="11">
        <v>0.34500000000000014</v>
      </c>
      <c r="AS3127" s="7">
        <v>0.32042939940024229</v>
      </c>
    </row>
    <row r="3128" spans="44:45" x14ac:dyDescent="0.25">
      <c r="AR3128" s="11">
        <v>0.35500000000000015</v>
      </c>
      <c r="AS3128" s="7">
        <v>0.32042939940024229</v>
      </c>
    </row>
    <row r="3129" spans="44:45" x14ac:dyDescent="0.25">
      <c r="AR3129" s="11">
        <v>0.36500000000000016</v>
      </c>
      <c r="AS3129" s="7">
        <v>0.32042939940024229</v>
      </c>
    </row>
    <row r="3130" spans="44:45" x14ac:dyDescent="0.25">
      <c r="AR3130" s="11">
        <v>0.37500000000000017</v>
      </c>
      <c r="AS3130" s="7">
        <v>0.32042939940024229</v>
      </c>
    </row>
    <row r="3131" spans="44:45" x14ac:dyDescent="0.25">
      <c r="AR3131" s="11">
        <v>0.38500000000000018</v>
      </c>
      <c r="AS3131" s="7">
        <v>0.32042939940024229</v>
      </c>
    </row>
    <row r="3132" spans="44:45" x14ac:dyDescent="0.25">
      <c r="AR3132" s="11">
        <v>0.39500000000000018</v>
      </c>
      <c r="AS3132" s="7">
        <v>0.32042939940024229</v>
      </c>
    </row>
    <row r="3133" spans="44:45" x14ac:dyDescent="0.25">
      <c r="AR3133" s="11">
        <v>0.40500000000000019</v>
      </c>
      <c r="AS3133" s="7">
        <v>0.32042939940024229</v>
      </c>
    </row>
    <row r="3134" spans="44:45" x14ac:dyDescent="0.25">
      <c r="AR3134" s="11">
        <v>0.4150000000000002</v>
      </c>
      <c r="AS3134" s="7">
        <v>0.32042939940024229</v>
      </c>
    </row>
    <row r="3135" spans="44:45" x14ac:dyDescent="0.25">
      <c r="AR3135" s="11">
        <v>0.42500000000000021</v>
      </c>
      <c r="AS3135" s="7">
        <v>0.32042939940024229</v>
      </c>
    </row>
    <row r="3136" spans="44:45" x14ac:dyDescent="0.25">
      <c r="AR3136" s="11">
        <v>0.43500000000000022</v>
      </c>
      <c r="AS3136" s="7">
        <v>0.32042939940024229</v>
      </c>
    </row>
    <row r="3137" spans="44:45" x14ac:dyDescent="0.25">
      <c r="AR3137" s="11">
        <v>0.44500000000000023</v>
      </c>
      <c r="AS3137" s="7">
        <v>0.32042939940024229</v>
      </c>
    </row>
    <row r="3138" spans="44:45" x14ac:dyDescent="0.25">
      <c r="AR3138" s="11">
        <v>0.45500000000000024</v>
      </c>
      <c r="AS3138" s="7">
        <v>0.32042939940024229</v>
      </c>
    </row>
    <row r="3139" spans="44:45" x14ac:dyDescent="0.25">
      <c r="AR3139" s="11">
        <v>0.46500000000000025</v>
      </c>
      <c r="AS3139" s="7">
        <v>0.32042939940024229</v>
      </c>
    </row>
    <row r="3140" spans="44:45" x14ac:dyDescent="0.25">
      <c r="AR3140" s="11">
        <v>0.47500000000000026</v>
      </c>
      <c r="AS3140" s="7">
        <v>0.32042939940024229</v>
      </c>
    </row>
    <row r="3141" spans="44:45" x14ac:dyDescent="0.25">
      <c r="AR3141" s="11">
        <v>0.48500000000000026</v>
      </c>
      <c r="AS3141" s="7">
        <v>0.32042939940024229</v>
      </c>
    </row>
    <row r="3142" spans="44:45" x14ac:dyDescent="0.25">
      <c r="AR3142" s="11">
        <v>0.49500000000000027</v>
      </c>
      <c r="AS3142" s="7">
        <v>0.32042939940024229</v>
      </c>
    </row>
    <row r="3143" spans="44:45" x14ac:dyDescent="0.25">
      <c r="AR3143" s="11">
        <v>0.50500000000000023</v>
      </c>
      <c r="AS3143" s="7">
        <v>0.32042939940024229</v>
      </c>
    </row>
    <row r="3144" spans="44:45" x14ac:dyDescent="0.25">
      <c r="AR3144" s="11">
        <v>0.51500000000000024</v>
      </c>
      <c r="AS3144" s="7">
        <v>0.32042939940024229</v>
      </c>
    </row>
    <row r="3145" spans="44:45" x14ac:dyDescent="0.25">
      <c r="AR3145" s="11">
        <v>0.52500000000000024</v>
      </c>
      <c r="AS3145" s="7">
        <v>0.32042939940024229</v>
      </c>
    </row>
    <row r="3146" spans="44:45" x14ac:dyDescent="0.25">
      <c r="AR3146" s="11">
        <v>0.53500000000000025</v>
      </c>
      <c r="AS3146" s="7">
        <v>0.32042939940024229</v>
      </c>
    </row>
    <row r="3147" spans="44:45" x14ac:dyDescent="0.25">
      <c r="AR3147" s="11">
        <v>0.54500000000000026</v>
      </c>
      <c r="AS3147" s="7">
        <v>0.32042939940024229</v>
      </c>
    </row>
    <row r="3148" spans="44:45" x14ac:dyDescent="0.25">
      <c r="AR3148" s="11">
        <v>0.55500000000000027</v>
      </c>
      <c r="AS3148" s="7">
        <v>0.32042939940024229</v>
      </c>
    </row>
    <row r="3149" spans="44:45" x14ac:dyDescent="0.25">
      <c r="AR3149" s="11">
        <v>0.56500000000000028</v>
      </c>
      <c r="AS3149" s="7">
        <v>0.32042939940024229</v>
      </c>
    </row>
    <row r="3150" spans="44:45" x14ac:dyDescent="0.25">
      <c r="AR3150" s="11">
        <v>0.57500000000000029</v>
      </c>
      <c r="AS3150" s="7">
        <v>0.32042939940024229</v>
      </c>
    </row>
    <row r="3151" spans="44:45" x14ac:dyDescent="0.25">
      <c r="AR3151" s="11">
        <v>0.5850000000000003</v>
      </c>
      <c r="AS3151" s="7">
        <v>0.32042939940024229</v>
      </c>
    </row>
    <row r="3152" spans="44:45" x14ac:dyDescent="0.25">
      <c r="AR3152" s="11">
        <v>0.59500000000000031</v>
      </c>
      <c r="AS3152" s="7">
        <v>0.32042939940024229</v>
      </c>
    </row>
    <row r="3153" spans="44:45" x14ac:dyDescent="0.25">
      <c r="AR3153" s="11">
        <v>0.60500000000000032</v>
      </c>
      <c r="AS3153" s="7">
        <v>0.32042939940024229</v>
      </c>
    </row>
    <row r="3154" spans="44:45" x14ac:dyDescent="0.25">
      <c r="AR3154" s="11">
        <v>0.61500000000000032</v>
      </c>
      <c r="AS3154" s="7">
        <v>0.32042939940024229</v>
      </c>
    </row>
    <row r="3155" spans="44:45" x14ac:dyDescent="0.25">
      <c r="AR3155" s="11">
        <v>0.62500000000000033</v>
      </c>
      <c r="AS3155" s="7">
        <v>0.32042939940024229</v>
      </c>
    </row>
    <row r="3156" spans="44:45" x14ac:dyDescent="0.25">
      <c r="AR3156" s="11">
        <v>0.63500000000000034</v>
      </c>
      <c r="AS3156" s="7">
        <v>0.32042939940024229</v>
      </c>
    </row>
    <row r="3157" spans="44:45" x14ac:dyDescent="0.25">
      <c r="AR3157" s="11">
        <v>0.64500000000000035</v>
      </c>
      <c r="AS3157" s="7">
        <v>0.32042939940024229</v>
      </c>
    </row>
    <row r="3158" spans="44:45" x14ac:dyDescent="0.25">
      <c r="AR3158" s="11">
        <v>0.65500000000000036</v>
      </c>
      <c r="AS3158" s="7">
        <v>0.32042939940024229</v>
      </c>
    </row>
    <row r="3159" spans="44:45" x14ac:dyDescent="0.25">
      <c r="AR3159" s="11">
        <v>0.66500000000000037</v>
      </c>
      <c r="AS3159" s="7">
        <v>0.32042939940024229</v>
      </c>
    </row>
    <row r="3160" spans="44:45" x14ac:dyDescent="0.25">
      <c r="AR3160" s="11">
        <v>0.67500000000000038</v>
      </c>
      <c r="AS3160" s="7">
        <v>0.32042939940024229</v>
      </c>
    </row>
    <row r="3161" spans="44:45" x14ac:dyDescent="0.25">
      <c r="AR3161" s="11">
        <v>0.68500000000000039</v>
      </c>
      <c r="AS3161" s="7">
        <v>0.32042939940024229</v>
      </c>
    </row>
    <row r="3162" spans="44:45" x14ac:dyDescent="0.25">
      <c r="AR3162" s="11">
        <v>0.6950000000000004</v>
      </c>
      <c r="AS3162" s="7">
        <v>0.32042939940024229</v>
      </c>
    </row>
    <row r="3163" spans="44:45" x14ac:dyDescent="0.25">
      <c r="AR3163" s="11">
        <v>0.7050000000000004</v>
      </c>
      <c r="AS3163" s="7">
        <v>0.32042939940024229</v>
      </c>
    </row>
    <row r="3164" spans="44:45" x14ac:dyDescent="0.25">
      <c r="AR3164" s="11">
        <v>0.71500000000000041</v>
      </c>
      <c r="AS3164" s="7">
        <v>0.32042939940024229</v>
      </c>
    </row>
    <row r="3165" spans="44:45" x14ac:dyDescent="0.25">
      <c r="AR3165" s="11">
        <v>0.72500000000000042</v>
      </c>
      <c r="AS3165" s="7">
        <v>0.32042939940024229</v>
      </c>
    </row>
    <row r="3166" spans="44:45" x14ac:dyDescent="0.25">
      <c r="AR3166" s="11">
        <v>0.73500000000000043</v>
      </c>
      <c r="AS3166" s="7">
        <v>0.32042939940024229</v>
      </c>
    </row>
    <row r="3167" spans="44:45" x14ac:dyDescent="0.25">
      <c r="AR3167" s="11">
        <v>0.74500000000000044</v>
      </c>
      <c r="AS3167" s="7">
        <v>0.32042939940024229</v>
      </c>
    </row>
    <row r="3168" spans="44:45" x14ac:dyDescent="0.25">
      <c r="AR3168" s="11">
        <v>0.75500000000000045</v>
      </c>
      <c r="AS3168" s="7">
        <v>0.32042939940024229</v>
      </c>
    </row>
    <row r="3169" spans="44:45" x14ac:dyDescent="0.25">
      <c r="AR3169" s="11">
        <v>0.76500000000000046</v>
      </c>
      <c r="AS3169" s="7">
        <v>0.32042939940024229</v>
      </c>
    </row>
    <row r="3170" spans="44:45" x14ac:dyDescent="0.25">
      <c r="AR3170" s="11">
        <v>0.77500000000000047</v>
      </c>
      <c r="AS3170" s="7">
        <v>0.32042939940024229</v>
      </c>
    </row>
    <row r="3171" spans="44:45" x14ac:dyDescent="0.25">
      <c r="AR3171" s="11">
        <v>0.78500000000000048</v>
      </c>
      <c r="AS3171" s="7">
        <v>0.32042939940024229</v>
      </c>
    </row>
    <row r="3172" spans="44:45" x14ac:dyDescent="0.25">
      <c r="AR3172" s="11">
        <v>0.79500000000000048</v>
      </c>
      <c r="AS3172" s="7">
        <v>0.32042939940024229</v>
      </c>
    </row>
    <row r="3173" spans="44:45" x14ac:dyDescent="0.25">
      <c r="AR3173" s="11">
        <v>0.80500000000000049</v>
      </c>
      <c r="AS3173" s="7">
        <v>0.32042939940024229</v>
      </c>
    </row>
    <row r="3174" spans="44:45" x14ac:dyDescent="0.25">
      <c r="AR3174" s="11">
        <v>0.8150000000000005</v>
      </c>
      <c r="AS3174" s="7">
        <v>0.32042939940024229</v>
      </c>
    </row>
    <row r="3175" spans="44:45" x14ac:dyDescent="0.25">
      <c r="AR3175" s="11"/>
      <c r="AS3175" s="7"/>
    </row>
    <row r="3176" spans="44:45" x14ac:dyDescent="0.25">
      <c r="AR3176" s="11">
        <v>0.19000000000000003</v>
      </c>
      <c r="AS3176" s="7">
        <v>0.32908965343808672</v>
      </c>
    </row>
    <row r="3177" spans="44:45" x14ac:dyDescent="0.25">
      <c r="AR3177" s="11">
        <v>0.20000000000000004</v>
      </c>
      <c r="AS3177" s="7">
        <v>0.32908965343808672</v>
      </c>
    </row>
    <row r="3178" spans="44:45" x14ac:dyDescent="0.25">
      <c r="AR3178" s="11">
        <v>0.21000000000000005</v>
      </c>
      <c r="AS3178" s="7">
        <v>0.32908965343808672</v>
      </c>
    </row>
    <row r="3179" spans="44:45" x14ac:dyDescent="0.25">
      <c r="AR3179" s="11">
        <v>0.22000000000000006</v>
      </c>
      <c r="AS3179" s="7">
        <v>0.32908965343808672</v>
      </c>
    </row>
    <row r="3180" spans="44:45" x14ac:dyDescent="0.25">
      <c r="AR3180" s="11">
        <v>0.23000000000000007</v>
      </c>
      <c r="AS3180" s="7">
        <v>0.32908965343808672</v>
      </c>
    </row>
    <row r="3181" spans="44:45" x14ac:dyDescent="0.25">
      <c r="AR3181" s="11">
        <v>0.24000000000000007</v>
      </c>
      <c r="AS3181" s="7">
        <v>0.32908965343808672</v>
      </c>
    </row>
    <row r="3182" spans="44:45" x14ac:dyDescent="0.25">
      <c r="AR3182" s="11">
        <v>0.25000000000000006</v>
      </c>
      <c r="AS3182" s="7">
        <v>0.32908965343808672</v>
      </c>
    </row>
    <row r="3183" spans="44:45" x14ac:dyDescent="0.25">
      <c r="AR3183" s="11">
        <v>0.26000000000000006</v>
      </c>
      <c r="AS3183" s="7">
        <v>0.32908965343808672</v>
      </c>
    </row>
    <row r="3184" spans="44:45" x14ac:dyDescent="0.25">
      <c r="AR3184" s="11">
        <v>0.27000000000000007</v>
      </c>
      <c r="AS3184" s="7">
        <v>0.32908965343808672</v>
      </c>
    </row>
    <row r="3185" spans="44:45" x14ac:dyDescent="0.25">
      <c r="AR3185" s="11">
        <v>0.28000000000000008</v>
      </c>
      <c r="AS3185" s="7">
        <v>0.32908965343808672</v>
      </c>
    </row>
    <row r="3186" spans="44:45" x14ac:dyDescent="0.25">
      <c r="AR3186" s="11">
        <v>0.29000000000000009</v>
      </c>
      <c r="AS3186" s="7">
        <v>0.32908965343808672</v>
      </c>
    </row>
    <row r="3187" spans="44:45" x14ac:dyDescent="0.25">
      <c r="AR3187" s="11">
        <v>0.3000000000000001</v>
      </c>
      <c r="AS3187" s="7">
        <v>0.32908965343808672</v>
      </c>
    </row>
    <row r="3188" spans="44:45" x14ac:dyDescent="0.25">
      <c r="AR3188" s="11">
        <v>0.31000000000000011</v>
      </c>
      <c r="AS3188" s="7">
        <v>0.32908965343808672</v>
      </c>
    </row>
    <row r="3189" spans="44:45" x14ac:dyDescent="0.25">
      <c r="AR3189" s="11">
        <v>0.32000000000000012</v>
      </c>
      <c r="AS3189" s="7">
        <v>0.32908965343808672</v>
      </c>
    </row>
    <row r="3190" spans="44:45" x14ac:dyDescent="0.25">
      <c r="AR3190" s="11">
        <v>0.33000000000000013</v>
      </c>
      <c r="AS3190" s="7">
        <v>0.32908965343808672</v>
      </c>
    </row>
    <row r="3191" spans="44:45" x14ac:dyDescent="0.25">
      <c r="AR3191" s="11">
        <v>0.34000000000000014</v>
      </c>
      <c r="AS3191" s="7">
        <v>0.32908965343808672</v>
      </c>
    </row>
    <row r="3192" spans="44:45" x14ac:dyDescent="0.25">
      <c r="AR3192" s="11">
        <v>0.35000000000000014</v>
      </c>
      <c r="AS3192" s="7">
        <v>0.32908965343808672</v>
      </c>
    </row>
    <row r="3193" spans="44:45" x14ac:dyDescent="0.25">
      <c r="AR3193" s="11">
        <v>0.36000000000000015</v>
      </c>
      <c r="AS3193" s="7">
        <v>0.32908965343808672</v>
      </c>
    </row>
    <row r="3194" spans="44:45" x14ac:dyDescent="0.25">
      <c r="AR3194" s="11">
        <v>0.37000000000000016</v>
      </c>
      <c r="AS3194" s="7">
        <v>0.32908965343808672</v>
      </c>
    </row>
    <row r="3195" spans="44:45" x14ac:dyDescent="0.25">
      <c r="AR3195" s="11">
        <v>0.38000000000000017</v>
      </c>
      <c r="AS3195" s="7">
        <v>0.32908965343808672</v>
      </c>
    </row>
    <row r="3196" spans="44:45" x14ac:dyDescent="0.25">
      <c r="AR3196" s="11">
        <v>0.39000000000000018</v>
      </c>
      <c r="AS3196" s="7">
        <v>0.32908965343808672</v>
      </c>
    </row>
    <row r="3197" spans="44:45" x14ac:dyDescent="0.25">
      <c r="AR3197" s="11">
        <v>0.40000000000000019</v>
      </c>
      <c r="AS3197" s="7">
        <v>0.32908965343808672</v>
      </c>
    </row>
    <row r="3198" spans="44:45" x14ac:dyDescent="0.25">
      <c r="AR3198" s="11">
        <v>0.4100000000000002</v>
      </c>
      <c r="AS3198" s="7">
        <v>0.32908965343808672</v>
      </c>
    </row>
    <row r="3199" spans="44:45" x14ac:dyDescent="0.25">
      <c r="AR3199" s="11">
        <v>0.42000000000000021</v>
      </c>
      <c r="AS3199" s="7">
        <v>0.32908965343808672</v>
      </c>
    </row>
    <row r="3200" spans="44:45" x14ac:dyDescent="0.25">
      <c r="AR3200" s="11">
        <v>0.43000000000000022</v>
      </c>
      <c r="AS3200" s="7">
        <v>0.32908965343808672</v>
      </c>
    </row>
    <row r="3201" spans="44:45" x14ac:dyDescent="0.25">
      <c r="AR3201" s="11">
        <v>0.44000000000000022</v>
      </c>
      <c r="AS3201" s="7">
        <v>0.32908965343808672</v>
      </c>
    </row>
    <row r="3202" spans="44:45" x14ac:dyDescent="0.25">
      <c r="AR3202" s="11">
        <v>0.45000000000000023</v>
      </c>
      <c r="AS3202" s="7">
        <v>0.32908965343808672</v>
      </c>
    </row>
    <row r="3203" spans="44:45" x14ac:dyDescent="0.25">
      <c r="AR3203" s="11">
        <v>0.46000000000000024</v>
      </c>
      <c r="AS3203" s="7">
        <v>0.32908965343808672</v>
      </c>
    </row>
    <row r="3204" spans="44:45" x14ac:dyDescent="0.25">
      <c r="AR3204" s="11">
        <v>0.47000000000000025</v>
      </c>
      <c r="AS3204" s="7">
        <v>0.32908965343808672</v>
      </c>
    </row>
    <row r="3205" spans="44:45" x14ac:dyDescent="0.25">
      <c r="AR3205" s="11">
        <v>0.48000000000000026</v>
      </c>
      <c r="AS3205" s="7">
        <v>0.32908965343808672</v>
      </c>
    </row>
    <row r="3206" spans="44:45" x14ac:dyDescent="0.25">
      <c r="AR3206" s="11">
        <v>0.49000000000000027</v>
      </c>
      <c r="AS3206" s="7">
        <v>0.32908965343808672</v>
      </c>
    </row>
    <row r="3207" spans="44:45" x14ac:dyDescent="0.25">
      <c r="AR3207" s="11">
        <v>0.50000000000000022</v>
      </c>
      <c r="AS3207" s="7">
        <v>0.32908965343808672</v>
      </c>
    </row>
    <row r="3208" spans="44:45" x14ac:dyDescent="0.25">
      <c r="AR3208" s="11">
        <v>0.51000000000000023</v>
      </c>
      <c r="AS3208" s="7">
        <v>0.32908965343808672</v>
      </c>
    </row>
    <row r="3209" spans="44:45" x14ac:dyDescent="0.25">
      <c r="AR3209" s="11">
        <v>0.52000000000000024</v>
      </c>
      <c r="AS3209" s="7">
        <v>0.32908965343808672</v>
      </c>
    </row>
    <row r="3210" spans="44:45" x14ac:dyDescent="0.25">
      <c r="AR3210" s="11">
        <v>0.53000000000000025</v>
      </c>
      <c r="AS3210" s="7">
        <v>0.32908965343808672</v>
      </c>
    </row>
    <row r="3211" spans="44:45" x14ac:dyDescent="0.25">
      <c r="AR3211" s="11">
        <v>0.54000000000000026</v>
      </c>
      <c r="AS3211" s="7">
        <v>0.32908965343808672</v>
      </c>
    </row>
    <row r="3212" spans="44:45" x14ac:dyDescent="0.25">
      <c r="AR3212" s="11">
        <v>0.55000000000000027</v>
      </c>
      <c r="AS3212" s="7">
        <v>0.32908965343808672</v>
      </c>
    </row>
    <row r="3213" spans="44:45" x14ac:dyDescent="0.25">
      <c r="AR3213" s="11">
        <v>0.56000000000000028</v>
      </c>
      <c r="AS3213" s="7">
        <v>0.32908965343808672</v>
      </c>
    </row>
    <row r="3214" spans="44:45" x14ac:dyDescent="0.25">
      <c r="AR3214" s="11">
        <v>0.57000000000000028</v>
      </c>
      <c r="AS3214" s="7">
        <v>0.32908965343808672</v>
      </c>
    </row>
    <row r="3215" spans="44:45" x14ac:dyDescent="0.25">
      <c r="AR3215" s="11">
        <v>0.58000000000000029</v>
      </c>
      <c r="AS3215" s="7">
        <v>0.32908965343808672</v>
      </c>
    </row>
    <row r="3216" spans="44:45" x14ac:dyDescent="0.25">
      <c r="AR3216" s="11">
        <v>0.5900000000000003</v>
      </c>
      <c r="AS3216" s="7">
        <v>0.32908965343808672</v>
      </c>
    </row>
    <row r="3217" spans="44:45" x14ac:dyDescent="0.25">
      <c r="AR3217" s="11">
        <v>0.60000000000000031</v>
      </c>
      <c r="AS3217" s="7">
        <v>0.32908965343808672</v>
      </c>
    </row>
    <row r="3218" spans="44:45" x14ac:dyDescent="0.25">
      <c r="AR3218" s="11">
        <v>0.61000000000000032</v>
      </c>
      <c r="AS3218" s="7">
        <v>0.32908965343808672</v>
      </c>
    </row>
    <row r="3219" spans="44:45" x14ac:dyDescent="0.25">
      <c r="AR3219" s="11">
        <v>0.62000000000000033</v>
      </c>
      <c r="AS3219" s="7">
        <v>0.32908965343808672</v>
      </c>
    </row>
    <row r="3220" spans="44:45" x14ac:dyDescent="0.25">
      <c r="AR3220" s="11">
        <v>0.63000000000000034</v>
      </c>
      <c r="AS3220" s="7">
        <v>0.32908965343808672</v>
      </c>
    </row>
    <row r="3221" spans="44:45" x14ac:dyDescent="0.25">
      <c r="AR3221" s="11">
        <v>0.64000000000000035</v>
      </c>
      <c r="AS3221" s="7">
        <v>0.32908965343808672</v>
      </c>
    </row>
    <row r="3222" spans="44:45" x14ac:dyDescent="0.25">
      <c r="AR3222" s="11">
        <v>0.65000000000000036</v>
      </c>
      <c r="AS3222" s="7">
        <v>0.32908965343808672</v>
      </c>
    </row>
    <row r="3223" spans="44:45" x14ac:dyDescent="0.25">
      <c r="AR3223" s="11">
        <v>0.66000000000000036</v>
      </c>
      <c r="AS3223" s="7">
        <v>0.32908965343808672</v>
      </c>
    </row>
    <row r="3224" spans="44:45" x14ac:dyDescent="0.25">
      <c r="AR3224" s="11">
        <v>0.67000000000000037</v>
      </c>
      <c r="AS3224" s="7">
        <v>0.32908965343808672</v>
      </c>
    </row>
    <row r="3225" spans="44:45" x14ac:dyDescent="0.25">
      <c r="AR3225" s="11">
        <v>0.68000000000000038</v>
      </c>
      <c r="AS3225" s="7">
        <v>0.32908965343808672</v>
      </c>
    </row>
    <row r="3226" spans="44:45" x14ac:dyDescent="0.25">
      <c r="AR3226" s="11">
        <v>0.69000000000000039</v>
      </c>
      <c r="AS3226" s="7">
        <v>0.32908965343808672</v>
      </c>
    </row>
    <row r="3227" spans="44:45" x14ac:dyDescent="0.25">
      <c r="AR3227" s="11">
        <v>0.7000000000000004</v>
      </c>
      <c r="AS3227" s="7">
        <v>0.32908965343808672</v>
      </c>
    </row>
    <row r="3228" spans="44:45" x14ac:dyDescent="0.25">
      <c r="AR3228" s="11">
        <v>0.71000000000000041</v>
      </c>
      <c r="AS3228" s="7">
        <v>0.32908965343808672</v>
      </c>
    </row>
    <row r="3229" spans="44:45" x14ac:dyDescent="0.25">
      <c r="AR3229" s="11">
        <v>0.72000000000000042</v>
      </c>
      <c r="AS3229" s="7">
        <v>0.32908965343808672</v>
      </c>
    </row>
    <row r="3230" spans="44:45" x14ac:dyDescent="0.25">
      <c r="AR3230" s="11">
        <v>0.73000000000000043</v>
      </c>
      <c r="AS3230" s="7">
        <v>0.32908965343808672</v>
      </c>
    </row>
    <row r="3231" spans="44:45" x14ac:dyDescent="0.25">
      <c r="AR3231" s="11">
        <v>0.74000000000000044</v>
      </c>
      <c r="AS3231" s="7">
        <v>0.32908965343808672</v>
      </c>
    </row>
    <row r="3232" spans="44:45" x14ac:dyDescent="0.25">
      <c r="AR3232" s="11">
        <v>0.75000000000000044</v>
      </c>
      <c r="AS3232" s="7">
        <v>0.32908965343808672</v>
      </c>
    </row>
    <row r="3233" spans="44:45" x14ac:dyDescent="0.25">
      <c r="AR3233" s="11">
        <v>0.76000000000000045</v>
      </c>
      <c r="AS3233" s="7">
        <v>0.32908965343808672</v>
      </c>
    </row>
    <row r="3234" spans="44:45" x14ac:dyDescent="0.25">
      <c r="AR3234" s="11">
        <v>0.77000000000000046</v>
      </c>
      <c r="AS3234" s="7">
        <v>0.32908965343808672</v>
      </c>
    </row>
    <row r="3235" spans="44:45" x14ac:dyDescent="0.25">
      <c r="AR3235" s="11">
        <v>0.78000000000000047</v>
      </c>
      <c r="AS3235" s="7">
        <v>0.32908965343808672</v>
      </c>
    </row>
    <row r="3236" spans="44:45" x14ac:dyDescent="0.25">
      <c r="AR3236" s="11">
        <v>0.79000000000000048</v>
      </c>
      <c r="AS3236" s="7">
        <v>0.32908965343808672</v>
      </c>
    </row>
    <row r="3237" spans="44:45" x14ac:dyDescent="0.25">
      <c r="AR3237" s="11">
        <v>0.80000000000000049</v>
      </c>
      <c r="AS3237" s="7">
        <v>0.32908965343808672</v>
      </c>
    </row>
    <row r="3238" spans="44:45" x14ac:dyDescent="0.25">
      <c r="AR3238" s="11">
        <v>0.8100000000000005</v>
      </c>
      <c r="AS3238" s="7">
        <v>0.32908965343808672</v>
      </c>
    </row>
    <row r="3239" spans="44:45" x14ac:dyDescent="0.25">
      <c r="AR3239" s="11"/>
      <c r="AS3239" s="7"/>
    </row>
    <row r="3240" spans="44:45" x14ac:dyDescent="0.25">
      <c r="AR3240" s="11">
        <v>0.19500000000000003</v>
      </c>
      <c r="AS3240" s="7">
        <v>0.33774990747593109</v>
      </c>
    </row>
    <row r="3241" spans="44:45" x14ac:dyDescent="0.25">
      <c r="AR3241" s="11">
        <v>0.20500000000000004</v>
      </c>
      <c r="AS3241" s="7">
        <v>0.33774990747593109</v>
      </c>
    </row>
    <row r="3242" spans="44:45" x14ac:dyDescent="0.25">
      <c r="AR3242" s="11">
        <v>0.21500000000000005</v>
      </c>
      <c r="AS3242" s="7">
        <v>0.33774990747593109</v>
      </c>
    </row>
    <row r="3243" spans="44:45" x14ac:dyDescent="0.25">
      <c r="AR3243" s="11">
        <v>0.22500000000000006</v>
      </c>
      <c r="AS3243" s="7">
        <v>0.33774990747593109</v>
      </c>
    </row>
    <row r="3244" spans="44:45" x14ac:dyDescent="0.25">
      <c r="AR3244" s="11">
        <v>0.23500000000000007</v>
      </c>
      <c r="AS3244" s="7">
        <v>0.33774990747593109</v>
      </c>
    </row>
    <row r="3245" spans="44:45" x14ac:dyDescent="0.25">
      <c r="AR3245" s="11">
        <v>0.24500000000000008</v>
      </c>
      <c r="AS3245" s="7">
        <v>0.33774990747593109</v>
      </c>
    </row>
    <row r="3246" spans="44:45" x14ac:dyDescent="0.25">
      <c r="AR3246" s="11">
        <v>0.25500000000000006</v>
      </c>
      <c r="AS3246" s="7">
        <v>0.33774990747593109</v>
      </c>
    </row>
    <row r="3247" spans="44:45" x14ac:dyDescent="0.25">
      <c r="AR3247" s="11">
        <v>0.26500000000000007</v>
      </c>
      <c r="AS3247" s="7">
        <v>0.33774990747593109</v>
      </c>
    </row>
    <row r="3248" spans="44:45" x14ac:dyDescent="0.25">
      <c r="AR3248" s="11">
        <v>0.27500000000000008</v>
      </c>
      <c r="AS3248" s="7">
        <v>0.33774990747593109</v>
      </c>
    </row>
    <row r="3249" spans="44:45" x14ac:dyDescent="0.25">
      <c r="AR3249" s="11">
        <v>0.28500000000000009</v>
      </c>
      <c r="AS3249" s="7">
        <v>0.33774990747593109</v>
      </c>
    </row>
    <row r="3250" spans="44:45" x14ac:dyDescent="0.25">
      <c r="AR3250" s="11">
        <v>0.2950000000000001</v>
      </c>
      <c r="AS3250" s="7">
        <v>0.33774990747593109</v>
      </c>
    </row>
    <row r="3251" spans="44:45" x14ac:dyDescent="0.25">
      <c r="AR3251" s="11">
        <v>0.3050000000000001</v>
      </c>
      <c r="AS3251" s="7">
        <v>0.33774990747593109</v>
      </c>
    </row>
    <row r="3252" spans="44:45" x14ac:dyDescent="0.25">
      <c r="AR3252" s="11">
        <v>0.31500000000000011</v>
      </c>
      <c r="AS3252" s="7">
        <v>0.33774990747593109</v>
      </c>
    </row>
    <row r="3253" spans="44:45" x14ac:dyDescent="0.25">
      <c r="AR3253" s="11">
        <v>0.32500000000000012</v>
      </c>
      <c r="AS3253" s="7">
        <v>0.33774990747593109</v>
      </c>
    </row>
    <row r="3254" spans="44:45" x14ac:dyDescent="0.25">
      <c r="AR3254" s="11">
        <v>0.33500000000000013</v>
      </c>
      <c r="AS3254" s="7">
        <v>0.33774990747593109</v>
      </c>
    </row>
    <row r="3255" spans="44:45" x14ac:dyDescent="0.25">
      <c r="AR3255" s="11">
        <v>0.34500000000000014</v>
      </c>
      <c r="AS3255" s="7">
        <v>0.33774990747593109</v>
      </c>
    </row>
    <row r="3256" spans="44:45" x14ac:dyDescent="0.25">
      <c r="AR3256" s="11">
        <v>0.35500000000000015</v>
      </c>
      <c r="AS3256" s="7">
        <v>0.33774990747593109</v>
      </c>
    </row>
    <row r="3257" spans="44:45" x14ac:dyDescent="0.25">
      <c r="AR3257" s="11">
        <v>0.36500000000000016</v>
      </c>
      <c r="AS3257" s="7">
        <v>0.33774990747593109</v>
      </c>
    </row>
    <row r="3258" spans="44:45" x14ac:dyDescent="0.25">
      <c r="AR3258" s="11">
        <v>0.37500000000000017</v>
      </c>
      <c r="AS3258" s="7">
        <v>0.33774990747593109</v>
      </c>
    </row>
    <row r="3259" spans="44:45" x14ac:dyDescent="0.25">
      <c r="AR3259" s="11">
        <v>0.38500000000000018</v>
      </c>
      <c r="AS3259" s="7">
        <v>0.33774990747593109</v>
      </c>
    </row>
    <row r="3260" spans="44:45" x14ac:dyDescent="0.25">
      <c r="AR3260" s="11">
        <v>0.39500000000000018</v>
      </c>
      <c r="AS3260" s="7">
        <v>0.33774990747593109</v>
      </c>
    </row>
    <row r="3261" spans="44:45" x14ac:dyDescent="0.25">
      <c r="AR3261" s="11">
        <v>0.40500000000000019</v>
      </c>
      <c r="AS3261" s="7">
        <v>0.33774990747593109</v>
      </c>
    </row>
    <row r="3262" spans="44:45" x14ac:dyDescent="0.25">
      <c r="AR3262" s="11">
        <v>0.4150000000000002</v>
      </c>
      <c r="AS3262" s="7">
        <v>0.33774990747593109</v>
      </c>
    </row>
    <row r="3263" spans="44:45" x14ac:dyDescent="0.25">
      <c r="AR3263" s="11">
        <v>0.42500000000000021</v>
      </c>
      <c r="AS3263" s="7">
        <v>0.33774990747593109</v>
      </c>
    </row>
    <row r="3264" spans="44:45" x14ac:dyDescent="0.25">
      <c r="AR3264" s="11">
        <v>0.43500000000000022</v>
      </c>
      <c r="AS3264" s="7">
        <v>0.33774990747593109</v>
      </c>
    </row>
    <row r="3265" spans="44:45" x14ac:dyDescent="0.25">
      <c r="AR3265" s="11">
        <v>0.44500000000000023</v>
      </c>
      <c r="AS3265" s="7">
        <v>0.33774990747593109</v>
      </c>
    </row>
    <row r="3266" spans="44:45" x14ac:dyDescent="0.25">
      <c r="AR3266" s="11">
        <v>0.45500000000000024</v>
      </c>
      <c r="AS3266" s="7">
        <v>0.33774990747593109</v>
      </c>
    </row>
    <row r="3267" spans="44:45" x14ac:dyDescent="0.25">
      <c r="AR3267" s="11">
        <v>0.46500000000000025</v>
      </c>
      <c r="AS3267" s="7">
        <v>0.33774990747593109</v>
      </c>
    </row>
    <row r="3268" spans="44:45" x14ac:dyDescent="0.25">
      <c r="AR3268" s="11">
        <v>0.47500000000000026</v>
      </c>
      <c r="AS3268" s="7">
        <v>0.33774990747593109</v>
      </c>
    </row>
    <row r="3269" spans="44:45" x14ac:dyDescent="0.25">
      <c r="AR3269" s="11">
        <v>0.48500000000000026</v>
      </c>
      <c r="AS3269" s="7">
        <v>0.33774990747593109</v>
      </c>
    </row>
    <row r="3270" spans="44:45" x14ac:dyDescent="0.25">
      <c r="AR3270" s="11">
        <v>0.49500000000000027</v>
      </c>
      <c r="AS3270" s="7">
        <v>0.33774990747593109</v>
      </c>
    </row>
    <row r="3271" spans="44:45" x14ac:dyDescent="0.25">
      <c r="AR3271" s="11">
        <v>0.50500000000000023</v>
      </c>
      <c r="AS3271" s="7">
        <v>0.33774990747593109</v>
      </c>
    </row>
    <row r="3272" spans="44:45" x14ac:dyDescent="0.25">
      <c r="AR3272" s="11">
        <v>0.51500000000000024</v>
      </c>
      <c r="AS3272" s="7">
        <v>0.33774990747593109</v>
      </c>
    </row>
    <row r="3273" spans="44:45" x14ac:dyDescent="0.25">
      <c r="AR3273" s="11">
        <v>0.52500000000000024</v>
      </c>
      <c r="AS3273" s="7">
        <v>0.33774990747593109</v>
      </c>
    </row>
    <row r="3274" spans="44:45" x14ac:dyDescent="0.25">
      <c r="AR3274" s="11">
        <v>0.53500000000000025</v>
      </c>
      <c r="AS3274" s="7">
        <v>0.33774990747593109</v>
      </c>
    </row>
    <row r="3275" spans="44:45" x14ac:dyDescent="0.25">
      <c r="AR3275" s="11">
        <v>0.54500000000000026</v>
      </c>
      <c r="AS3275" s="7">
        <v>0.33774990747593109</v>
      </c>
    </row>
    <row r="3276" spans="44:45" x14ac:dyDescent="0.25">
      <c r="AR3276" s="11">
        <v>0.55500000000000027</v>
      </c>
      <c r="AS3276" s="7">
        <v>0.33774990747593109</v>
      </c>
    </row>
    <row r="3277" spans="44:45" x14ac:dyDescent="0.25">
      <c r="AR3277" s="11">
        <v>0.56500000000000028</v>
      </c>
      <c r="AS3277" s="7">
        <v>0.33774990747593109</v>
      </c>
    </row>
    <row r="3278" spans="44:45" x14ac:dyDescent="0.25">
      <c r="AR3278" s="11">
        <v>0.57500000000000029</v>
      </c>
      <c r="AS3278" s="7">
        <v>0.33774990747593109</v>
      </c>
    </row>
    <row r="3279" spans="44:45" x14ac:dyDescent="0.25">
      <c r="AR3279" s="11">
        <v>0.5850000000000003</v>
      </c>
      <c r="AS3279" s="7">
        <v>0.33774990747593109</v>
      </c>
    </row>
    <row r="3280" spans="44:45" x14ac:dyDescent="0.25">
      <c r="AR3280" s="11">
        <v>0.59500000000000031</v>
      </c>
      <c r="AS3280" s="7">
        <v>0.33774990747593109</v>
      </c>
    </row>
    <row r="3281" spans="44:45" x14ac:dyDescent="0.25">
      <c r="AR3281" s="11">
        <v>0.60500000000000032</v>
      </c>
      <c r="AS3281" s="7">
        <v>0.33774990747593109</v>
      </c>
    </row>
    <row r="3282" spans="44:45" x14ac:dyDescent="0.25">
      <c r="AR3282" s="11">
        <v>0.61500000000000032</v>
      </c>
      <c r="AS3282" s="7">
        <v>0.33774990747593109</v>
      </c>
    </row>
    <row r="3283" spans="44:45" x14ac:dyDescent="0.25">
      <c r="AR3283" s="11">
        <v>0.62500000000000033</v>
      </c>
      <c r="AS3283" s="7">
        <v>0.33774990747593109</v>
      </c>
    </row>
    <row r="3284" spans="44:45" x14ac:dyDescent="0.25">
      <c r="AR3284" s="11">
        <v>0.63500000000000034</v>
      </c>
      <c r="AS3284" s="7">
        <v>0.33774990747593109</v>
      </c>
    </row>
    <row r="3285" spans="44:45" x14ac:dyDescent="0.25">
      <c r="AR3285" s="11">
        <v>0.64500000000000035</v>
      </c>
      <c r="AS3285" s="7">
        <v>0.33774990747593109</v>
      </c>
    </row>
    <row r="3286" spans="44:45" x14ac:dyDescent="0.25">
      <c r="AR3286" s="11">
        <v>0.65500000000000036</v>
      </c>
      <c r="AS3286" s="7">
        <v>0.33774990747593109</v>
      </c>
    </row>
    <row r="3287" spans="44:45" x14ac:dyDescent="0.25">
      <c r="AR3287" s="11">
        <v>0.66500000000000037</v>
      </c>
      <c r="AS3287" s="7">
        <v>0.33774990747593109</v>
      </c>
    </row>
    <row r="3288" spans="44:45" x14ac:dyDescent="0.25">
      <c r="AR3288" s="11">
        <v>0.67500000000000038</v>
      </c>
      <c r="AS3288" s="7">
        <v>0.33774990747593109</v>
      </c>
    </row>
    <row r="3289" spans="44:45" x14ac:dyDescent="0.25">
      <c r="AR3289" s="11">
        <v>0.68500000000000039</v>
      </c>
      <c r="AS3289" s="7">
        <v>0.33774990747593109</v>
      </c>
    </row>
    <row r="3290" spans="44:45" x14ac:dyDescent="0.25">
      <c r="AR3290" s="11">
        <v>0.6950000000000004</v>
      </c>
      <c r="AS3290" s="7">
        <v>0.33774990747593109</v>
      </c>
    </row>
    <row r="3291" spans="44:45" x14ac:dyDescent="0.25">
      <c r="AR3291" s="11">
        <v>0.7050000000000004</v>
      </c>
      <c r="AS3291" s="7">
        <v>0.33774990747593109</v>
      </c>
    </row>
    <row r="3292" spans="44:45" x14ac:dyDescent="0.25">
      <c r="AR3292" s="11">
        <v>0.71500000000000041</v>
      </c>
      <c r="AS3292" s="7">
        <v>0.33774990747593109</v>
      </c>
    </row>
    <row r="3293" spans="44:45" x14ac:dyDescent="0.25">
      <c r="AR3293" s="11">
        <v>0.72500000000000042</v>
      </c>
      <c r="AS3293" s="7">
        <v>0.33774990747593109</v>
      </c>
    </row>
    <row r="3294" spans="44:45" x14ac:dyDescent="0.25">
      <c r="AR3294" s="11">
        <v>0.73500000000000043</v>
      </c>
      <c r="AS3294" s="7">
        <v>0.33774990747593109</v>
      </c>
    </row>
    <row r="3295" spans="44:45" x14ac:dyDescent="0.25">
      <c r="AR3295" s="11">
        <v>0.74500000000000044</v>
      </c>
      <c r="AS3295" s="7">
        <v>0.33774990747593109</v>
      </c>
    </row>
    <row r="3296" spans="44:45" x14ac:dyDescent="0.25">
      <c r="AR3296" s="11">
        <v>0.75500000000000045</v>
      </c>
      <c r="AS3296" s="7">
        <v>0.33774990747593109</v>
      </c>
    </row>
    <row r="3297" spans="44:45" x14ac:dyDescent="0.25">
      <c r="AR3297" s="11">
        <v>0.76500000000000046</v>
      </c>
      <c r="AS3297" s="7">
        <v>0.33774990747593109</v>
      </c>
    </row>
    <row r="3298" spans="44:45" x14ac:dyDescent="0.25">
      <c r="AR3298" s="11">
        <v>0.77500000000000047</v>
      </c>
      <c r="AS3298" s="7">
        <v>0.33774990747593109</v>
      </c>
    </row>
    <row r="3299" spans="44:45" x14ac:dyDescent="0.25">
      <c r="AR3299" s="11">
        <v>0.78500000000000048</v>
      </c>
      <c r="AS3299" s="7">
        <v>0.33774990747593109</v>
      </c>
    </row>
    <row r="3300" spans="44:45" x14ac:dyDescent="0.25">
      <c r="AR3300" s="11">
        <v>0.79500000000000048</v>
      </c>
      <c r="AS3300" s="7">
        <v>0.33774990747593109</v>
      </c>
    </row>
    <row r="3301" spans="44:45" x14ac:dyDescent="0.25">
      <c r="AR3301" s="11">
        <v>0.80500000000000049</v>
      </c>
      <c r="AS3301" s="7">
        <v>0.33774990747593109</v>
      </c>
    </row>
    <row r="3302" spans="44:45" x14ac:dyDescent="0.25">
      <c r="AR3302" s="11"/>
      <c r="AS3302" s="7"/>
    </row>
    <row r="3303" spans="44:45" x14ac:dyDescent="0.25">
      <c r="AR3303" s="11">
        <v>0.20000000000000004</v>
      </c>
      <c r="AS3303" s="7">
        <v>0.34641016151377552</v>
      </c>
    </row>
    <row r="3304" spans="44:45" x14ac:dyDescent="0.25">
      <c r="AR3304" s="11">
        <v>0.21000000000000005</v>
      </c>
      <c r="AS3304" s="7">
        <v>0.34641016151377552</v>
      </c>
    </row>
    <row r="3305" spans="44:45" x14ac:dyDescent="0.25">
      <c r="AR3305" s="11">
        <v>0.22000000000000006</v>
      </c>
      <c r="AS3305" s="7">
        <v>0.34641016151377552</v>
      </c>
    </row>
    <row r="3306" spans="44:45" x14ac:dyDescent="0.25">
      <c r="AR3306" s="11">
        <v>0.23000000000000007</v>
      </c>
      <c r="AS3306" s="7">
        <v>0.34641016151377552</v>
      </c>
    </row>
    <row r="3307" spans="44:45" x14ac:dyDescent="0.25">
      <c r="AR3307" s="11">
        <v>0.24000000000000007</v>
      </c>
      <c r="AS3307" s="7">
        <v>0.34641016151377552</v>
      </c>
    </row>
    <row r="3308" spans="44:45" x14ac:dyDescent="0.25">
      <c r="AR3308" s="11">
        <v>0.25000000000000006</v>
      </c>
      <c r="AS3308" s="7">
        <v>0.34641016151377552</v>
      </c>
    </row>
    <row r="3309" spans="44:45" x14ac:dyDescent="0.25">
      <c r="AR3309" s="11">
        <v>0.26000000000000006</v>
      </c>
      <c r="AS3309" s="7">
        <v>0.34641016151377552</v>
      </c>
    </row>
    <row r="3310" spans="44:45" x14ac:dyDescent="0.25">
      <c r="AR3310" s="11">
        <v>0.27000000000000007</v>
      </c>
      <c r="AS3310" s="7">
        <v>0.34641016151377552</v>
      </c>
    </row>
    <row r="3311" spans="44:45" x14ac:dyDescent="0.25">
      <c r="AR3311" s="11">
        <v>0.28000000000000008</v>
      </c>
      <c r="AS3311" s="7">
        <v>0.34641016151377552</v>
      </c>
    </row>
    <row r="3312" spans="44:45" x14ac:dyDescent="0.25">
      <c r="AR3312" s="11">
        <v>0.29000000000000009</v>
      </c>
      <c r="AS3312" s="7">
        <v>0.34641016151377552</v>
      </c>
    </row>
    <row r="3313" spans="44:45" x14ac:dyDescent="0.25">
      <c r="AR3313" s="11">
        <v>0.3000000000000001</v>
      </c>
      <c r="AS3313" s="7">
        <v>0.34641016151377552</v>
      </c>
    </row>
    <row r="3314" spans="44:45" x14ac:dyDescent="0.25">
      <c r="AR3314" s="11">
        <v>0.31000000000000011</v>
      </c>
      <c r="AS3314" s="7">
        <v>0.34641016151377552</v>
      </c>
    </row>
    <row r="3315" spans="44:45" x14ac:dyDescent="0.25">
      <c r="AR3315" s="11">
        <v>0.32000000000000012</v>
      </c>
      <c r="AS3315" s="7">
        <v>0.34641016151377552</v>
      </c>
    </row>
    <row r="3316" spans="44:45" x14ac:dyDescent="0.25">
      <c r="AR3316" s="11">
        <v>0.33000000000000013</v>
      </c>
      <c r="AS3316" s="7">
        <v>0.34641016151377552</v>
      </c>
    </row>
    <row r="3317" spans="44:45" x14ac:dyDescent="0.25">
      <c r="AR3317" s="11">
        <v>0.34000000000000014</v>
      </c>
      <c r="AS3317" s="7">
        <v>0.34641016151377552</v>
      </c>
    </row>
    <row r="3318" spans="44:45" x14ac:dyDescent="0.25">
      <c r="AR3318" s="11">
        <v>0.35000000000000014</v>
      </c>
      <c r="AS3318" s="7">
        <v>0.34641016151377552</v>
      </c>
    </row>
    <row r="3319" spans="44:45" x14ac:dyDescent="0.25">
      <c r="AR3319" s="11">
        <v>0.36000000000000015</v>
      </c>
      <c r="AS3319" s="7">
        <v>0.34641016151377552</v>
      </c>
    </row>
    <row r="3320" spans="44:45" x14ac:dyDescent="0.25">
      <c r="AR3320" s="11">
        <v>0.37000000000000016</v>
      </c>
      <c r="AS3320" s="7">
        <v>0.34641016151377552</v>
      </c>
    </row>
    <row r="3321" spans="44:45" x14ac:dyDescent="0.25">
      <c r="AR3321" s="11">
        <v>0.38000000000000017</v>
      </c>
      <c r="AS3321" s="7">
        <v>0.34641016151377552</v>
      </c>
    </row>
    <row r="3322" spans="44:45" x14ac:dyDescent="0.25">
      <c r="AR3322" s="11">
        <v>0.39000000000000018</v>
      </c>
      <c r="AS3322" s="7">
        <v>0.34641016151377552</v>
      </c>
    </row>
    <row r="3323" spans="44:45" x14ac:dyDescent="0.25">
      <c r="AR3323" s="11">
        <v>0.40000000000000019</v>
      </c>
      <c r="AS3323" s="7">
        <v>0.34641016151377552</v>
      </c>
    </row>
    <row r="3324" spans="44:45" x14ac:dyDescent="0.25">
      <c r="AR3324" s="11">
        <v>0.4100000000000002</v>
      </c>
      <c r="AS3324" s="7">
        <v>0.34641016151377552</v>
      </c>
    </row>
    <row r="3325" spans="44:45" x14ac:dyDescent="0.25">
      <c r="AR3325" s="11">
        <v>0.42000000000000021</v>
      </c>
      <c r="AS3325" s="7">
        <v>0.34641016151377552</v>
      </c>
    </row>
    <row r="3326" spans="44:45" x14ac:dyDescent="0.25">
      <c r="AR3326" s="11">
        <v>0.43000000000000022</v>
      </c>
      <c r="AS3326" s="7">
        <v>0.34641016151377552</v>
      </c>
    </row>
    <row r="3327" spans="44:45" x14ac:dyDescent="0.25">
      <c r="AR3327" s="11">
        <v>0.44000000000000022</v>
      </c>
      <c r="AS3327" s="7">
        <v>0.34641016151377552</v>
      </c>
    </row>
    <row r="3328" spans="44:45" x14ac:dyDescent="0.25">
      <c r="AR3328" s="11">
        <v>0.45000000000000023</v>
      </c>
      <c r="AS3328" s="7">
        <v>0.34641016151377552</v>
      </c>
    </row>
    <row r="3329" spans="44:45" x14ac:dyDescent="0.25">
      <c r="AR3329" s="11">
        <v>0.46000000000000024</v>
      </c>
      <c r="AS3329" s="7">
        <v>0.34641016151377552</v>
      </c>
    </row>
    <row r="3330" spans="44:45" x14ac:dyDescent="0.25">
      <c r="AR3330" s="11">
        <v>0.47000000000000025</v>
      </c>
      <c r="AS3330" s="7">
        <v>0.34641016151377552</v>
      </c>
    </row>
    <row r="3331" spans="44:45" x14ac:dyDescent="0.25">
      <c r="AR3331" s="11">
        <v>0.48000000000000026</v>
      </c>
      <c r="AS3331" s="7">
        <v>0.34641016151377552</v>
      </c>
    </row>
    <row r="3332" spans="44:45" x14ac:dyDescent="0.25">
      <c r="AR3332" s="11">
        <v>0.49000000000000027</v>
      </c>
      <c r="AS3332" s="7">
        <v>0.34641016151377552</v>
      </c>
    </row>
    <row r="3333" spans="44:45" x14ac:dyDescent="0.25">
      <c r="AR3333" s="11">
        <v>0.50000000000000022</v>
      </c>
      <c r="AS3333" s="7">
        <v>0.34641016151377552</v>
      </c>
    </row>
    <row r="3334" spans="44:45" x14ac:dyDescent="0.25">
      <c r="AR3334" s="11">
        <v>0.51000000000000023</v>
      </c>
      <c r="AS3334" s="7">
        <v>0.34641016151377552</v>
      </c>
    </row>
    <row r="3335" spans="44:45" x14ac:dyDescent="0.25">
      <c r="AR3335" s="11">
        <v>0.52000000000000024</v>
      </c>
      <c r="AS3335" s="7">
        <v>0.34641016151377552</v>
      </c>
    </row>
    <row r="3336" spans="44:45" x14ac:dyDescent="0.25">
      <c r="AR3336" s="11">
        <v>0.53000000000000025</v>
      </c>
      <c r="AS3336" s="7">
        <v>0.34641016151377552</v>
      </c>
    </row>
    <row r="3337" spans="44:45" x14ac:dyDescent="0.25">
      <c r="AR3337" s="11">
        <v>0.54000000000000026</v>
      </c>
      <c r="AS3337" s="7">
        <v>0.34641016151377552</v>
      </c>
    </row>
    <row r="3338" spans="44:45" x14ac:dyDescent="0.25">
      <c r="AR3338" s="11">
        <v>0.55000000000000027</v>
      </c>
      <c r="AS3338" s="7">
        <v>0.34641016151377552</v>
      </c>
    </row>
    <row r="3339" spans="44:45" x14ac:dyDescent="0.25">
      <c r="AR3339" s="11">
        <v>0.56000000000000028</v>
      </c>
      <c r="AS3339" s="7">
        <v>0.34641016151377552</v>
      </c>
    </row>
    <row r="3340" spans="44:45" x14ac:dyDescent="0.25">
      <c r="AR3340" s="11">
        <v>0.57000000000000028</v>
      </c>
      <c r="AS3340" s="7">
        <v>0.34641016151377552</v>
      </c>
    </row>
    <row r="3341" spans="44:45" x14ac:dyDescent="0.25">
      <c r="AR3341" s="11">
        <v>0.58000000000000029</v>
      </c>
      <c r="AS3341" s="7">
        <v>0.34641016151377552</v>
      </c>
    </row>
    <row r="3342" spans="44:45" x14ac:dyDescent="0.25">
      <c r="AR3342" s="11">
        <v>0.5900000000000003</v>
      </c>
      <c r="AS3342" s="7">
        <v>0.34641016151377552</v>
      </c>
    </row>
    <row r="3343" spans="44:45" x14ac:dyDescent="0.25">
      <c r="AR3343" s="11">
        <v>0.60000000000000031</v>
      </c>
      <c r="AS3343" s="7">
        <v>0.34641016151377552</v>
      </c>
    </row>
    <row r="3344" spans="44:45" x14ac:dyDescent="0.25">
      <c r="AR3344" s="11">
        <v>0.61000000000000032</v>
      </c>
      <c r="AS3344" s="7">
        <v>0.34641016151377552</v>
      </c>
    </row>
    <row r="3345" spans="44:45" x14ac:dyDescent="0.25">
      <c r="AR3345" s="11">
        <v>0.62000000000000033</v>
      </c>
      <c r="AS3345" s="7">
        <v>0.34641016151377552</v>
      </c>
    </row>
    <row r="3346" spans="44:45" x14ac:dyDescent="0.25">
      <c r="AR3346" s="11">
        <v>0.63000000000000034</v>
      </c>
      <c r="AS3346" s="7">
        <v>0.34641016151377552</v>
      </c>
    </row>
    <row r="3347" spans="44:45" x14ac:dyDescent="0.25">
      <c r="AR3347" s="11">
        <v>0.64000000000000035</v>
      </c>
      <c r="AS3347" s="7">
        <v>0.34641016151377552</v>
      </c>
    </row>
    <row r="3348" spans="44:45" x14ac:dyDescent="0.25">
      <c r="AR3348" s="11">
        <v>0.65000000000000036</v>
      </c>
      <c r="AS3348" s="7">
        <v>0.34641016151377552</v>
      </c>
    </row>
    <row r="3349" spans="44:45" x14ac:dyDescent="0.25">
      <c r="AR3349" s="11">
        <v>0.66000000000000036</v>
      </c>
      <c r="AS3349" s="7">
        <v>0.34641016151377552</v>
      </c>
    </row>
    <row r="3350" spans="44:45" x14ac:dyDescent="0.25">
      <c r="AR3350" s="11">
        <v>0.67000000000000037</v>
      </c>
      <c r="AS3350" s="7">
        <v>0.34641016151377552</v>
      </c>
    </row>
    <row r="3351" spans="44:45" x14ac:dyDescent="0.25">
      <c r="AR3351" s="11">
        <v>0.68000000000000038</v>
      </c>
      <c r="AS3351" s="7">
        <v>0.34641016151377552</v>
      </c>
    </row>
    <row r="3352" spans="44:45" x14ac:dyDescent="0.25">
      <c r="AR3352" s="11">
        <v>0.69000000000000039</v>
      </c>
      <c r="AS3352" s="7">
        <v>0.34641016151377552</v>
      </c>
    </row>
    <row r="3353" spans="44:45" x14ac:dyDescent="0.25">
      <c r="AR3353" s="11">
        <v>0.7000000000000004</v>
      </c>
      <c r="AS3353" s="7">
        <v>0.34641016151377552</v>
      </c>
    </row>
    <row r="3354" spans="44:45" x14ac:dyDescent="0.25">
      <c r="AR3354" s="11">
        <v>0.71000000000000041</v>
      </c>
      <c r="AS3354" s="7">
        <v>0.34641016151377552</v>
      </c>
    </row>
    <row r="3355" spans="44:45" x14ac:dyDescent="0.25">
      <c r="AR3355" s="11">
        <v>0.72000000000000042</v>
      </c>
      <c r="AS3355" s="7">
        <v>0.34641016151377552</v>
      </c>
    </row>
    <row r="3356" spans="44:45" x14ac:dyDescent="0.25">
      <c r="AR3356" s="11">
        <v>0.73000000000000043</v>
      </c>
      <c r="AS3356" s="7">
        <v>0.34641016151377552</v>
      </c>
    </row>
    <row r="3357" spans="44:45" x14ac:dyDescent="0.25">
      <c r="AR3357" s="11">
        <v>0.74000000000000044</v>
      </c>
      <c r="AS3357" s="7">
        <v>0.34641016151377552</v>
      </c>
    </row>
    <row r="3358" spans="44:45" x14ac:dyDescent="0.25">
      <c r="AR3358" s="11">
        <v>0.75000000000000044</v>
      </c>
      <c r="AS3358" s="7">
        <v>0.34641016151377552</v>
      </c>
    </row>
    <row r="3359" spans="44:45" x14ac:dyDescent="0.25">
      <c r="AR3359" s="11">
        <v>0.76000000000000045</v>
      </c>
      <c r="AS3359" s="7">
        <v>0.34641016151377552</v>
      </c>
    </row>
    <row r="3360" spans="44:45" x14ac:dyDescent="0.25">
      <c r="AR3360" s="11">
        <v>0.77000000000000046</v>
      </c>
      <c r="AS3360" s="7">
        <v>0.34641016151377552</v>
      </c>
    </row>
    <row r="3361" spans="44:45" x14ac:dyDescent="0.25">
      <c r="AR3361" s="11">
        <v>0.78000000000000047</v>
      </c>
      <c r="AS3361" s="7">
        <v>0.34641016151377552</v>
      </c>
    </row>
    <row r="3362" spans="44:45" x14ac:dyDescent="0.25">
      <c r="AR3362" s="11">
        <v>0.79000000000000048</v>
      </c>
      <c r="AS3362" s="7">
        <v>0.34641016151377552</v>
      </c>
    </row>
    <row r="3363" spans="44:45" x14ac:dyDescent="0.25">
      <c r="AR3363" s="11">
        <v>0.80000000000000049</v>
      </c>
      <c r="AS3363" s="7">
        <v>0.34641016151377552</v>
      </c>
    </row>
    <row r="3364" spans="44:45" x14ac:dyDescent="0.25">
      <c r="AR3364" s="11"/>
      <c r="AS3364" s="7"/>
    </row>
    <row r="3365" spans="44:45" x14ac:dyDescent="0.25">
      <c r="AR3365" s="11">
        <v>0.20500000000000004</v>
      </c>
      <c r="AS3365" s="7">
        <v>0.35507041555161983</v>
      </c>
    </row>
    <row r="3366" spans="44:45" x14ac:dyDescent="0.25">
      <c r="AR3366" s="11">
        <v>0.21500000000000005</v>
      </c>
      <c r="AS3366" s="7">
        <v>0.35507041555161983</v>
      </c>
    </row>
    <row r="3367" spans="44:45" x14ac:dyDescent="0.25">
      <c r="AR3367" s="11">
        <v>0.22500000000000006</v>
      </c>
      <c r="AS3367" s="7">
        <v>0.35507041555161983</v>
      </c>
    </row>
    <row r="3368" spans="44:45" x14ac:dyDescent="0.25">
      <c r="AR3368" s="11">
        <v>0.23500000000000007</v>
      </c>
      <c r="AS3368" s="7">
        <v>0.35507041555161983</v>
      </c>
    </row>
    <row r="3369" spans="44:45" x14ac:dyDescent="0.25">
      <c r="AR3369" s="11">
        <v>0.24500000000000008</v>
      </c>
      <c r="AS3369" s="7">
        <v>0.35507041555161983</v>
      </c>
    </row>
    <row r="3370" spans="44:45" x14ac:dyDescent="0.25">
      <c r="AR3370" s="11">
        <v>0.25500000000000006</v>
      </c>
      <c r="AS3370" s="7">
        <v>0.35507041555161983</v>
      </c>
    </row>
    <row r="3371" spans="44:45" x14ac:dyDescent="0.25">
      <c r="AR3371" s="11">
        <v>0.26500000000000007</v>
      </c>
      <c r="AS3371" s="7">
        <v>0.35507041555161983</v>
      </c>
    </row>
    <row r="3372" spans="44:45" x14ac:dyDescent="0.25">
      <c r="AR3372" s="11">
        <v>0.27500000000000008</v>
      </c>
      <c r="AS3372" s="7">
        <v>0.35507041555161983</v>
      </c>
    </row>
    <row r="3373" spans="44:45" x14ac:dyDescent="0.25">
      <c r="AR3373" s="11">
        <v>0.28500000000000009</v>
      </c>
      <c r="AS3373" s="7">
        <v>0.35507041555161983</v>
      </c>
    </row>
    <row r="3374" spans="44:45" x14ac:dyDescent="0.25">
      <c r="AR3374" s="11">
        <v>0.2950000000000001</v>
      </c>
      <c r="AS3374" s="7">
        <v>0.35507041555161983</v>
      </c>
    </row>
    <row r="3375" spans="44:45" x14ac:dyDescent="0.25">
      <c r="AR3375" s="11">
        <v>0.3050000000000001</v>
      </c>
      <c r="AS3375" s="7">
        <v>0.35507041555161983</v>
      </c>
    </row>
    <row r="3376" spans="44:45" x14ac:dyDescent="0.25">
      <c r="AR3376" s="11">
        <v>0.31500000000000011</v>
      </c>
      <c r="AS3376" s="7">
        <v>0.35507041555161983</v>
      </c>
    </row>
    <row r="3377" spans="44:45" x14ac:dyDescent="0.25">
      <c r="AR3377" s="11">
        <v>0.32500000000000012</v>
      </c>
      <c r="AS3377" s="7">
        <v>0.35507041555161983</v>
      </c>
    </row>
    <row r="3378" spans="44:45" x14ac:dyDescent="0.25">
      <c r="AR3378" s="11">
        <v>0.33500000000000013</v>
      </c>
      <c r="AS3378" s="7">
        <v>0.35507041555161983</v>
      </c>
    </row>
    <row r="3379" spans="44:45" x14ac:dyDescent="0.25">
      <c r="AR3379" s="11">
        <v>0.34500000000000014</v>
      </c>
      <c r="AS3379" s="7">
        <v>0.35507041555161983</v>
      </c>
    </row>
    <row r="3380" spans="44:45" x14ac:dyDescent="0.25">
      <c r="AR3380" s="11">
        <v>0.35500000000000015</v>
      </c>
      <c r="AS3380" s="7">
        <v>0.35507041555161983</v>
      </c>
    </row>
    <row r="3381" spans="44:45" x14ac:dyDescent="0.25">
      <c r="AR3381" s="11">
        <v>0.36500000000000016</v>
      </c>
      <c r="AS3381" s="7">
        <v>0.35507041555161983</v>
      </c>
    </row>
    <row r="3382" spans="44:45" x14ac:dyDescent="0.25">
      <c r="AR3382" s="11">
        <v>0.37500000000000017</v>
      </c>
      <c r="AS3382" s="7">
        <v>0.35507041555161983</v>
      </c>
    </row>
    <row r="3383" spans="44:45" x14ac:dyDescent="0.25">
      <c r="AR3383" s="11">
        <v>0.38500000000000018</v>
      </c>
      <c r="AS3383" s="7">
        <v>0.35507041555161983</v>
      </c>
    </row>
    <row r="3384" spans="44:45" x14ac:dyDescent="0.25">
      <c r="AR3384" s="11">
        <v>0.39500000000000018</v>
      </c>
      <c r="AS3384" s="7">
        <v>0.35507041555161983</v>
      </c>
    </row>
    <row r="3385" spans="44:45" x14ac:dyDescent="0.25">
      <c r="AR3385" s="11">
        <v>0.40500000000000019</v>
      </c>
      <c r="AS3385" s="7">
        <v>0.35507041555161983</v>
      </c>
    </row>
    <row r="3386" spans="44:45" x14ac:dyDescent="0.25">
      <c r="AR3386" s="11">
        <v>0.4150000000000002</v>
      </c>
      <c r="AS3386" s="7">
        <v>0.35507041555161983</v>
      </c>
    </row>
    <row r="3387" spans="44:45" x14ac:dyDescent="0.25">
      <c r="AR3387" s="11">
        <v>0.42500000000000021</v>
      </c>
      <c r="AS3387" s="7">
        <v>0.35507041555161983</v>
      </c>
    </row>
    <row r="3388" spans="44:45" x14ac:dyDescent="0.25">
      <c r="AR3388" s="11">
        <v>0.43500000000000022</v>
      </c>
      <c r="AS3388" s="7">
        <v>0.35507041555161983</v>
      </c>
    </row>
    <row r="3389" spans="44:45" x14ac:dyDescent="0.25">
      <c r="AR3389" s="11">
        <v>0.44500000000000023</v>
      </c>
      <c r="AS3389" s="7">
        <v>0.35507041555161983</v>
      </c>
    </row>
    <row r="3390" spans="44:45" x14ac:dyDescent="0.25">
      <c r="AR3390" s="11">
        <v>0.45500000000000024</v>
      </c>
      <c r="AS3390" s="7">
        <v>0.35507041555161983</v>
      </c>
    </row>
    <row r="3391" spans="44:45" x14ac:dyDescent="0.25">
      <c r="AR3391" s="11">
        <v>0.46500000000000025</v>
      </c>
      <c r="AS3391" s="7">
        <v>0.35507041555161983</v>
      </c>
    </row>
    <row r="3392" spans="44:45" x14ac:dyDescent="0.25">
      <c r="AR3392" s="11">
        <v>0.47500000000000026</v>
      </c>
      <c r="AS3392" s="7">
        <v>0.35507041555161983</v>
      </c>
    </row>
    <row r="3393" spans="44:45" x14ac:dyDescent="0.25">
      <c r="AR3393" s="11">
        <v>0.48500000000000026</v>
      </c>
      <c r="AS3393" s="7">
        <v>0.35507041555161983</v>
      </c>
    </row>
    <row r="3394" spans="44:45" x14ac:dyDescent="0.25">
      <c r="AR3394" s="11">
        <v>0.49500000000000027</v>
      </c>
      <c r="AS3394" s="7">
        <v>0.35507041555161983</v>
      </c>
    </row>
    <row r="3395" spans="44:45" x14ac:dyDescent="0.25">
      <c r="AR3395" s="11">
        <v>0.50500000000000023</v>
      </c>
      <c r="AS3395" s="7">
        <v>0.35507041555161983</v>
      </c>
    </row>
    <row r="3396" spans="44:45" x14ac:dyDescent="0.25">
      <c r="AR3396" s="11">
        <v>0.51500000000000024</v>
      </c>
      <c r="AS3396" s="7">
        <v>0.35507041555161983</v>
      </c>
    </row>
    <row r="3397" spans="44:45" x14ac:dyDescent="0.25">
      <c r="AR3397" s="11">
        <v>0.52500000000000024</v>
      </c>
      <c r="AS3397" s="7">
        <v>0.35507041555161983</v>
      </c>
    </row>
    <row r="3398" spans="44:45" x14ac:dyDescent="0.25">
      <c r="AR3398" s="11">
        <v>0.53500000000000025</v>
      </c>
      <c r="AS3398" s="7">
        <v>0.35507041555161983</v>
      </c>
    </row>
    <row r="3399" spans="44:45" x14ac:dyDescent="0.25">
      <c r="AR3399" s="11">
        <v>0.54500000000000026</v>
      </c>
      <c r="AS3399" s="7">
        <v>0.35507041555161983</v>
      </c>
    </row>
    <row r="3400" spans="44:45" x14ac:dyDescent="0.25">
      <c r="AR3400" s="11">
        <v>0.55500000000000027</v>
      </c>
      <c r="AS3400" s="7">
        <v>0.35507041555161983</v>
      </c>
    </row>
    <row r="3401" spans="44:45" x14ac:dyDescent="0.25">
      <c r="AR3401" s="11">
        <v>0.56500000000000028</v>
      </c>
      <c r="AS3401" s="7">
        <v>0.35507041555161983</v>
      </c>
    </row>
    <row r="3402" spans="44:45" x14ac:dyDescent="0.25">
      <c r="AR3402" s="11">
        <v>0.57500000000000029</v>
      </c>
      <c r="AS3402" s="7">
        <v>0.35507041555161983</v>
      </c>
    </row>
    <row r="3403" spans="44:45" x14ac:dyDescent="0.25">
      <c r="AR3403" s="11">
        <v>0.5850000000000003</v>
      </c>
      <c r="AS3403" s="7">
        <v>0.35507041555161983</v>
      </c>
    </row>
    <row r="3404" spans="44:45" x14ac:dyDescent="0.25">
      <c r="AR3404" s="11">
        <v>0.59500000000000031</v>
      </c>
      <c r="AS3404" s="7">
        <v>0.35507041555161983</v>
      </c>
    </row>
    <row r="3405" spans="44:45" x14ac:dyDescent="0.25">
      <c r="AR3405" s="11">
        <v>0.60500000000000032</v>
      </c>
      <c r="AS3405" s="7">
        <v>0.35507041555161983</v>
      </c>
    </row>
    <row r="3406" spans="44:45" x14ac:dyDescent="0.25">
      <c r="AR3406" s="11">
        <v>0.61500000000000032</v>
      </c>
      <c r="AS3406" s="7">
        <v>0.35507041555161983</v>
      </c>
    </row>
    <row r="3407" spans="44:45" x14ac:dyDescent="0.25">
      <c r="AR3407" s="11">
        <v>0.62500000000000033</v>
      </c>
      <c r="AS3407" s="7">
        <v>0.35507041555161983</v>
      </c>
    </row>
    <row r="3408" spans="44:45" x14ac:dyDescent="0.25">
      <c r="AR3408" s="11">
        <v>0.63500000000000034</v>
      </c>
      <c r="AS3408" s="7">
        <v>0.35507041555161983</v>
      </c>
    </row>
    <row r="3409" spans="44:45" x14ac:dyDescent="0.25">
      <c r="AR3409" s="11">
        <v>0.64500000000000035</v>
      </c>
      <c r="AS3409" s="7">
        <v>0.35507041555161983</v>
      </c>
    </row>
    <row r="3410" spans="44:45" x14ac:dyDescent="0.25">
      <c r="AR3410" s="11">
        <v>0.65500000000000036</v>
      </c>
      <c r="AS3410" s="7">
        <v>0.35507041555161983</v>
      </c>
    </row>
    <row r="3411" spans="44:45" x14ac:dyDescent="0.25">
      <c r="AR3411" s="11">
        <v>0.66500000000000037</v>
      </c>
      <c r="AS3411" s="7">
        <v>0.35507041555161983</v>
      </c>
    </row>
    <row r="3412" spans="44:45" x14ac:dyDescent="0.25">
      <c r="AR3412" s="11">
        <v>0.67500000000000038</v>
      </c>
      <c r="AS3412" s="7">
        <v>0.35507041555161983</v>
      </c>
    </row>
    <row r="3413" spans="44:45" x14ac:dyDescent="0.25">
      <c r="AR3413" s="11">
        <v>0.68500000000000039</v>
      </c>
      <c r="AS3413" s="7">
        <v>0.35507041555161983</v>
      </c>
    </row>
    <row r="3414" spans="44:45" x14ac:dyDescent="0.25">
      <c r="AR3414" s="11">
        <v>0.6950000000000004</v>
      </c>
      <c r="AS3414" s="7">
        <v>0.35507041555161983</v>
      </c>
    </row>
    <row r="3415" spans="44:45" x14ac:dyDescent="0.25">
      <c r="AR3415" s="11">
        <v>0.7050000000000004</v>
      </c>
      <c r="AS3415" s="7">
        <v>0.35507041555161983</v>
      </c>
    </row>
    <row r="3416" spans="44:45" x14ac:dyDescent="0.25">
      <c r="AR3416" s="11">
        <v>0.71500000000000041</v>
      </c>
      <c r="AS3416" s="7">
        <v>0.35507041555161983</v>
      </c>
    </row>
    <row r="3417" spans="44:45" x14ac:dyDescent="0.25">
      <c r="AR3417" s="11">
        <v>0.72500000000000042</v>
      </c>
      <c r="AS3417" s="7">
        <v>0.35507041555161983</v>
      </c>
    </row>
    <row r="3418" spans="44:45" x14ac:dyDescent="0.25">
      <c r="AR3418" s="11">
        <v>0.73500000000000043</v>
      </c>
      <c r="AS3418" s="7">
        <v>0.35507041555161983</v>
      </c>
    </row>
    <row r="3419" spans="44:45" x14ac:dyDescent="0.25">
      <c r="AR3419" s="11">
        <v>0.74500000000000044</v>
      </c>
      <c r="AS3419" s="7">
        <v>0.35507041555161983</v>
      </c>
    </row>
    <row r="3420" spans="44:45" x14ac:dyDescent="0.25">
      <c r="AR3420" s="11">
        <v>0.75500000000000045</v>
      </c>
      <c r="AS3420" s="7">
        <v>0.35507041555161983</v>
      </c>
    </row>
    <row r="3421" spans="44:45" x14ac:dyDescent="0.25">
      <c r="AR3421" s="11">
        <v>0.76500000000000046</v>
      </c>
      <c r="AS3421" s="7">
        <v>0.35507041555161983</v>
      </c>
    </row>
    <row r="3422" spans="44:45" x14ac:dyDescent="0.25">
      <c r="AR3422" s="11">
        <v>0.77500000000000047</v>
      </c>
      <c r="AS3422" s="7">
        <v>0.35507041555161983</v>
      </c>
    </row>
    <row r="3423" spans="44:45" x14ac:dyDescent="0.25">
      <c r="AR3423" s="11">
        <v>0.78500000000000048</v>
      </c>
      <c r="AS3423" s="7">
        <v>0.35507041555161983</v>
      </c>
    </row>
    <row r="3424" spans="44:45" x14ac:dyDescent="0.25">
      <c r="AR3424" s="11">
        <v>0.79500000000000048</v>
      </c>
      <c r="AS3424" s="7">
        <v>0.35507041555161983</v>
      </c>
    </row>
    <row r="3425" spans="44:45" x14ac:dyDescent="0.25">
      <c r="AR3425" s="11"/>
      <c r="AS3425" s="7"/>
    </row>
    <row r="3426" spans="44:45" x14ac:dyDescent="0.25">
      <c r="AR3426" s="11">
        <v>0.21000000000000005</v>
      </c>
      <c r="AS3426" s="7">
        <v>0.36373066958946421</v>
      </c>
    </row>
    <row r="3427" spans="44:45" x14ac:dyDescent="0.25">
      <c r="AR3427" s="11">
        <v>0.22000000000000006</v>
      </c>
      <c r="AS3427" s="7">
        <v>0.36373066958946421</v>
      </c>
    </row>
    <row r="3428" spans="44:45" x14ac:dyDescent="0.25">
      <c r="AR3428" s="11">
        <v>0.23000000000000007</v>
      </c>
      <c r="AS3428" s="7">
        <v>0.36373066958946421</v>
      </c>
    </row>
    <row r="3429" spans="44:45" x14ac:dyDescent="0.25">
      <c r="AR3429" s="11">
        <v>0.24000000000000007</v>
      </c>
      <c r="AS3429" s="7">
        <v>0.36373066958946421</v>
      </c>
    </row>
    <row r="3430" spans="44:45" x14ac:dyDescent="0.25">
      <c r="AR3430" s="11">
        <v>0.25000000000000006</v>
      </c>
      <c r="AS3430" s="7">
        <v>0.36373066958946421</v>
      </c>
    </row>
    <row r="3431" spans="44:45" x14ac:dyDescent="0.25">
      <c r="AR3431" s="11">
        <v>0.26000000000000006</v>
      </c>
      <c r="AS3431" s="7">
        <v>0.36373066958946421</v>
      </c>
    </row>
    <row r="3432" spans="44:45" x14ac:dyDescent="0.25">
      <c r="AR3432" s="11">
        <v>0.27000000000000007</v>
      </c>
      <c r="AS3432" s="7">
        <v>0.36373066958946421</v>
      </c>
    </row>
    <row r="3433" spans="44:45" x14ac:dyDescent="0.25">
      <c r="AR3433" s="11">
        <v>0.28000000000000008</v>
      </c>
      <c r="AS3433" s="7">
        <v>0.36373066958946421</v>
      </c>
    </row>
    <row r="3434" spans="44:45" x14ac:dyDescent="0.25">
      <c r="AR3434" s="11">
        <v>0.29000000000000009</v>
      </c>
      <c r="AS3434" s="7">
        <v>0.36373066958946421</v>
      </c>
    </row>
    <row r="3435" spans="44:45" x14ac:dyDescent="0.25">
      <c r="AR3435" s="11">
        <v>0.3000000000000001</v>
      </c>
      <c r="AS3435" s="7">
        <v>0.36373066958946421</v>
      </c>
    </row>
    <row r="3436" spans="44:45" x14ac:dyDescent="0.25">
      <c r="AR3436" s="11">
        <v>0.31000000000000011</v>
      </c>
      <c r="AS3436" s="7">
        <v>0.36373066958946421</v>
      </c>
    </row>
    <row r="3437" spans="44:45" x14ac:dyDescent="0.25">
      <c r="AR3437" s="11">
        <v>0.32000000000000012</v>
      </c>
      <c r="AS3437" s="7">
        <v>0.36373066958946421</v>
      </c>
    </row>
    <row r="3438" spans="44:45" x14ac:dyDescent="0.25">
      <c r="AR3438" s="11">
        <v>0.33000000000000013</v>
      </c>
      <c r="AS3438" s="7">
        <v>0.36373066958946421</v>
      </c>
    </row>
    <row r="3439" spans="44:45" x14ac:dyDescent="0.25">
      <c r="AR3439" s="11">
        <v>0.34000000000000014</v>
      </c>
      <c r="AS3439" s="7">
        <v>0.36373066958946421</v>
      </c>
    </row>
    <row r="3440" spans="44:45" x14ac:dyDescent="0.25">
      <c r="AR3440" s="11">
        <v>0.35000000000000014</v>
      </c>
      <c r="AS3440" s="7">
        <v>0.36373066958946421</v>
      </c>
    </row>
    <row r="3441" spans="44:45" x14ac:dyDescent="0.25">
      <c r="AR3441" s="11">
        <v>0.36000000000000015</v>
      </c>
      <c r="AS3441" s="7">
        <v>0.36373066958946421</v>
      </c>
    </row>
    <row r="3442" spans="44:45" x14ac:dyDescent="0.25">
      <c r="AR3442" s="11">
        <v>0.37000000000000016</v>
      </c>
      <c r="AS3442" s="7">
        <v>0.36373066958946421</v>
      </c>
    </row>
    <row r="3443" spans="44:45" x14ac:dyDescent="0.25">
      <c r="AR3443" s="11">
        <v>0.38000000000000017</v>
      </c>
      <c r="AS3443" s="7">
        <v>0.36373066958946421</v>
      </c>
    </row>
    <row r="3444" spans="44:45" x14ac:dyDescent="0.25">
      <c r="AR3444" s="11">
        <v>0.39000000000000018</v>
      </c>
      <c r="AS3444" s="7">
        <v>0.36373066958946421</v>
      </c>
    </row>
    <row r="3445" spans="44:45" x14ac:dyDescent="0.25">
      <c r="AR3445" s="11">
        <v>0.40000000000000019</v>
      </c>
      <c r="AS3445" s="7">
        <v>0.36373066958946421</v>
      </c>
    </row>
    <row r="3446" spans="44:45" x14ac:dyDescent="0.25">
      <c r="AR3446" s="11">
        <v>0.4100000000000002</v>
      </c>
      <c r="AS3446" s="7">
        <v>0.36373066958946421</v>
      </c>
    </row>
    <row r="3447" spans="44:45" x14ac:dyDescent="0.25">
      <c r="AR3447" s="11">
        <v>0.42000000000000021</v>
      </c>
      <c r="AS3447" s="7">
        <v>0.36373066958946421</v>
      </c>
    </row>
    <row r="3448" spans="44:45" x14ac:dyDescent="0.25">
      <c r="AR3448" s="11">
        <v>0.43000000000000022</v>
      </c>
      <c r="AS3448" s="7">
        <v>0.36373066958946421</v>
      </c>
    </row>
    <row r="3449" spans="44:45" x14ac:dyDescent="0.25">
      <c r="AR3449" s="11">
        <v>0.44000000000000022</v>
      </c>
      <c r="AS3449" s="7">
        <v>0.36373066958946421</v>
      </c>
    </row>
    <row r="3450" spans="44:45" x14ac:dyDescent="0.25">
      <c r="AR3450" s="11">
        <v>0.45000000000000023</v>
      </c>
      <c r="AS3450" s="7">
        <v>0.36373066958946421</v>
      </c>
    </row>
    <row r="3451" spans="44:45" x14ac:dyDescent="0.25">
      <c r="AR3451" s="11">
        <v>0.46000000000000024</v>
      </c>
      <c r="AS3451" s="7">
        <v>0.36373066958946421</v>
      </c>
    </row>
    <row r="3452" spans="44:45" x14ac:dyDescent="0.25">
      <c r="AR3452" s="11">
        <v>0.47000000000000025</v>
      </c>
      <c r="AS3452" s="7">
        <v>0.36373066958946421</v>
      </c>
    </row>
    <row r="3453" spans="44:45" x14ac:dyDescent="0.25">
      <c r="AR3453" s="11">
        <v>0.48000000000000026</v>
      </c>
      <c r="AS3453" s="7">
        <v>0.36373066958946421</v>
      </c>
    </row>
    <row r="3454" spans="44:45" x14ac:dyDescent="0.25">
      <c r="AR3454" s="11">
        <v>0.49000000000000027</v>
      </c>
      <c r="AS3454" s="7">
        <v>0.36373066958946421</v>
      </c>
    </row>
    <row r="3455" spans="44:45" x14ac:dyDescent="0.25">
      <c r="AR3455" s="11">
        <v>0.50000000000000022</v>
      </c>
      <c r="AS3455" s="7">
        <v>0.36373066958946421</v>
      </c>
    </row>
    <row r="3456" spans="44:45" x14ac:dyDescent="0.25">
      <c r="AR3456" s="11">
        <v>0.51000000000000023</v>
      </c>
      <c r="AS3456" s="7">
        <v>0.36373066958946421</v>
      </c>
    </row>
    <row r="3457" spans="44:45" x14ac:dyDescent="0.25">
      <c r="AR3457" s="11">
        <v>0.52000000000000024</v>
      </c>
      <c r="AS3457" s="7">
        <v>0.36373066958946421</v>
      </c>
    </row>
    <row r="3458" spans="44:45" x14ac:dyDescent="0.25">
      <c r="AR3458" s="11">
        <v>0.53000000000000025</v>
      </c>
      <c r="AS3458" s="7">
        <v>0.36373066958946421</v>
      </c>
    </row>
    <row r="3459" spans="44:45" x14ac:dyDescent="0.25">
      <c r="AR3459" s="11">
        <v>0.54000000000000026</v>
      </c>
      <c r="AS3459" s="7">
        <v>0.36373066958946421</v>
      </c>
    </row>
    <row r="3460" spans="44:45" x14ac:dyDescent="0.25">
      <c r="AR3460" s="11">
        <v>0.55000000000000027</v>
      </c>
      <c r="AS3460" s="7">
        <v>0.36373066958946421</v>
      </c>
    </row>
    <row r="3461" spans="44:45" x14ac:dyDescent="0.25">
      <c r="AR3461" s="11">
        <v>0.56000000000000028</v>
      </c>
      <c r="AS3461" s="7">
        <v>0.36373066958946421</v>
      </c>
    </row>
    <row r="3462" spans="44:45" x14ac:dyDescent="0.25">
      <c r="AR3462" s="11">
        <v>0.57000000000000028</v>
      </c>
      <c r="AS3462" s="7">
        <v>0.36373066958946421</v>
      </c>
    </row>
    <row r="3463" spans="44:45" x14ac:dyDescent="0.25">
      <c r="AR3463" s="11">
        <v>0.58000000000000029</v>
      </c>
      <c r="AS3463" s="7">
        <v>0.36373066958946421</v>
      </c>
    </row>
    <row r="3464" spans="44:45" x14ac:dyDescent="0.25">
      <c r="AR3464" s="11">
        <v>0.5900000000000003</v>
      </c>
      <c r="AS3464" s="7">
        <v>0.36373066958946421</v>
      </c>
    </row>
    <row r="3465" spans="44:45" x14ac:dyDescent="0.25">
      <c r="AR3465" s="11">
        <v>0.60000000000000031</v>
      </c>
      <c r="AS3465" s="7">
        <v>0.36373066958946421</v>
      </c>
    </row>
    <row r="3466" spans="44:45" x14ac:dyDescent="0.25">
      <c r="AR3466" s="11">
        <v>0.61000000000000032</v>
      </c>
      <c r="AS3466" s="7">
        <v>0.36373066958946421</v>
      </c>
    </row>
    <row r="3467" spans="44:45" x14ac:dyDescent="0.25">
      <c r="AR3467" s="11">
        <v>0.62000000000000033</v>
      </c>
      <c r="AS3467" s="7">
        <v>0.36373066958946421</v>
      </c>
    </row>
    <row r="3468" spans="44:45" x14ac:dyDescent="0.25">
      <c r="AR3468" s="11">
        <v>0.63000000000000034</v>
      </c>
      <c r="AS3468" s="7">
        <v>0.36373066958946421</v>
      </c>
    </row>
    <row r="3469" spans="44:45" x14ac:dyDescent="0.25">
      <c r="AR3469" s="11">
        <v>0.64000000000000035</v>
      </c>
      <c r="AS3469" s="7">
        <v>0.36373066958946421</v>
      </c>
    </row>
    <row r="3470" spans="44:45" x14ac:dyDescent="0.25">
      <c r="AR3470" s="11">
        <v>0.65000000000000036</v>
      </c>
      <c r="AS3470" s="7">
        <v>0.36373066958946421</v>
      </c>
    </row>
    <row r="3471" spans="44:45" x14ac:dyDescent="0.25">
      <c r="AR3471" s="11">
        <v>0.66000000000000036</v>
      </c>
      <c r="AS3471" s="7">
        <v>0.36373066958946421</v>
      </c>
    </row>
    <row r="3472" spans="44:45" x14ac:dyDescent="0.25">
      <c r="AR3472" s="11">
        <v>0.67000000000000037</v>
      </c>
      <c r="AS3472" s="7">
        <v>0.36373066958946421</v>
      </c>
    </row>
    <row r="3473" spans="44:45" x14ac:dyDescent="0.25">
      <c r="AR3473" s="11">
        <v>0.68000000000000038</v>
      </c>
      <c r="AS3473" s="7">
        <v>0.36373066958946421</v>
      </c>
    </row>
    <row r="3474" spans="44:45" x14ac:dyDescent="0.25">
      <c r="AR3474" s="11">
        <v>0.69000000000000039</v>
      </c>
      <c r="AS3474" s="7">
        <v>0.36373066958946421</v>
      </c>
    </row>
    <row r="3475" spans="44:45" x14ac:dyDescent="0.25">
      <c r="AR3475" s="11">
        <v>0.7000000000000004</v>
      </c>
      <c r="AS3475" s="7">
        <v>0.36373066958946421</v>
      </c>
    </row>
    <row r="3476" spans="44:45" x14ac:dyDescent="0.25">
      <c r="AR3476" s="11">
        <v>0.71000000000000041</v>
      </c>
      <c r="AS3476" s="7">
        <v>0.36373066958946421</v>
      </c>
    </row>
    <row r="3477" spans="44:45" x14ac:dyDescent="0.25">
      <c r="AR3477" s="11">
        <v>0.72000000000000042</v>
      </c>
      <c r="AS3477" s="7">
        <v>0.36373066958946421</v>
      </c>
    </row>
    <row r="3478" spans="44:45" x14ac:dyDescent="0.25">
      <c r="AR3478" s="11">
        <v>0.73000000000000043</v>
      </c>
      <c r="AS3478" s="7">
        <v>0.36373066958946421</v>
      </c>
    </row>
    <row r="3479" spans="44:45" x14ac:dyDescent="0.25">
      <c r="AR3479" s="11">
        <v>0.74000000000000044</v>
      </c>
      <c r="AS3479" s="7">
        <v>0.36373066958946421</v>
      </c>
    </row>
    <row r="3480" spans="44:45" x14ac:dyDescent="0.25">
      <c r="AR3480" s="11">
        <v>0.75000000000000044</v>
      </c>
      <c r="AS3480" s="7">
        <v>0.36373066958946421</v>
      </c>
    </row>
    <row r="3481" spans="44:45" x14ac:dyDescent="0.25">
      <c r="AR3481" s="11">
        <v>0.76000000000000045</v>
      </c>
      <c r="AS3481" s="7">
        <v>0.36373066958946421</v>
      </c>
    </row>
    <row r="3482" spans="44:45" x14ac:dyDescent="0.25">
      <c r="AR3482" s="11">
        <v>0.77000000000000046</v>
      </c>
      <c r="AS3482" s="7">
        <v>0.36373066958946421</v>
      </c>
    </row>
    <row r="3483" spans="44:45" x14ac:dyDescent="0.25">
      <c r="AR3483" s="11">
        <v>0.78000000000000047</v>
      </c>
      <c r="AS3483" s="7">
        <v>0.36373066958946421</v>
      </c>
    </row>
    <row r="3484" spans="44:45" x14ac:dyDescent="0.25">
      <c r="AR3484" s="11">
        <v>0.79000000000000048</v>
      </c>
      <c r="AS3484" s="7">
        <v>0.36373066958946421</v>
      </c>
    </row>
    <row r="3485" spans="44:45" x14ac:dyDescent="0.25">
      <c r="AR3485" s="11"/>
      <c r="AS3485" s="7"/>
    </row>
    <row r="3486" spans="44:45" x14ac:dyDescent="0.25">
      <c r="AR3486" s="11">
        <v>0.21500000000000005</v>
      </c>
      <c r="AS3486" s="7">
        <v>0.37239092362730863</v>
      </c>
    </row>
    <row r="3487" spans="44:45" x14ac:dyDescent="0.25">
      <c r="AR3487" s="11">
        <v>0.22500000000000006</v>
      </c>
      <c r="AS3487" s="7">
        <v>0.37239092362730863</v>
      </c>
    </row>
    <row r="3488" spans="44:45" x14ac:dyDescent="0.25">
      <c r="AR3488" s="11">
        <v>0.23500000000000007</v>
      </c>
      <c r="AS3488" s="7">
        <v>0.37239092362730863</v>
      </c>
    </row>
    <row r="3489" spans="44:45" x14ac:dyDescent="0.25">
      <c r="AR3489" s="11">
        <v>0.24500000000000008</v>
      </c>
      <c r="AS3489" s="7">
        <v>0.37239092362730863</v>
      </c>
    </row>
    <row r="3490" spans="44:45" x14ac:dyDescent="0.25">
      <c r="AR3490" s="11">
        <v>0.25500000000000006</v>
      </c>
      <c r="AS3490" s="7">
        <v>0.37239092362730863</v>
      </c>
    </row>
    <row r="3491" spans="44:45" x14ac:dyDescent="0.25">
      <c r="AR3491" s="11">
        <v>0.26500000000000007</v>
      </c>
      <c r="AS3491" s="7">
        <v>0.37239092362730863</v>
      </c>
    </row>
    <row r="3492" spans="44:45" x14ac:dyDescent="0.25">
      <c r="AR3492" s="11">
        <v>0.27500000000000008</v>
      </c>
      <c r="AS3492" s="7">
        <v>0.37239092362730863</v>
      </c>
    </row>
    <row r="3493" spans="44:45" x14ac:dyDescent="0.25">
      <c r="AR3493" s="11">
        <v>0.28500000000000009</v>
      </c>
      <c r="AS3493" s="7">
        <v>0.37239092362730863</v>
      </c>
    </row>
    <row r="3494" spans="44:45" x14ac:dyDescent="0.25">
      <c r="AR3494" s="11">
        <v>0.2950000000000001</v>
      </c>
      <c r="AS3494" s="7">
        <v>0.37239092362730863</v>
      </c>
    </row>
    <row r="3495" spans="44:45" x14ac:dyDescent="0.25">
      <c r="AR3495" s="11">
        <v>0.3050000000000001</v>
      </c>
      <c r="AS3495" s="7">
        <v>0.37239092362730863</v>
      </c>
    </row>
    <row r="3496" spans="44:45" x14ac:dyDescent="0.25">
      <c r="AR3496" s="11">
        <v>0.31500000000000011</v>
      </c>
      <c r="AS3496" s="7">
        <v>0.37239092362730863</v>
      </c>
    </row>
    <row r="3497" spans="44:45" x14ac:dyDescent="0.25">
      <c r="AR3497" s="11">
        <v>0.32500000000000012</v>
      </c>
      <c r="AS3497" s="7">
        <v>0.37239092362730863</v>
      </c>
    </row>
    <row r="3498" spans="44:45" x14ac:dyDescent="0.25">
      <c r="AR3498" s="11">
        <v>0.33500000000000013</v>
      </c>
      <c r="AS3498" s="7">
        <v>0.37239092362730863</v>
      </c>
    </row>
    <row r="3499" spans="44:45" x14ac:dyDescent="0.25">
      <c r="AR3499" s="11">
        <v>0.34500000000000014</v>
      </c>
      <c r="AS3499" s="7">
        <v>0.37239092362730863</v>
      </c>
    </row>
    <row r="3500" spans="44:45" x14ac:dyDescent="0.25">
      <c r="AR3500" s="11">
        <v>0.35500000000000015</v>
      </c>
      <c r="AS3500" s="7">
        <v>0.37239092362730863</v>
      </c>
    </row>
    <row r="3501" spans="44:45" x14ac:dyDescent="0.25">
      <c r="AR3501" s="11">
        <v>0.36500000000000016</v>
      </c>
      <c r="AS3501" s="7">
        <v>0.37239092362730863</v>
      </c>
    </row>
    <row r="3502" spans="44:45" x14ac:dyDescent="0.25">
      <c r="AR3502" s="11">
        <v>0.37500000000000017</v>
      </c>
      <c r="AS3502" s="7">
        <v>0.37239092362730863</v>
      </c>
    </row>
    <row r="3503" spans="44:45" x14ac:dyDescent="0.25">
      <c r="AR3503" s="11">
        <v>0.38500000000000018</v>
      </c>
      <c r="AS3503" s="7">
        <v>0.37239092362730863</v>
      </c>
    </row>
    <row r="3504" spans="44:45" x14ac:dyDescent="0.25">
      <c r="AR3504" s="11">
        <v>0.39500000000000018</v>
      </c>
      <c r="AS3504" s="7">
        <v>0.37239092362730863</v>
      </c>
    </row>
    <row r="3505" spans="44:45" x14ac:dyDescent="0.25">
      <c r="AR3505" s="11">
        <v>0.40500000000000019</v>
      </c>
      <c r="AS3505" s="7">
        <v>0.37239092362730863</v>
      </c>
    </row>
    <row r="3506" spans="44:45" x14ac:dyDescent="0.25">
      <c r="AR3506" s="11">
        <v>0.4150000000000002</v>
      </c>
      <c r="AS3506" s="7">
        <v>0.37239092362730863</v>
      </c>
    </row>
    <row r="3507" spans="44:45" x14ac:dyDescent="0.25">
      <c r="AR3507" s="11">
        <v>0.42500000000000021</v>
      </c>
      <c r="AS3507" s="7">
        <v>0.37239092362730863</v>
      </c>
    </row>
    <row r="3508" spans="44:45" x14ac:dyDescent="0.25">
      <c r="AR3508" s="11">
        <v>0.43500000000000022</v>
      </c>
      <c r="AS3508" s="7">
        <v>0.37239092362730863</v>
      </c>
    </row>
    <row r="3509" spans="44:45" x14ac:dyDescent="0.25">
      <c r="AR3509" s="11">
        <v>0.44500000000000023</v>
      </c>
      <c r="AS3509" s="7">
        <v>0.37239092362730863</v>
      </c>
    </row>
    <row r="3510" spans="44:45" x14ac:dyDescent="0.25">
      <c r="AR3510" s="11">
        <v>0.45500000000000024</v>
      </c>
      <c r="AS3510" s="7">
        <v>0.37239092362730863</v>
      </c>
    </row>
    <row r="3511" spans="44:45" x14ac:dyDescent="0.25">
      <c r="AR3511" s="11">
        <v>0.46500000000000025</v>
      </c>
      <c r="AS3511" s="7">
        <v>0.37239092362730863</v>
      </c>
    </row>
    <row r="3512" spans="44:45" x14ac:dyDescent="0.25">
      <c r="AR3512" s="11">
        <v>0.47500000000000026</v>
      </c>
      <c r="AS3512" s="7">
        <v>0.37239092362730863</v>
      </c>
    </row>
    <row r="3513" spans="44:45" x14ac:dyDescent="0.25">
      <c r="AR3513" s="11">
        <v>0.48500000000000026</v>
      </c>
      <c r="AS3513" s="7">
        <v>0.37239092362730863</v>
      </c>
    </row>
    <row r="3514" spans="44:45" x14ac:dyDescent="0.25">
      <c r="AR3514" s="11">
        <v>0.49500000000000027</v>
      </c>
      <c r="AS3514" s="7">
        <v>0.37239092362730863</v>
      </c>
    </row>
    <row r="3515" spans="44:45" x14ac:dyDescent="0.25">
      <c r="AR3515" s="11">
        <v>0.50500000000000023</v>
      </c>
      <c r="AS3515" s="7">
        <v>0.37239092362730863</v>
      </c>
    </row>
    <row r="3516" spans="44:45" x14ac:dyDescent="0.25">
      <c r="AR3516" s="11">
        <v>0.51500000000000024</v>
      </c>
      <c r="AS3516" s="7">
        <v>0.37239092362730863</v>
      </c>
    </row>
    <row r="3517" spans="44:45" x14ac:dyDescent="0.25">
      <c r="AR3517" s="11">
        <v>0.52500000000000024</v>
      </c>
      <c r="AS3517" s="7">
        <v>0.37239092362730863</v>
      </c>
    </row>
    <row r="3518" spans="44:45" x14ac:dyDescent="0.25">
      <c r="AR3518" s="11">
        <v>0.53500000000000025</v>
      </c>
      <c r="AS3518" s="7">
        <v>0.37239092362730863</v>
      </c>
    </row>
    <row r="3519" spans="44:45" x14ac:dyDescent="0.25">
      <c r="AR3519" s="11">
        <v>0.54500000000000026</v>
      </c>
      <c r="AS3519" s="7">
        <v>0.37239092362730863</v>
      </c>
    </row>
    <row r="3520" spans="44:45" x14ac:dyDescent="0.25">
      <c r="AR3520" s="11">
        <v>0.55500000000000027</v>
      </c>
      <c r="AS3520" s="7">
        <v>0.37239092362730863</v>
      </c>
    </row>
    <row r="3521" spans="44:45" x14ac:dyDescent="0.25">
      <c r="AR3521" s="11">
        <v>0.56500000000000028</v>
      </c>
      <c r="AS3521" s="7">
        <v>0.37239092362730863</v>
      </c>
    </row>
    <row r="3522" spans="44:45" x14ac:dyDescent="0.25">
      <c r="AR3522" s="11">
        <v>0.57500000000000029</v>
      </c>
      <c r="AS3522" s="7">
        <v>0.37239092362730863</v>
      </c>
    </row>
    <row r="3523" spans="44:45" x14ac:dyDescent="0.25">
      <c r="AR3523" s="11">
        <v>0.5850000000000003</v>
      </c>
      <c r="AS3523" s="7">
        <v>0.37239092362730863</v>
      </c>
    </row>
    <row r="3524" spans="44:45" x14ac:dyDescent="0.25">
      <c r="AR3524" s="11">
        <v>0.59500000000000031</v>
      </c>
      <c r="AS3524" s="7">
        <v>0.37239092362730863</v>
      </c>
    </row>
    <row r="3525" spans="44:45" x14ac:dyDescent="0.25">
      <c r="AR3525" s="11">
        <v>0.60500000000000032</v>
      </c>
      <c r="AS3525" s="7">
        <v>0.37239092362730863</v>
      </c>
    </row>
    <row r="3526" spans="44:45" x14ac:dyDescent="0.25">
      <c r="AR3526" s="11">
        <v>0.61500000000000032</v>
      </c>
      <c r="AS3526" s="7">
        <v>0.37239092362730863</v>
      </c>
    </row>
    <row r="3527" spans="44:45" x14ac:dyDescent="0.25">
      <c r="AR3527" s="11">
        <v>0.62500000000000033</v>
      </c>
      <c r="AS3527" s="7">
        <v>0.37239092362730863</v>
      </c>
    </row>
    <row r="3528" spans="44:45" x14ac:dyDescent="0.25">
      <c r="AR3528" s="11">
        <v>0.63500000000000034</v>
      </c>
      <c r="AS3528" s="7">
        <v>0.37239092362730863</v>
      </c>
    </row>
    <row r="3529" spans="44:45" x14ac:dyDescent="0.25">
      <c r="AR3529" s="11">
        <v>0.64500000000000035</v>
      </c>
      <c r="AS3529" s="7">
        <v>0.37239092362730863</v>
      </c>
    </row>
    <row r="3530" spans="44:45" x14ac:dyDescent="0.25">
      <c r="AR3530" s="11">
        <v>0.65500000000000036</v>
      </c>
      <c r="AS3530" s="7">
        <v>0.37239092362730863</v>
      </c>
    </row>
    <row r="3531" spans="44:45" x14ac:dyDescent="0.25">
      <c r="AR3531" s="11">
        <v>0.66500000000000037</v>
      </c>
      <c r="AS3531" s="7">
        <v>0.37239092362730863</v>
      </c>
    </row>
    <row r="3532" spans="44:45" x14ac:dyDescent="0.25">
      <c r="AR3532" s="11">
        <v>0.67500000000000038</v>
      </c>
      <c r="AS3532" s="7">
        <v>0.37239092362730863</v>
      </c>
    </row>
    <row r="3533" spans="44:45" x14ac:dyDescent="0.25">
      <c r="AR3533" s="11">
        <v>0.68500000000000039</v>
      </c>
      <c r="AS3533" s="7">
        <v>0.37239092362730863</v>
      </c>
    </row>
    <row r="3534" spans="44:45" x14ac:dyDescent="0.25">
      <c r="AR3534" s="11">
        <v>0.6950000000000004</v>
      </c>
      <c r="AS3534" s="7">
        <v>0.37239092362730863</v>
      </c>
    </row>
    <row r="3535" spans="44:45" x14ac:dyDescent="0.25">
      <c r="AR3535" s="11">
        <v>0.7050000000000004</v>
      </c>
      <c r="AS3535" s="7">
        <v>0.37239092362730863</v>
      </c>
    </row>
    <row r="3536" spans="44:45" x14ac:dyDescent="0.25">
      <c r="AR3536" s="11">
        <v>0.71500000000000041</v>
      </c>
      <c r="AS3536" s="7">
        <v>0.37239092362730863</v>
      </c>
    </row>
    <row r="3537" spans="44:45" x14ac:dyDescent="0.25">
      <c r="AR3537" s="11">
        <v>0.72500000000000042</v>
      </c>
      <c r="AS3537" s="7">
        <v>0.37239092362730863</v>
      </c>
    </row>
    <row r="3538" spans="44:45" x14ac:dyDescent="0.25">
      <c r="AR3538" s="11">
        <v>0.73500000000000043</v>
      </c>
      <c r="AS3538" s="7">
        <v>0.37239092362730863</v>
      </c>
    </row>
    <row r="3539" spans="44:45" x14ac:dyDescent="0.25">
      <c r="AR3539" s="11">
        <v>0.74500000000000044</v>
      </c>
      <c r="AS3539" s="7">
        <v>0.37239092362730863</v>
      </c>
    </row>
    <row r="3540" spans="44:45" x14ac:dyDescent="0.25">
      <c r="AR3540" s="11">
        <v>0.75500000000000045</v>
      </c>
      <c r="AS3540" s="7">
        <v>0.37239092362730863</v>
      </c>
    </row>
    <row r="3541" spans="44:45" x14ac:dyDescent="0.25">
      <c r="AR3541" s="11">
        <v>0.76500000000000046</v>
      </c>
      <c r="AS3541" s="7">
        <v>0.37239092362730863</v>
      </c>
    </row>
    <row r="3542" spans="44:45" x14ac:dyDescent="0.25">
      <c r="AR3542" s="11">
        <v>0.77500000000000047</v>
      </c>
      <c r="AS3542" s="7">
        <v>0.37239092362730863</v>
      </c>
    </row>
    <row r="3543" spans="44:45" x14ac:dyDescent="0.25">
      <c r="AR3543" s="11">
        <v>0.78500000000000048</v>
      </c>
      <c r="AS3543" s="7">
        <v>0.37239092362730863</v>
      </c>
    </row>
    <row r="3544" spans="44:45" x14ac:dyDescent="0.25">
      <c r="AR3544" s="11"/>
      <c r="AS3544" s="7"/>
    </row>
    <row r="3545" spans="44:45" x14ac:dyDescent="0.25">
      <c r="AR3545" s="11">
        <v>0.22000000000000006</v>
      </c>
      <c r="AS3545" s="7">
        <v>0.38105117766515301</v>
      </c>
    </row>
    <row r="3546" spans="44:45" x14ac:dyDescent="0.25">
      <c r="AR3546" s="11">
        <v>0.23000000000000007</v>
      </c>
      <c r="AS3546" s="7">
        <v>0.38105117766515301</v>
      </c>
    </row>
    <row r="3547" spans="44:45" x14ac:dyDescent="0.25">
      <c r="AR3547" s="11">
        <v>0.24000000000000007</v>
      </c>
      <c r="AS3547" s="7">
        <v>0.38105117766515301</v>
      </c>
    </row>
    <row r="3548" spans="44:45" x14ac:dyDescent="0.25">
      <c r="AR3548" s="11">
        <v>0.25000000000000006</v>
      </c>
      <c r="AS3548" s="7">
        <v>0.38105117766515301</v>
      </c>
    </row>
    <row r="3549" spans="44:45" x14ac:dyDescent="0.25">
      <c r="AR3549" s="11">
        <v>0.26000000000000006</v>
      </c>
      <c r="AS3549" s="7">
        <v>0.38105117766515301</v>
      </c>
    </row>
    <row r="3550" spans="44:45" x14ac:dyDescent="0.25">
      <c r="AR3550" s="11">
        <v>0.27000000000000007</v>
      </c>
      <c r="AS3550" s="7">
        <v>0.38105117766515301</v>
      </c>
    </row>
    <row r="3551" spans="44:45" x14ac:dyDescent="0.25">
      <c r="AR3551" s="11">
        <v>0.28000000000000008</v>
      </c>
      <c r="AS3551" s="7">
        <v>0.38105117766515301</v>
      </c>
    </row>
    <row r="3552" spans="44:45" x14ac:dyDescent="0.25">
      <c r="AR3552" s="11">
        <v>0.29000000000000009</v>
      </c>
      <c r="AS3552" s="7">
        <v>0.38105117766515301</v>
      </c>
    </row>
    <row r="3553" spans="44:45" x14ac:dyDescent="0.25">
      <c r="AR3553" s="11">
        <v>0.3000000000000001</v>
      </c>
      <c r="AS3553" s="7">
        <v>0.38105117766515301</v>
      </c>
    </row>
    <row r="3554" spans="44:45" x14ac:dyDescent="0.25">
      <c r="AR3554" s="11">
        <v>0.31000000000000011</v>
      </c>
      <c r="AS3554" s="7">
        <v>0.38105117766515301</v>
      </c>
    </row>
    <row r="3555" spans="44:45" x14ac:dyDescent="0.25">
      <c r="AR3555" s="11">
        <v>0.32000000000000012</v>
      </c>
      <c r="AS3555" s="7">
        <v>0.38105117766515301</v>
      </c>
    </row>
    <row r="3556" spans="44:45" x14ac:dyDescent="0.25">
      <c r="AR3556" s="11">
        <v>0.33000000000000013</v>
      </c>
      <c r="AS3556" s="7">
        <v>0.38105117766515301</v>
      </c>
    </row>
    <row r="3557" spans="44:45" x14ac:dyDescent="0.25">
      <c r="AR3557" s="11">
        <v>0.34000000000000014</v>
      </c>
      <c r="AS3557" s="7">
        <v>0.38105117766515301</v>
      </c>
    </row>
    <row r="3558" spans="44:45" x14ac:dyDescent="0.25">
      <c r="AR3558" s="11">
        <v>0.35000000000000014</v>
      </c>
      <c r="AS3558" s="7">
        <v>0.38105117766515301</v>
      </c>
    </row>
    <row r="3559" spans="44:45" x14ac:dyDescent="0.25">
      <c r="AR3559" s="11">
        <v>0.36000000000000015</v>
      </c>
      <c r="AS3559" s="7">
        <v>0.38105117766515301</v>
      </c>
    </row>
    <row r="3560" spans="44:45" x14ac:dyDescent="0.25">
      <c r="AR3560" s="11">
        <v>0.37000000000000016</v>
      </c>
      <c r="AS3560" s="7">
        <v>0.38105117766515301</v>
      </c>
    </row>
    <row r="3561" spans="44:45" x14ac:dyDescent="0.25">
      <c r="AR3561" s="11">
        <v>0.38000000000000017</v>
      </c>
      <c r="AS3561" s="7">
        <v>0.38105117766515301</v>
      </c>
    </row>
    <row r="3562" spans="44:45" x14ac:dyDescent="0.25">
      <c r="AR3562" s="11">
        <v>0.39000000000000018</v>
      </c>
      <c r="AS3562" s="7">
        <v>0.38105117766515301</v>
      </c>
    </row>
    <row r="3563" spans="44:45" x14ac:dyDescent="0.25">
      <c r="AR3563" s="11">
        <v>0.40000000000000019</v>
      </c>
      <c r="AS3563" s="7">
        <v>0.38105117766515301</v>
      </c>
    </row>
    <row r="3564" spans="44:45" x14ac:dyDescent="0.25">
      <c r="AR3564" s="11">
        <v>0.4100000000000002</v>
      </c>
      <c r="AS3564" s="7">
        <v>0.38105117766515301</v>
      </c>
    </row>
    <row r="3565" spans="44:45" x14ac:dyDescent="0.25">
      <c r="AR3565" s="11">
        <v>0.42000000000000021</v>
      </c>
      <c r="AS3565" s="7">
        <v>0.38105117766515301</v>
      </c>
    </row>
    <row r="3566" spans="44:45" x14ac:dyDescent="0.25">
      <c r="AR3566" s="11">
        <v>0.43000000000000022</v>
      </c>
      <c r="AS3566" s="7">
        <v>0.38105117766515301</v>
      </c>
    </row>
    <row r="3567" spans="44:45" x14ac:dyDescent="0.25">
      <c r="AR3567" s="11">
        <v>0.44000000000000022</v>
      </c>
      <c r="AS3567" s="7">
        <v>0.38105117766515301</v>
      </c>
    </row>
    <row r="3568" spans="44:45" x14ac:dyDescent="0.25">
      <c r="AR3568" s="11">
        <v>0.45000000000000023</v>
      </c>
      <c r="AS3568" s="7">
        <v>0.38105117766515301</v>
      </c>
    </row>
    <row r="3569" spans="44:45" x14ac:dyDescent="0.25">
      <c r="AR3569" s="11">
        <v>0.46000000000000024</v>
      </c>
      <c r="AS3569" s="7">
        <v>0.38105117766515301</v>
      </c>
    </row>
    <row r="3570" spans="44:45" x14ac:dyDescent="0.25">
      <c r="AR3570" s="11">
        <v>0.47000000000000025</v>
      </c>
      <c r="AS3570" s="7">
        <v>0.38105117766515301</v>
      </c>
    </row>
    <row r="3571" spans="44:45" x14ac:dyDescent="0.25">
      <c r="AR3571" s="11">
        <v>0.48000000000000026</v>
      </c>
      <c r="AS3571" s="7">
        <v>0.38105117766515301</v>
      </c>
    </row>
    <row r="3572" spans="44:45" x14ac:dyDescent="0.25">
      <c r="AR3572" s="11">
        <v>0.49000000000000027</v>
      </c>
      <c r="AS3572" s="7">
        <v>0.38105117766515301</v>
      </c>
    </row>
    <row r="3573" spans="44:45" x14ac:dyDescent="0.25">
      <c r="AR3573" s="11">
        <v>0.50000000000000022</v>
      </c>
      <c r="AS3573" s="7">
        <v>0.38105117766515301</v>
      </c>
    </row>
    <row r="3574" spans="44:45" x14ac:dyDescent="0.25">
      <c r="AR3574" s="11">
        <v>0.51000000000000023</v>
      </c>
      <c r="AS3574" s="7">
        <v>0.38105117766515301</v>
      </c>
    </row>
    <row r="3575" spans="44:45" x14ac:dyDescent="0.25">
      <c r="AR3575" s="11">
        <v>0.52000000000000024</v>
      </c>
      <c r="AS3575" s="7">
        <v>0.38105117766515301</v>
      </c>
    </row>
    <row r="3576" spans="44:45" x14ac:dyDescent="0.25">
      <c r="AR3576" s="11">
        <v>0.53000000000000025</v>
      </c>
      <c r="AS3576" s="7">
        <v>0.38105117766515301</v>
      </c>
    </row>
    <row r="3577" spans="44:45" x14ac:dyDescent="0.25">
      <c r="AR3577" s="11">
        <v>0.54000000000000026</v>
      </c>
      <c r="AS3577" s="7">
        <v>0.38105117766515301</v>
      </c>
    </row>
    <row r="3578" spans="44:45" x14ac:dyDescent="0.25">
      <c r="AR3578" s="11">
        <v>0.55000000000000027</v>
      </c>
      <c r="AS3578" s="7">
        <v>0.38105117766515301</v>
      </c>
    </row>
    <row r="3579" spans="44:45" x14ac:dyDescent="0.25">
      <c r="AR3579" s="11">
        <v>0.56000000000000028</v>
      </c>
      <c r="AS3579" s="7">
        <v>0.38105117766515301</v>
      </c>
    </row>
    <row r="3580" spans="44:45" x14ac:dyDescent="0.25">
      <c r="AR3580" s="11">
        <v>0.57000000000000028</v>
      </c>
      <c r="AS3580" s="7">
        <v>0.38105117766515301</v>
      </c>
    </row>
    <row r="3581" spans="44:45" x14ac:dyDescent="0.25">
      <c r="AR3581" s="11">
        <v>0.58000000000000029</v>
      </c>
      <c r="AS3581" s="7">
        <v>0.38105117766515301</v>
      </c>
    </row>
    <row r="3582" spans="44:45" x14ac:dyDescent="0.25">
      <c r="AR3582" s="11">
        <v>0.5900000000000003</v>
      </c>
      <c r="AS3582" s="7">
        <v>0.38105117766515301</v>
      </c>
    </row>
    <row r="3583" spans="44:45" x14ac:dyDescent="0.25">
      <c r="AR3583" s="11">
        <v>0.60000000000000031</v>
      </c>
      <c r="AS3583" s="7">
        <v>0.38105117766515301</v>
      </c>
    </row>
    <row r="3584" spans="44:45" x14ac:dyDescent="0.25">
      <c r="AR3584" s="11">
        <v>0.61000000000000032</v>
      </c>
      <c r="AS3584" s="7">
        <v>0.38105117766515301</v>
      </c>
    </row>
    <row r="3585" spans="44:45" x14ac:dyDescent="0.25">
      <c r="AR3585" s="11">
        <v>0.62000000000000033</v>
      </c>
      <c r="AS3585" s="7">
        <v>0.38105117766515301</v>
      </c>
    </row>
    <row r="3586" spans="44:45" x14ac:dyDescent="0.25">
      <c r="AR3586" s="11">
        <v>0.63000000000000034</v>
      </c>
      <c r="AS3586" s="7">
        <v>0.38105117766515301</v>
      </c>
    </row>
    <row r="3587" spans="44:45" x14ac:dyDescent="0.25">
      <c r="AR3587" s="11">
        <v>0.64000000000000035</v>
      </c>
      <c r="AS3587" s="7">
        <v>0.38105117766515301</v>
      </c>
    </row>
    <row r="3588" spans="44:45" x14ac:dyDescent="0.25">
      <c r="AR3588" s="11">
        <v>0.65000000000000036</v>
      </c>
      <c r="AS3588" s="7">
        <v>0.38105117766515301</v>
      </c>
    </row>
    <row r="3589" spans="44:45" x14ac:dyDescent="0.25">
      <c r="AR3589" s="11">
        <v>0.66000000000000036</v>
      </c>
      <c r="AS3589" s="7">
        <v>0.38105117766515301</v>
      </c>
    </row>
    <row r="3590" spans="44:45" x14ac:dyDescent="0.25">
      <c r="AR3590" s="11">
        <v>0.67000000000000037</v>
      </c>
      <c r="AS3590" s="7">
        <v>0.38105117766515301</v>
      </c>
    </row>
    <row r="3591" spans="44:45" x14ac:dyDescent="0.25">
      <c r="AR3591" s="11">
        <v>0.68000000000000038</v>
      </c>
      <c r="AS3591" s="7">
        <v>0.38105117766515301</v>
      </c>
    </row>
    <row r="3592" spans="44:45" x14ac:dyDescent="0.25">
      <c r="AR3592" s="11">
        <v>0.69000000000000039</v>
      </c>
      <c r="AS3592" s="7">
        <v>0.38105117766515301</v>
      </c>
    </row>
    <row r="3593" spans="44:45" x14ac:dyDescent="0.25">
      <c r="AR3593" s="11">
        <v>0.7000000000000004</v>
      </c>
      <c r="AS3593" s="7">
        <v>0.38105117766515301</v>
      </c>
    </row>
    <row r="3594" spans="44:45" x14ac:dyDescent="0.25">
      <c r="AR3594" s="11">
        <v>0.71000000000000041</v>
      </c>
      <c r="AS3594" s="7">
        <v>0.38105117766515301</v>
      </c>
    </row>
    <row r="3595" spans="44:45" x14ac:dyDescent="0.25">
      <c r="AR3595" s="11">
        <v>0.72000000000000042</v>
      </c>
      <c r="AS3595" s="7">
        <v>0.38105117766515301</v>
      </c>
    </row>
    <row r="3596" spans="44:45" x14ac:dyDescent="0.25">
      <c r="AR3596" s="11">
        <v>0.73000000000000043</v>
      </c>
      <c r="AS3596" s="7">
        <v>0.38105117766515301</v>
      </c>
    </row>
    <row r="3597" spans="44:45" x14ac:dyDescent="0.25">
      <c r="AR3597" s="11">
        <v>0.74000000000000044</v>
      </c>
      <c r="AS3597" s="7">
        <v>0.38105117766515301</v>
      </c>
    </row>
    <row r="3598" spans="44:45" x14ac:dyDescent="0.25">
      <c r="AR3598" s="11">
        <v>0.75000000000000044</v>
      </c>
      <c r="AS3598" s="7">
        <v>0.38105117766515301</v>
      </c>
    </row>
    <row r="3599" spans="44:45" x14ac:dyDescent="0.25">
      <c r="AR3599" s="11">
        <v>0.76000000000000045</v>
      </c>
      <c r="AS3599" s="7">
        <v>0.38105117766515301</v>
      </c>
    </row>
    <row r="3600" spans="44:45" x14ac:dyDescent="0.25">
      <c r="AR3600" s="11">
        <v>0.77000000000000046</v>
      </c>
      <c r="AS3600" s="7">
        <v>0.38105117766515301</v>
      </c>
    </row>
    <row r="3601" spans="44:45" x14ac:dyDescent="0.25">
      <c r="AR3601" s="11">
        <v>0.78000000000000047</v>
      </c>
      <c r="AS3601" s="7">
        <v>0.38105117766515301</v>
      </c>
    </row>
    <row r="3602" spans="44:45" x14ac:dyDescent="0.25">
      <c r="AR3602" s="11"/>
      <c r="AS3602" s="7"/>
    </row>
    <row r="3603" spans="44:45" x14ac:dyDescent="0.25">
      <c r="AR3603" s="11">
        <v>0.22500000000000006</v>
      </c>
      <c r="AS3603" s="7">
        <v>0.38971143170299738</v>
      </c>
    </row>
    <row r="3604" spans="44:45" x14ac:dyDescent="0.25">
      <c r="AR3604" s="11">
        <v>0.23500000000000007</v>
      </c>
      <c r="AS3604" s="7">
        <v>0.38971143170299738</v>
      </c>
    </row>
    <row r="3605" spans="44:45" x14ac:dyDescent="0.25">
      <c r="AR3605" s="11">
        <v>0.24500000000000008</v>
      </c>
      <c r="AS3605" s="7">
        <v>0.38971143170299738</v>
      </c>
    </row>
    <row r="3606" spans="44:45" x14ac:dyDescent="0.25">
      <c r="AR3606" s="11">
        <v>0.25500000000000006</v>
      </c>
      <c r="AS3606" s="7">
        <v>0.38971143170299738</v>
      </c>
    </row>
    <row r="3607" spans="44:45" x14ac:dyDescent="0.25">
      <c r="AR3607" s="11">
        <v>0.26500000000000007</v>
      </c>
      <c r="AS3607" s="7">
        <v>0.38971143170299738</v>
      </c>
    </row>
    <row r="3608" spans="44:45" x14ac:dyDescent="0.25">
      <c r="AR3608" s="11">
        <v>0.27500000000000008</v>
      </c>
      <c r="AS3608" s="7">
        <v>0.38971143170299738</v>
      </c>
    </row>
    <row r="3609" spans="44:45" x14ac:dyDescent="0.25">
      <c r="AR3609" s="11">
        <v>0.28500000000000009</v>
      </c>
      <c r="AS3609" s="7">
        <v>0.38971143170299738</v>
      </c>
    </row>
    <row r="3610" spans="44:45" x14ac:dyDescent="0.25">
      <c r="AR3610" s="11">
        <v>0.2950000000000001</v>
      </c>
      <c r="AS3610" s="7">
        <v>0.38971143170299738</v>
      </c>
    </row>
    <row r="3611" spans="44:45" x14ac:dyDescent="0.25">
      <c r="AR3611" s="11">
        <v>0.3050000000000001</v>
      </c>
      <c r="AS3611" s="7">
        <v>0.38971143170299738</v>
      </c>
    </row>
    <row r="3612" spans="44:45" x14ac:dyDescent="0.25">
      <c r="AR3612" s="11">
        <v>0.31500000000000011</v>
      </c>
      <c r="AS3612" s="7">
        <v>0.38971143170299738</v>
      </c>
    </row>
    <row r="3613" spans="44:45" x14ac:dyDescent="0.25">
      <c r="AR3613" s="11">
        <v>0.32500000000000012</v>
      </c>
      <c r="AS3613" s="7">
        <v>0.38971143170299738</v>
      </c>
    </row>
    <row r="3614" spans="44:45" x14ac:dyDescent="0.25">
      <c r="AR3614" s="11">
        <v>0.33500000000000013</v>
      </c>
      <c r="AS3614" s="7">
        <v>0.38971143170299738</v>
      </c>
    </row>
    <row r="3615" spans="44:45" x14ac:dyDescent="0.25">
      <c r="AR3615" s="11">
        <v>0.34500000000000014</v>
      </c>
      <c r="AS3615" s="7">
        <v>0.38971143170299738</v>
      </c>
    </row>
    <row r="3616" spans="44:45" x14ac:dyDescent="0.25">
      <c r="AR3616" s="11">
        <v>0.35500000000000015</v>
      </c>
      <c r="AS3616" s="7">
        <v>0.38971143170299738</v>
      </c>
    </row>
    <row r="3617" spans="44:45" x14ac:dyDescent="0.25">
      <c r="AR3617" s="11">
        <v>0.36500000000000016</v>
      </c>
      <c r="AS3617" s="7">
        <v>0.38971143170299738</v>
      </c>
    </row>
    <row r="3618" spans="44:45" x14ac:dyDescent="0.25">
      <c r="AR3618" s="11">
        <v>0.37500000000000017</v>
      </c>
      <c r="AS3618" s="7">
        <v>0.38971143170299738</v>
      </c>
    </row>
    <row r="3619" spans="44:45" x14ac:dyDescent="0.25">
      <c r="AR3619" s="11">
        <v>0.38500000000000018</v>
      </c>
      <c r="AS3619" s="7">
        <v>0.38971143170299738</v>
      </c>
    </row>
    <row r="3620" spans="44:45" x14ac:dyDescent="0.25">
      <c r="AR3620" s="11">
        <v>0.39500000000000018</v>
      </c>
      <c r="AS3620" s="7">
        <v>0.38971143170299738</v>
      </c>
    </row>
    <row r="3621" spans="44:45" x14ac:dyDescent="0.25">
      <c r="AR3621" s="11">
        <v>0.40500000000000019</v>
      </c>
      <c r="AS3621" s="7">
        <v>0.38971143170299738</v>
      </c>
    </row>
    <row r="3622" spans="44:45" x14ac:dyDescent="0.25">
      <c r="AR3622" s="11">
        <v>0.4150000000000002</v>
      </c>
      <c r="AS3622" s="7">
        <v>0.38971143170299738</v>
      </c>
    </row>
    <row r="3623" spans="44:45" x14ac:dyDescent="0.25">
      <c r="AR3623" s="11">
        <v>0.42500000000000021</v>
      </c>
      <c r="AS3623" s="7">
        <v>0.38971143170299738</v>
      </c>
    </row>
    <row r="3624" spans="44:45" x14ac:dyDescent="0.25">
      <c r="AR3624" s="11">
        <v>0.43500000000000022</v>
      </c>
      <c r="AS3624" s="7">
        <v>0.38971143170299738</v>
      </c>
    </row>
    <row r="3625" spans="44:45" x14ac:dyDescent="0.25">
      <c r="AR3625" s="11">
        <v>0.44500000000000023</v>
      </c>
      <c r="AS3625" s="7">
        <v>0.38971143170299738</v>
      </c>
    </row>
    <row r="3626" spans="44:45" x14ac:dyDescent="0.25">
      <c r="AR3626" s="11">
        <v>0.45500000000000024</v>
      </c>
      <c r="AS3626" s="7">
        <v>0.38971143170299738</v>
      </c>
    </row>
    <row r="3627" spans="44:45" x14ac:dyDescent="0.25">
      <c r="AR3627" s="11">
        <v>0.46500000000000025</v>
      </c>
      <c r="AS3627" s="7">
        <v>0.38971143170299738</v>
      </c>
    </row>
    <row r="3628" spans="44:45" x14ac:dyDescent="0.25">
      <c r="AR3628" s="11">
        <v>0.47500000000000026</v>
      </c>
      <c r="AS3628" s="7">
        <v>0.38971143170299738</v>
      </c>
    </row>
    <row r="3629" spans="44:45" x14ac:dyDescent="0.25">
      <c r="AR3629" s="11">
        <v>0.48500000000000026</v>
      </c>
      <c r="AS3629" s="7">
        <v>0.38971143170299738</v>
      </c>
    </row>
    <row r="3630" spans="44:45" x14ac:dyDescent="0.25">
      <c r="AR3630" s="11">
        <v>0.49500000000000027</v>
      </c>
      <c r="AS3630" s="7">
        <v>0.38971143170299738</v>
      </c>
    </row>
    <row r="3631" spans="44:45" x14ac:dyDescent="0.25">
      <c r="AR3631" s="11">
        <v>0.50500000000000023</v>
      </c>
      <c r="AS3631" s="7">
        <v>0.38971143170299738</v>
      </c>
    </row>
    <row r="3632" spans="44:45" x14ac:dyDescent="0.25">
      <c r="AR3632" s="11">
        <v>0.51500000000000024</v>
      </c>
      <c r="AS3632" s="7">
        <v>0.38971143170299738</v>
      </c>
    </row>
    <row r="3633" spans="44:45" x14ac:dyDescent="0.25">
      <c r="AR3633" s="11">
        <v>0.52500000000000024</v>
      </c>
      <c r="AS3633" s="7">
        <v>0.38971143170299738</v>
      </c>
    </row>
    <row r="3634" spans="44:45" x14ac:dyDescent="0.25">
      <c r="AR3634" s="11">
        <v>0.53500000000000025</v>
      </c>
      <c r="AS3634" s="7">
        <v>0.38971143170299738</v>
      </c>
    </row>
    <row r="3635" spans="44:45" x14ac:dyDescent="0.25">
      <c r="AR3635" s="11">
        <v>0.54500000000000026</v>
      </c>
      <c r="AS3635" s="7">
        <v>0.38971143170299738</v>
      </c>
    </row>
    <row r="3636" spans="44:45" x14ac:dyDescent="0.25">
      <c r="AR3636" s="11">
        <v>0.55500000000000027</v>
      </c>
      <c r="AS3636" s="7">
        <v>0.38971143170299738</v>
      </c>
    </row>
    <row r="3637" spans="44:45" x14ac:dyDescent="0.25">
      <c r="AR3637" s="11">
        <v>0.56500000000000028</v>
      </c>
      <c r="AS3637" s="7">
        <v>0.38971143170299738</v>
      </c>
    </row>
    <row r="3638" spans="44:45" x14ac:dyDescent="0.25">
      <c r="AR3638" s="11">
        <v>0.57500000000000029</v>
      </c>
      <c r="AS3638" s="7">
        <v>0.38971143170299738</v>
      </c>
    </row>
    <row r="3639" spans="44:45" x14ac:dyDescent="0.25">
      <c r="AR3639" s="11">
        <v>0.5850000000000003</v>
      </c>
      <c r="AS3639" s="7">
        <v>0.38971143170299738</v>
      </c>
    </row>
    <row r="3640" spans="44:45" x14ac:dyDescent="0.25">
      <c r="AR3640" s="11">
        <v>0.59500000000000031</v>
      </c>
      <c r="AS3640" s="7">
        <v>0.38971143170299738</v>
      </c>
    </row>
    <row r="3641" spans="44:45" x14ac:dyDescent="0.25">
      <c r="AR3641" s="11">
        <v>0.60500000000000032</v>
      </c>
      <c r="AS3641" s="7">
        <v>0.38971143170299738</v>
      </c>
    </row>
    <row r="3642" spans="44:45" x14ac:dyDescent="0.25">
      <c r="AR3642" s="11">
        <v>0.61500000000000032</v>
      </c>
      <c r="AS3642" s="7">
        <v>0.38971143170299738</v>
      </c>
    </row>
    <row r="3643" spans="44:45" x14ac:dyDescent="0.25">
      <c r="AR3643" s="11">
        <v>0.62500000000000033</v>
      </c>
      <c r="AS3643" s="7">
        <v>0.38971143170299738</v>
      </c>
    </row>
    <row r="3644" spans="44:45" x14ac:dyDescent="0.25">
      <c r="AR3644" s="11">
        <v>0.63500000000000034</v>
      </c>
      <c r="AS3644" s="7">
        <v>0.38971143170299738</v>
      </c>
    </row>
    <row r="3645" spans="44:45" x14ac:dyDescent="0.25">
      <c r="AR3645" s="11">
        <v>0.64500000000000035</v>
      </c>
      <c r="AS3645" s="7">
        <v>0.38971143170299738</v>
      </c>
    </row>
    <row r="3646" spans="44:45" x14ac:dyDescent="0.25">
      <c r="AR3646" s="11">
        <v>0.65500000000000036</v>
      </c>
      <c r="AS3646" s="7">
        <v>0.38971143170299738</v>
      </c>
    </row>
    <row r="3647" spans="44:45" x14ac:dyDescent="0.25">
      <c r="AR3647" s="11">
        <v>0.66500000000000037</v>
      </c>
      <c r="AS3647" s="7">
        <v>0.38971143170299738</v>
      </c>
    </row>
    <row r="3648" spans="44:45" x14ac:dyDescent="0.25">
      <c r="AR3648" s="11">
        <v>0.67500000000000038</v>
      </c>
      <c r="AS3648" s="7">
        <v>0.38971143170299738</v>
      </c>
    </row>
    <row r="3649" spans="44:45" x14ac:dyDescent="0.25">
      <c r="AR3649" s="11">
        <v>0.68500000000000039</v>
      </c>
      <c r="AS3649" s="7">
        <v>0.38971143170299738</v>
      </c>
    </row>
    <row r="3650" spans="44:45" x14ac:dyDescent="0.25">
      <c r="AR3650" s="11">
        <v>0.6950000000000004</v>
      </c>
      <c r="AS3650" s="7">
        <v>0.38971143170299738</v>
      </c>
    </row>
    <row r="3651" spans="44:45" x14ac:dyDescent="0.25">
      <c r="AR3651" s="11">
        <v>0.7050000000000004</v>
      </c>
      <c r="AS3651" s="7">
        <v>0.38971143170299738</v>
      </c>
    </row>
    <row r="3652" spans="44:45" x14ac:dyDescent="0.25">
      <c r="AR3652" s="11">
        <v>0.71500000000000041</v>
      </c>
      <c r="AS3652" s="7">
        <v>0.38971143170299738</v>
      </c>
    </row>
    <row r="3653" spans="44:45" x14ac:dyDescent="0.25">
      <c r="AR3653" s="11">
        <v>0.72500000000000042</v>
      </c>
      <c r="AS3653" s="7">
        <v>0.38971143170299738</v>
      </c>
    </row>
    <row r="3654" spans="44:45" x14ac:dyDescent="0.25">
      <c r="AR3654" s="11">
        <v>0.73500000000000043</v>
      </c>
      <c r="AS3654" s="7">
        <v>0.38971143170299738</v>
      </c>
    </row>
    <row r="3655" spans="44:45" x14ac:dyDescent="0.25">
      <c r="AR3655" s="11">
        <v>0.74500000000000044</v>
      </c>
      <c r="AS3655" s="7">
        <v>0.38971143170299738</v>
      </c>
    </row>
    <row r="3656" spans="44:45" x14ac:dyDescent="0.25">
      <c r="AR3656" s="11">
        <v>0.75500000000000045</v>
      </c>
      <c r="AS3656" s="7">
        <v>0.38971143170299738</v>
      </c>
    </row>
    <row r="3657" spans="44:45" x14ac:dyDescent="0.25">
      <c r="AR3657" s="11">
        <v>0.76500000000000046</v>
      </c>
      <c r="AS3657" s="7">
        <v>0.38971143170299738</v>
      </c>
    </row>
    <row r="3658" spans="44:45" x14ac:dyDescent="0.25">
      <c r="AR3658" s="11">
        <v>0.77500000000000047</v>
      </c>
      <c r="AS3658" s="7">
        <v>0.38971143170299738</v>
      </c>
    </row>
    <row r="3659" spans="44:45" x14ac:dyDescent="0.25">
      <c r="AR3659" s="11"/>
      <c r="AS3659" s="7"/>
    </row>
    <row r="3660" spans="44:45" x14ac:dyDescent="0.25">
      <c r="AR3660" s="11">
        <v>0.23000000000000007</v>
      </c>
      <c r="AS3660" s="7">
        <v>0.39837168574084181</v>
      </c>
    </row>
    <row r="3661" spans="44:45" x14ac:dyDescent="0.25">
      <c r="AR3661" s="11">
        <v>0.24000000000000007</v>
      </c>
      <c r="AS3661" s="7">
        <v>0.39837168574084181</v>
      </c>
    </row>
    <row r="3662" spans="44:45" x14ac:dyDescent="0.25">
      <c r="AR3662" s="11">
        <v>0.25000000000000006</v>
      </c>
      <c r="AS3662" s="7">
        <v>0.39837168574084181</v>
      </c>
    </row>
    <row r="3663" spans="44:45" x14ac:dyDescent="0.25">
      <c r="AR3663" s="11">
        <v>0.26000000000000006</v>
      </c>
      <c r="AS3663" s="7">
        <v>0.39837168574084181</v>
      </c>
    </row>
    <row r="3664" spans="44:45" x14ac:dyDescent="0.25">
      <c r="AR3664" s="11">
        <v>0.27000000000000007</v>
      </c>
      <c r="AS3664" s="7">
        <v>0.39837168574084181</v>
      </c>
    </row>
    <row r="3665" spans="44:45" x14ac:dyDescent="0.25">
      <c r="AR3665" s="11">
        <v>0.28000000000000008</v>
      </c>
      <c r="AS3665" s="7">
        <v>0.39837168574084181</v>
      </c>
    </row>
    <row r="3666" spans="44:45" x14ac:dyDescent="0.25">
      <c r="AR3666" s="11">
        <v>0.29000000000000009</v>
      </c>
      <c r="AS3666" s="7">
        <v>0.39837168574084181</v>
      </c>
    </row>
    <row r="3667" spans="44:45" x14ac:dyDescent="0.25">
      <c r="AR3667" s="11">
        <v>0.3000000000000001</v>
      </c>
      <c r="AS3667" s="7">
        <v>0.39837168574084181</v>
      </c>
    </row>
    <row r="3668" spans="44:45" x14ac:dyDescent="0.25">
      <c r="AR3668" s="11">
        <v>0.31000000000000011</v>
      </c>
      <c r="AS3668" s="7">
        <v>0.39837168574084181</v>
      </c>
    </row>
    <row r="3669" spans="44:45" x14ac:dyDescent="0.25">
      <c r="AR3669" s="11">
        <v>0.32000000000000012</v>
      </c>
      <c r="AS3669" s="7">
        <v>0.39837168574084181</v>
      </c>
    </row>
    <row r="3670" spans="44:45" x14ac:dyDescent="0.25">
      <c r="AR3670" s="11">
        <v>0.33000000000000013</v>
      </c>
      <c r="AS3670" s="7">
        <v>0.39837168574084181</v>
      </c>
    </row>
    <row r="3671" spans="44:45" x14ac:dyDescent="0.25">
      <c r="AR3671" s="11">
        <v>0.34000000000000014</v>
      </c>
      <c r="AS3671" s="7">
        <v>0.39837168574084181</v>
      </c>
    </row>
    <row r="3672" spans="44:45" x14ac:dyDescent="0.25">
      <c r="AR3672" s="11">
        <v>0.35000000000000014</v>
      </c>
      <c r="AS3672" s="7">
        <v>0.39837168574084181</v>
      </c>
    </row>
    <row r="3673" spans="44:45" x14ac:dyDescent="0.25">
      <c r="AR3673" s="11">
        <v>0.36000000000000015</v>
      </c>
      <c r="AS3673" s="7">
        <v>0.39837168574084181</v>
      </c>
    </row>
    <row r="3674" spans="44:45" x14ac:dyDescent="0.25">
      <c r="AR3674" s="11">
        <v>0.37000000000000016</v>
      </c>
      <c r="AS3674" s="7">
        <v>0.39837168574084181</v>
      </c>
    </row>
    <row r="3675" spans="44:45" x14ac:dyDescent="0.25">
      <c r="AR3675" s="11">
        <v>0.38000000000000017</v>
      </c>
      <c r="AS3675" s="7">
        <v>0.39837168574084181</v>
      </c>
    </row>
    <row r="3676" spans="44:45" x14ac:dyDescent="0.25">
      <c r="AR3676" s="11">
        <v>0.39000000000000018</v>
      </c>
      <c r="AS3676" s="7">
        <v>0.39837168574084181</v>
      </c>
    </row>
    <row r="3677" spans="44:45" x14ac:dyDescent="0.25">
      <c r="AR3677" s="11">
        <v>0.40000000000000019</v>
      </c>
      <c r="AS3677" s="7">
        <v>0.39837168574084181</v>
      </c>
    </row>
    <row r="3678" spans="44:45" x14ac:dyDescent="0.25">
      <c r="AR3678" s="11">
        <v>0.4100000000000002</v>
      </c>
      <c r="AS3678" s="7">
        <v>0.39837168574084181</v>
      </c>
    </row>
    <row r="3679" spans="44:45" x14ac:dyDescent="0.25">
      <c r="AR3679" s="11">
        <v>0.42000000000000021</v>
      </c>
      <c r="AS3679" s="7">
        <v>0.39837168574084181</v>
      </c>
    </row>
    <row r="3680" spans="44:45" x14ac:dyDescent="0.25">
      <c r="AR3680" s="11">
        <v>0.43000000000000022</v>
      </c>
      <c r="AS3680" s="7">
        <v>0.39837168574084181</v>
      </c>
    </row>
    <row r="3681" spans="44:45" x14ac:dyDescent="0.25">
      <c r="AR3681" s="11">
        <v>0.44000000000000022</v>
      </c>
      <c r="AS3681" s="7">
        <v>0.39837168574084181</v>
      </c>
    </row>
    <row r="3682" spans="44:45" x14ac:dyDescent="0.25">
      <c r="AR3682" s="11">
        <v>0.45000000000000023</v>
      </c>
      <c r="AS3682" s="7">
        <v>0.39837168574084181</v>
      </c>
    </row>
    <row r="3683" spans="44:45" x14ac:dyDescent="0.25">
      <c r="AR3683" s="11">
        <v>0.46000000000000024</v>
      </c>
      <c r="AS3683" s="7">
        <v>0.39837168574084181</v>
      </c>
    </row>
    <row r="3684" spans="44:45" x14ac:dyDescent="0.25">
      <c r="AR3684" s="11">
        <v>0.47000000000000025</v>
      </c>
      <c r="AS3684" s="7">
        <v>0.39837168574084181</v>
      </c>
    </row>
    <row r="3685" spans="44:45" x14ac:dyDescent="0.25">
      <c r="AR3685" s="11">
        <v>0.48000000000000026</v>
      </c>
      <c r="AS3685" s="7">
        <v>0.39837168574084181</v>
      </c>
    </row>
    <row r="3686" spans="44:45" x14ac:dyDescent="0.25">
      <c r="AR3686" s="11">
        <v>0.49000000000000027</v>
      </c>
      <c r="AS3686" s="7">
        <v>0.39837168574084181</v>
      </c>
    </row>
    <row r="3687" spans="44:45" x14ac:dyDescent="0.25">
      <c r="AR3687" s="11">
        <v>0.50000000000000022</v>
      </c>
      <c r="AS3687" s="7">
        <v>0.39837168574084181</v>
      </c>
    </row>
    <row r="3688" spans="44:45" x14ac:dyDescent="0.25">
      <c r="AR3688" s="11">
        <v>0.51000000000000023</v>
      </c>
      <c r="AS3688" s="7">
        <v>0.39837168574084181</v>
      </c>
    </row>
    <row r="3689" spans="44:45" x14ac:dyDescent="0.25">
      <c r="AR3689" s="11">
        <v>0.52000000000000024</v>
      </c>
      <c r="AS3689" s="7">
        <v>0.39837168574084181</v>
      </c>
    </row>
    <row r="3690" spans="44:45" x14ac:dyDescent="0.25">
      <c r="AR3690" s="11">
        <v>0.53000000000000025</v>
      </c>
      <c r="AS3690" s="7">
        <v>0.39837168574084181</v>
      </c>
    </row>
    <row r="3691" spans="44:45" x14ac:dyDescent="0.25">
      <c r="AR3691" s="11">
        <v>0.54000000000000026</v>
      </c>
      <c r="AS3691" s="7">
        <v>0.39837168574084181</v>
      </c>
    </row>
    <row r="3692" spans="44:45" x14ac:dyDescent="0.25">
      <c r="AR3692" s="11">
        <v>0.55000000000000027</v>
      </c>
      <c r="AS3692" s="7">
        <v>0.39837168574084181</v>
      </c>
    </row>
    <row r="3693" spans="44:45" x14ac:dyDescent="0.25">
      <c r="AR3693" s="11">
        <v>0.56000000000000028</v>
      </c>
      <c r="AS3693" s="7">
        <v>0.39837168574084181</v>
      </c>
    </row>
    <row r="3694" spans="44:45" x14ac:dyDescent="0.25">
      <c r="AR3694" s="11">
        <v>0.57000000000000028</v>
      </c>
      <c r="AS3694" s="7">
        <v>0.39837168574084181</v>
      </c>
    </row>
    <row r="3695" spans="44:45" x14ac:dyDescent="0.25">
      <c r="AR3695" s="11">
        <v>0.58000000000000029</v>
      </c>
      <c r="AS3695" s="7">
        <v>0.39837168574084181</v>
      </c>
    </row>
    <row r="3696" spans="44:45" x14ac:dyDescent="0.25">
      <c r="AR3696" s="11">
        <v>0.5900000000000003</v>
      </c>
      <c r="AS3696" s="7">
        <v>0.39837168574084181</v>
      </c>
    </row>
    <row r="3697" spans="44:45" x14ac:dyDescent="0.25">
      <c r="AR3697" s="11">
        <v>0.60000000000000031</v>
      </c>
      <c r="AS3697" s="7">
        <v>0.39837168574084181</v>
      </c>
    </row>
    <row r="3698" spans="44:45" x14ac:dyDescent="0.25">
      <c r="AR3698" s="11">
        <v>0.61000000000000032</v>
      </c>
      <c r="AS3698" s="7">
        <v>0.39837168574084181</v>
      </c>
    </row>
    <row r="3699" spans="44:45" x14ac:dyDescent="0.25">
      <c r="AR3699" s="11">
        <v>0.62000000000000033</v>
      </c>
      <c r="AS3699" s="7">
        <v>0.39837168574084181</v>
      </c>
    </row>
    <row r="3700" spans="44:45" x14ac:dyDescent="0.25">
      <c r="AR3700" s="11">
        <v>0.63000000000000034</v>
      </c>
      <c r="AS3700" s="7">
        <v>0.39837168574084181</v>
      </c>
    </row>
    <row r="3701" spans="44:45" x14ac:dyDescent="0.25">
      <c r="AR3701" s="11">
        <v>0.64000000000000035</v>
      </c>
      <c r="AS3701" s="7">
        <v>0.39837168574084181</v>
      </c>
    </row>
    <row r="3702" spans="44:45" x14ac:dyDescent="0.25">
      <c r="AR3702" s="11">
        <v>0.65000000000000036</v>
      </c>
      <c r="AS3702" s="7">
        <v>0.39837168574084181</v>
      </c>
    </row>
    <row r="3703" spans="44:45" x14ac:dyDescent="0.25">
      <c r="AR3703" s="11">
        <v>0.66000000000000036</v>
      </c>
      <c r="AS3703" s="7">
        <v>0.39837168574084181</v>
      </c>
    </row>
    <row r="3704" spans="44:45" x14ac:dyDescent="0.25">
      <c r="AR3704" s="11">
        <v>0.67000000000000037</v>
      </c>
      <c r="AS3704" s="7">
        <v>0.39837168574084181</v>
      </c>
    </row>
    <row r="3705" spans="44:45" x14ac:dyDescent="0.25">
      <c r="AR3705" s="11">
        <v>0.68000000000000038</v>
      </c>
      <c r="AS3705" s="7">
        <v>0.39837168574084181</v>
      </c>
    </row>
    <row r="3706" spans="44:45" x14ac:dyDescent="0.25">
      <c r="AR3706" s="11">
        <v>0.69000000000000039</v>
      </c>
      <c r="AS3706" s="7">
        <v>0.39837168574084181</v>
      </c>
    </row>
    <row r="3707" spans="44:45" x14ac:dyDescent="0.25">
      <c r="AR3707" s="11">
        <v>0.7000000000000004</v>
      </c>
      <c r="AS3707" s="7">
        <v>0.39837168574084181</v>
      </c>
    </row>
    <row r="3708" spans="44:45" x14ac:dyDescent="0.25">
      <c r="AR3708" s="11">
        <v>0.71000000000000041</v>
      </c>
      <c r="AS3708" s="7">
        <v>0.39837168574084181</v>
      </c>
    </row>
    <row r="3709" spans="44:45" x14ac:dyDescent="0.25">
      <c r="AR3709" s="11">
        <v>0.72000000000000042</v>
      </c>
      <c r="AS3709" s="7">
        <v>0.39837168574084181</v>
      </c>
    </row>
    <row r="3710" spans="44:45" x14ac:dyDescent="0.25">
      <c r="AR3710" s="11">
        <v>0.73000000000000043</v>
      </c>
      <c r="AS3710" s="7">
        <v>0.39837168574084181</v>
      </c>
    </row>
    <row r="3711" spans="44:45" x14ac:dyDescent="0.25">
      <c r="AR3711" s="11">
        <v>0.74000000000000044</v>
      </c>
      <c r="AS3711" s="7">
        <v>0.39837168574084181</v>
      </c>
    </row>
    <row r="3712" spans="44:45" x14ac:dyDescent="0.25">
      <c r="AR3712" s="11">
        <v>0.75000000000000044</v>
      </c>
      <c r="AS3712" s="7">
        <v>0.39837168574084181</v>
      </c>
    </row>
    <row r="3713" spans="44:45" x14ac:dyDescent="0.25">
      <c r="AR3713" s="11">
        <v>0.76000000000000045</v>
      </c>
      <c r="AS3713" s="7">
        <v>0.39837168574084181</v>
      </c>
    </row>
    <row r="3714" spans="44:45" x14ac:dyDescent="0.25">
      <c r="AR3714" s="11">
        <v>0.77000000000000046</v>
      </c>
      <c r="AS3714" s="7">
        <v>0.39837168574084181</v>
      </c>
    </row>
    <row r="3715" spans="44:45" x14ac:dyDescent="0.25">
      <c r="AR3715" s="11"/>
      <c r="AS3715" s="7"/>
    </row>
    <row r="3716" spans="44:45" x14ac:dyDescent="0.25">
      <c r="AR3716" s="11">
        <v>0.23500000000000007</v>
      </c>
      <c r="AS3716" s="7">
        <v>0.40703193977868612</v>
      </c>
    </row>
    <row r="3717" spans="44:45" x14ac:dyDescent="0.25">
      <c r="AR3717" s="11">
        <v>0.24500000000000008</v>
      </c>
      <c r="AS3717" s="7">
        <v>0.40703193977868612</v>
      </c>
    </row>
    <row r="3718" spans="44:45" x14ac:dyDescent="0.25">
      <c r="AR3718" s="11">
        <v>0.25500000000000006</v>
      </c>
      <c r="AS3718" s="7">
        <v>0.40703193977868612</v>
      </c>
    </row>
    <row r="3719" spans="44:45" x14ac:dyDescent="0.25">
      <c r="AR3719" s="11">
        <v>0.26500000000000007</v>
      </c>
      <c r="AS3719" s="7">
        <v>0.40703193977868612</v>
      </c>
    </row>
    <row r="3720" spans="44:45" x14ac:dyDescent="0.25">
      <c r="AR3720" s="11">
        <v>0.27500000000000008</v>
      </c>
      <c r="AS3720" s="7">
        <v>0.40703193977868612</v>
      </c>
    </row>
    <row r="3721" spans="44:45" x14ac:dyDescent="0.25">
      <c r="AR3721" s="11">
        <v>0.28500000000000009</v>
      </c>
      <c r="AS3721" s="7">
        <v>0.40703193977868612</v>
      </c>
    </row>
    <row r="3722" spans="44:45" x14ac:dyDescent="0.25">
      <c r="AR3722" s="11">
        <v>0.2950000000000001</v>
      </c>
      <c r="AS3722" s="7">
        <v>0.40703193977868612</v>
      </c>
    </row>
    <row r="3723" spans="44:45" x14ac:dyDescent="0.25">
      <c r="AR3723" s="11">
        <v>0.3050000000000001</v>
      </c>
      <c r="AS3723" s="7">
        <v>0.40703193977868612</v>
      </c>
    </row>
    <row r="3724" spans="44:45" x14ac:dyDescent="0.25">
      <c r="AR3724" s="11">
        <v>0.31500000000000011</v>
      </c>
      <c r="AS3724" s="7">
        <v>0.40703193977868612</v>
      </c>
    </row>
    <row r="3725" spans="44:45" x14ac:dyDescent="0.25">
      <c r="AR3725" s="11">
        <v>0.32500000000000012</v>
      </c>
      <c r="AS3725" s="7">
        <v>0.40703193977868612</v>
      </c>
    </row>
    <row r="3726" spans="44:45" x14ac:dyDescent="0.25">
      <c r="AR3726" s="11">
        <v>0.33500000000000013</v>
      </c>
      <c r="AS3726" s="7">
        <v>0.40703193977868612</v>
      </c>
    </row>
    <row r="3727" spans="44:45" x14ac:dyDescent="0.25">
      <c r="AR3727" s="11">
        <v>0.34500000000000014</v>
      </c>
      <c r="AS3727" s="7">
        <v>0.40703193977868612</v>
      </c>
    </row>
    <row r="3728" spans="44:45" x14ac:dyDescent="0.25">
      <c r="AR3728" s="11">
        <v>0.35500000000000015</v>
      </c>
      <c r="AS3728" s="7">
        <v>0.40703193977868612</v>
      </c>
    </row>
    <row r="3729" spans="44:45" x14ac:dyDescent="0.25">
      <c r="AR3729" s="11">
        <v>0.36500000000000016</v>
      </c>
      <c r="AS3729" s="7">
        <v>0.40703193977868612</v>
      </c>
    </row>
    <row r="3730" spans="44:45" x14ac:dyDescent="0.25">
      <c r="AR3730" s="11">
        <v>0.37500000000000017</v>
      </c>
      <c r="AS3730" s="7">
        <v>0.40703193977868612</v>
      </c>
    </row>
    <row r="3731" spans="44:45" x14ac:dyDescent="0.25">
      <c r="AR3731" s="11">
        <v>0.38500000000000018</v>
      </c>
      <c r="AS3731" s="7">
        <v>0.40703193977868612</v>
      </c>
    </row>
    <row r="3732" spans="44:45" x14ac:dyDescent="0.25">
      <c r="AR3732" s="11">
        <v>0.39500000000000018</v>
      </c>
      <c r="AS3732" s="7">
        <v>0.40703193977868612</v>
      </c>
    </row>
    <row r="3733" spans="44:45" x14ac:dyDescent="0.25">
      <c r="AR3733" s="11">
        <v>0.40500000000000019</v>
      </c>
      <c r="AS3733" s="7">
        <v>0.40703193977868612</v>
      </c>
    </row>
    <row r="3734" spans="44:45" x14ac:dyDescent="0.25">
      <c r="AR3734" s="11">
        <v>0.4150000000000002</v>
      </c>
      <c r="AS3734" s="7">
        <v>0.40703193977868612</v>
      </c>
    </row>
    <row r="3735" spans="44:45" x14ac:dyDescent="0.25">
      <c r="AR3735" s="11">
        <v>0.42500000000000021</v>
      </c>
      <c r="AS3735" s="7">
        <v>0.40703193977868612</v>
      </c>
    </row>
    <row r="3736" spans="44:45" x14ac:dyDescent="0.25">
      <c r="AR3736" s="11">
        <v>0.43500000000000022</v>
      </c>
      <c r="AS3736" s="7">
        <v>0.40703193977868612</v>
      </c>
    </row>
    <row r="3737" spans="44:45" x14ac:dyDescent="0.25">
      <c r="AR3737" s="11">
        <v>0.44500000000000023</v>
      </c>
      <c r="AS3737" s="7">
        <v>0.40703193977868612</v>
      </c>
    </row>
    <row r="3738" spans="44:45" x14ac:dyDescent="0.25">
      <c r="AR3738" s="11">
        <v>0.45500000000000024</v>
      </c>
      <c r="AS3738" s="7">
        <v>0.40703193977868612</v>
      </c>
    </row>
    <row r="3739" spans="44:45" x14ac:dyDescent="0.25">
      <c r="AR3739" s="11">
        <v>0.46500000000000025</v>
      </c>
      <c r="AS3739" s="7">
        <v>0.40703193977868612</v>
      </c>
    </row>
    <row r="3740" spans="44:45" x14ac:dyDescent="0.25">
      <c r="AR3740" s="11">
        <v>0.47500000000000026</v>
      </c>
      <c r="AS3740" s="7">
        <v>0.40703193977868612</v>
      </c>
    </row>
    <row r="3741" spans="44:45" x14ac:dyDescent="0.25">
      <c r="AR3741" s="11">
        <v>0.48500000000000026</v>
      </c>
      <c r="AS3741" s="7">
        <v>0.40703193977868612</v>
      </c>
    </row>
    <row r="3742" spans="44:45" x14ac:dyDescent="0.25">
      <c r="AR3742" s="11">
        <v>0.49500000000000027</v>
      </c>
      <c r="AS3742" s="7">
        <v>0.40703193977868612</v>
      </c>
    </row>
    <row r="3743" spans="44:45" x14ac:dyDescent="0.25">
      <c r="AR3743" s="11">
        <v>0.50500000000000023</v>
      </c>
      <c r="AS3743" s="7">
        <v>0.40703193977868612</v>
      </c>
    </row>
    <row r="3744" spans="44:45" x14ac:dyDescent="0.25">
      <c r="AR3744" s="11">
        <v>0.51500000000000024</v>
      </c>
      <c r="AS3744" s="7">
        <v>0.40703193977868612</v>
      </c>
    </row>
    <row r="3745" spans="44:45" x14ac:dyDescent="0.25">
      <c r="AR3745" s="11">
        <v>0.52500000000000024</v>
      </c>
      <c r="AS3745" s="7">
        <v>0.40703193977868612</v>
      </c>
    </row>
    <row r="3746" spans="44:45" x14ac:dyDescent="0.25">
      <c r="AR3746" s="11">
        <v>0.53500000000000025</v>
      </c>
      <c r="AS3746" s="7">
        <v>0.40703193977868612</v>
      </c>
    </row>
    <row r="3747" spans="44:45" x14ac:dyDescent="0.25">
      <c r="AR3747" s="11">
        <v>0.54500000000000026</v>
      </c>
      <c r="AS3747" s="7">
        <v>0.40703193977868612</v>
      </c>
    </row>
    <row r="3748" spans="44:45" x14ac:dyDescent="0.25">
      <c r="AR3748" s="11">
        <v>0.55500000000000027</v>
      </c>
      <c r="AS3748" s="7">
        <v>0.40703193977868612</v>
      </c>
    </row>
    <row r="3749" spans="44:45" x14ac:dyDescent="0.25">
      <c r="AR3749" s="11">
        <v>0.56500000000000028</v>
      </c>
      <c r="AS3749" s="7">
        <v>0.40703193977868612</v>
      </c>
    </row>
    <row r="3750" spans="44:45" x14ac:dyDescent="0.25">
      <c r="AR3750" s="11">
        <v>0.57500000000000029</v>
      </c>
      <c r="AS3750" s="7">
        <v>0.40703193977868612</v>
      </c>
    </row>
    <row r="3751" spans="44:45" x14ac:dyDescent="0.25">
      <c r="AR3751" s="11">
        <v>0.5850000000000003</v>
      </c>
      <c r="AS3751" s="7">
        <v>0.40703193977868612</v>
      </c>
    </row>
    <row r="3752" spans="44:45" x14ac:dyDescent="0.25">
      <c r="AR3752" s="11">
        <v>0.59500000000000031</v>
      </c>
      <c r="AS3752" s="7">
        <v>0.40703193977868612</v>
      </c>
    </row>
    <row r="3753" spans="44:45" x14ac:dyDescent="0.25">
      <c r="AR3753" s="11">
        <v>0.60500000000000032</v>
      </c>
      <c r="AS3753" s="7">
        <v>0.40703193977868612</v>
      </c>
    </row>
    <row r="3754" spans="44:45" x14ac:dyDescent="0.25">
      <c r="AR3754" s="11">
        <v>0.61500000000000032</v>
      </c>
      <c r="AS3754" s="7">
        <v>0.40703193977868612</v>
      </c>
    </row>
    <row r="3755" spans="44:45" x14ac:dyDescent="0.25">
      <c r="AR3755" s="11">
        <v>0.62500000000000033</v>
      </c>
      <c r="AS3755" s="7">
        <v>0.40703193977868612</v>
      </c>
    </row>
    <row r="3756" spans="44:45" x14ac:dyDescent="0.25">
      <c r="AR3756" s="11">
        <v>0.63500000000000034</v>
      </c>
      <c r="AS3756" s="7">
        <v>0.40703193977868612</v>
      </c>
    </row>
    <row r="3757" spans="44:45" x14ac:dyDescent="0.25">
      <c r="AR3757" s="11">
        <v>0.64500000000000035</v>
      </c>
      <c r="AS3757" s="7">
        <v>0.40703193977868612</v>
      </c>
    </row>
    <row r="3758" spans="44:45" x14ac:dyDescent="0.25">
      <c r="AR3758" s="11">
        <v>0.65500000000000036</v>
      </c>
      <c r="AS3758" s="7">
        <v>0.40703193977868612</v>
      </c>
    </row>
    <row r="3759" spans="44:45" x14ac:dyDescent="0.25">
      <c r="AR3759" s="11">
        <v>0.66500000000000037</v>
      </c>
      <c r="AS3759" s="7">
        <v>0.40703193977868612</v>
      </c>
    </row>
    <row r="3760" spans="44:45" x14ac:dyDescent="0.25">
      <c r="AR3760" s="11">
        <v>0.67500000000000038</v>
      </c>
      <c r="AS3760" s="7">
        <v>0.40703193977868612</v>
      </c>
    </row>
    <row r="3761" spans="44:45" x14ac:dyDescent="0.25">
      <c r="AR3761" s="11">
        <v>0.68500000000000039</v>
      </c>
      <c r="AS3761" s="7">
        <v>0.40703193977868612</v>
      </c>
    </row>
    <row r="3762" spans="44:45" x14ac:dyDescent="0.25">
      <c r="AR3762" s="11">
        <v>0.6950000000000004</v>
      </c>
      <c r="AS3762" s="7">
        <v>0.40703193977868612</v>
      </c>
    </row>
    <row r="3763" spans="44:45" x14ac:dyDescent="0.25">
      <c r="AR3763" s="11">
        <v>0.7050000000000004</v>
      </c>
      <c r="AS3763" s="7">
        <v>0.40703193977868612</v>
      </c>
    </row>
    <row r="3764" spans="44:45" x14ac:dyDescent="0.25">
      <c r="AR3764" s="11">
        <v>0.71500000000000041</v>
      </c>
      <c r="AS3764" s="7">
        <v>0.40703193977868612</v>
      </c>
    </row>
    <row r="3765" spans="44:45" x14ac:dyDescent="0.25">
      <c r="AR3765" s="11">
        <v>0.72500000000000042</v>
      </c>
      <c r="AS3765" s="7">
        <v>0.40703193977868612</v>
      </c>
    </row>
    <row r="3766" spans="44:45" x14ac:dyDescent="0.25">
      <c r="AR3766" s="11">
        <v>0.73500000000000043</v>
      </c>
      <c r="AS3766" s="7">
        <v>0.40703193977868612</v>
      </c>
    </row>
    <row r="3767" spans="44:45" x14ac:dyDescent="0.25">
      <c r="AR3767" s="11">
        <v>0.74500000000000044</v>
      </c>
      <c r="AS3767" s="7">
        <v>0.40703193977868612</v>
      </c>
    </row>
    <row r="3768" spans="44:45" x14ac:dyDescent="0.25">
      <c r="AR3768" s="11">
        <v>0.75500000000000045</v>
      </c>
      <c r="AS3768" s="7">
        <v>0.40703193977868612</v>
      </c>
    </row>
    <row r="3769" spans="44:45" x14ac:dyDescent="0.25">
      <c r="AR3769" s="11">
        <v>0.76500000000000046</v>
      </c>
      <c r="AS3769" s="7">
        <v>0.40703193977868612</v>
      </c>
    </row>
    <row r="3770" spans="44:45" x14ac:dyDescent="0.25">
      <c r="AR3770" s="11"/>
      <c r="AS3770" s="7"/>
    </row>
    <row r="3771" spans="44:45" x14ac:dyDescent="0.25">
      <c r="AR3771" s="11">
        <v>0.24000000000000007</v>
      </c>
      <c r="AS3771" s="7">
        <v>0.41569219381653055</v>
      </c>
    </row>
    <row r="3772" spans="44:45" x14ac:dyDescent="0.25">
      <c r="AR3772" s="11">
        <v>0.25000000000000006</v>
      </c>
      <c r="AS3772" s="7">
        <v>0.41569219381653055</v>
      </c>
    </row>
    <row r="3773" spans="44:45" x14ac:dyDescent="0.25">
      <c r="AR3773" s="11">
        <v>0.26000000000000006</v>
      </c>
      <c r="AS3773" s="7">
        <v>0.41569219381653055</v>
      </c>
    </row>
    <row r="3774" spans="44:45" x14ac:dyDescent="0.25">
      <c r="AR3774" s="11">
        <v>0.27000000000000007</v>
      </c>
      <c r="AS3774" s="7">
        <v>0.41569219381653055</v>
      </c>
    </row>
    <row r="3775" spans="44:45" x14ac:dyDescent="0.25">
      <c r="AR3775" s="11">
        <v>0.28000000000000008</v>
      </c>
      <c r="AS3775" s="7">
        <v>0.41569219381653055</v>
      </c>
    </row>
    <row r="3776" spans="44:45" x14ac:dyDescent="0.25">
      <c r="AR3776" s="11">
        <v>0.29000000000000009</v>
      </c>
      <c r="AS3776" s="7">
        <v>0.41569219381653055</v>
      </c>
    </row>
    <row r="3777" spans="44:45" x14ac:dyDescent="0.25">
      <c r="AR3777" s="11">
        <v>0.3000000000000001</v>
      </c>
      <c r="AS3777" s="7">
        <v>0.41569219381653055</v>
      </c>
    </row>
    <row r="3778" spans="44:45" x14ac:dyDescent="0.25">
      <c r="AR3778" s="11">
        <v>0.31000000000000011</v>
      </c>
      <c r="AS3778" s="7">
        <v>0.41569219381653055</v>
      </c>
    </row>
    <row r="3779" spans="44:45" x14ac:dyDescent="0.25">
      <c r="AR3779" s="11">
        <v>0.32000000000000012</v>
      </c>
      <c r="AS3779" s="7">
        <v>0.41569219381653055</v>
      </c>
    </row>
    <row r="3780" spans="44:45" x14ac:dyDescent="0.25">
      <c r="AR3780" s="11">
        <v>0.33000000000000013</v>
      </c>
      <c r="AS3780" s="7">
        <v>0.41569219381653055</v>
      </c>
    </row>
    <row r="3781" spans="44:45" x14ac:dyDescent="0.25">
      <c r="AR3781" s="11">
        <v>0.34000000000000014</v>
      </c>
      <c r="AS3781" s="7">
        <v>0.41569219381653055</v>
      </c>
    </row>
    <row r="3782" spans="44:45" x14ac:dyDescent="0.25">
      <c r="AR3782" s="11">
        <v>0.35000000000000014</v>
      </c>
      <c r="AS3782" s="7">
        <v>0.41569219381653055</v>
      </c>
    </row>
    <row r="3783" spans="44:45" x14ac:dyDescent="0.25">
      <c r="AR3783" s="11">
        <v>0.36000000000000015</v>
      </c>
      <c r="AS3783" s="7">
        <v>0.41569219381653055</v>
      </c>
    </row>
    <row r="3784" spans="44:45" x14ac:dyDescent="0.25">
      <c r="AR3784" s="11">
        <v>0.37000000000000016</v>
      </c>
      <c r="AS3784" s="7">
        <v>0.41569219381653055</v>
      </c>
    </row>
    <row r="3785" spans="44:45" x14ac:dyDescent="0.25">
      <c r="AR3785" s="11">
        <v>0.38000000000000017</v>
      </c>
      <c r="AS3785" s="7">
        <v>0.41569219381653055</v>
      </c>
    </row>
    <row r="3786" spans="44:45" x14ac:dyDescent="0.25">
      <c r="AR3786" s="11">
        <v>0.39000000000000018</v>
      </c>
      <c r="AS3786" s="7">
        <v>0.41569219381653055</v>
      </c>
    </row>
    <row r="3787" spans="44:45" x14ac:dyDescent="0.25">
      <c r="AR3787" s="11">
        <v>0.40000000000000019</v>
      </c>
      <c r="AS3787" s="7">
        <v>0.41569219381653055</v>
      </c>
    </row>
    <row r="3788" spans="44:45" x14ac:dyDescent="0.25">
      <c r="AR3788" s="11">
        <v>0.4100000000000002</v>
      </c>
      <c r="AS3788" s="7">
        <v>0.41569219381653055</v>
      </c>
    </row>
    <row r="3789" spans="44:45" x14ac:dyDescent="0.25">
      <c r="AR3789" s="11">
        <v>0.42000000000000021</v>
      </c>
      <c r="AS3789" s="7">
        <v>0.41569219381653055</v>
      </c>
    </row>
    <row r="3790" spans="44:45" x14ac:dyDescent="0.25">
      <c r="AR3790" s="11">
        <v>0.43000000000000022</v>
      </c>
      <c r="AS3790" s="7">
        <v>0.41569219381653055</v>
      </c>
    </row>
    <row r="3791" spans="44:45" x14ac:dyDescent="0.25">
      <c r="AR3791" s="11">
        <v>0.44000000000000022</v>
      </c>
      <c r="AS3791" s="7">
        <v>0.41569219381653055</v>
      </c>
    </row>
    <row r="3792" spans="44:45" x14ac:dyDescent="0.25">
      <c r="AR3792" s="11">
        <v>0.45000000000000023</v>
      </c>
      <c r="AS3792" s="7">
        <v>0.41569219381653055</v>
      </c>
    </row>
    <row r="3793" spans="44:45" x14ac:dyDescent="0.25">
      <c r="AR3793" s="11">
        <v>0.46000000000000024</v>
      </c>
      <c r="AS3793" s="7">
        <v>0.41569219381653055</v>
      </c>
    </row>
    <row r="3794" spans="44:45" x14ac:dyDescent="0.25">
      <c r="AR3794" s="11">
        <v>0.47000000000000025</v>
      </c>
      <c r="AS3794" s="7">
        <v>0.41569219381653055</v>
      </c>
    </row>
    <row r="3795" spans="44:45" x14ac:dyDescent="0.25">
      <c r="AR3795" s="11">
        <v>0.48000000000000026</v>
      </c>
      <c r="AS3795" s="7">
        <v>0.41569219381653055</v>
      </c>
    </row>
    <row r="3796" spans="44:45" x14ac:dyDescent="0.25">
      <c r="AR3796" s="11">
        <v>0.49000000000000027</v>
      </c>
      <c r="AS3796" s="7">
        <v>0.41569219381653055</v>
      </c>
    </row>
    <row r="3797" spans="44:45" x14ac:dyDescent="0.25">
      <c r="AR3797" s="11">
        <v>0.50000000000000022</v>
      </c>
      <c r="AS3797" s="7">
        <v>0.41569219381653055</v>
      </c>
    </row>
    <row r="3798" spans="44:45" x14ac:dyDescent="0.25">
      <c r="AR3798" s="11">
        <v>0.51000000000000023</v>
      </c>
      <c r="AS3798" s="7">
        <v>0.41569219381653055</v>
      </c>
    </row>
    <row r="3799" spans="44:45" x14ac:dyDescent="0.25">
      <c r="AR3799" s="11">
        <v>0.52000000000000024</v>
      </c>
      <c r="AS3799" s="7">
        <v>0.41569219381653055</v>
      </c>
    </row>
    <row r="3800" spans="44:45" x14ac:dyDescent="0.25">
      <c r="AR3800" s="11">
        <v>0.53000000000000025</v>
      </c>
      <c r="AS3800" s="7">
        <v>0.41569219381653055</v>
      </c>
    </row>
    <row r="3801" spans="44:45" x14ac:dyDescent="0.25">
      <c r="AR3801" s="11">
        <v>0.54000000000000026</v>
      </c>
      <c r="AS3801" s="7">
        <v>0.41569219381653055</v>
      </c>
    </row>
    <row r="3802" spans="44:45" x14ac:dyDescent="0.25">
      <c r="AR3802" s="11">
        <v>0.55000000000000027</v>
      </c>
      <c r="AS3802" s="7">
        <v>0.41569219381653055</v>
      </c>
    </row>
    <row r="3803" spans="44:45" x14ac:dyDescent="0.25">
      <c r="AR3803" s="11">
        <v>0.56000000000000028</v>
      </c>
      <c r="AS3803" s="7">
        <v>0.41569219381653055</v>
      </c>
    </row>
    <row r="3804" spans="44:45" x14ac:dyDescent="0.25">
      <c r="AR3804" s="11">
        <v>0.57000000000000028</v>
      </c>
      <c r="AS3804" s="7">
        <v>0.41569219381653055</v>
      </c>
    </row>
    <row r="3805" spans="44:45" x14ac:dyDescent="0.25">
      <c r="AR3805" s="11">
        <v>0.58000000000000029</v>
      </c>
      <c r="AS3805" s="7">
        <v>0.41569219381653055</v>
      </c>
    </row>
    <row r="3806" spans="44:45" x14ac:dyDescent="0.25">
      <c r="AR3806" s="11">
        <v>0.5900000000000003</v>
      </c>
      <c r="AS3806" s="7">
        <v>0.41569219381653055</v>
      </c>
    </row>
    <row r="3807" spans="44:45" x14ac:dyDescent="0.25">
      <c r="AR3807" s="11">
        <v>0.60000000000000031</v>
      </c>
      <c r="AS3807" s="7">
        <v>0.41569219381653055</v>
      </c>
    </row>
    <row r="3808" spans="44:45" x14ac:dyDescent="0.25">
      <c r="AR3808" s="11">
        <v>0.61000000000000032</v>
      </c>
      <c r="AS3808" s="7">
        <v>0.41569219381653055</v>
      </c>
    </row>
    <row r="3809" spans="44:45" x14ac:dyDescent="0.25">
      <c r="AR3809" s="11">
        <v>0.62000000000000033</v>
      </c>
      <c r="AS3809" s="7">
        <v>0.41569219381653055</v>
      </c>
    </row>
    <row r="3810" spans="44:45" x14ac:dyDescent="0.25">
      <c r="AR3810" s="11">
        <v>0.63000000000000034</v>
      </c>
      <c r="AS3810" s="7">
        <v>0.41569219381653055</v>
      </c>
    </row>
    <row r="3811" spans="44:45" x14ac:dyDescent="0.25">
      <c r="AR3811" s="11">
        <v>0.64000000000000035</v>
      </c>
      <c r="AS3811" s="7">
        <v>0.41569219381653055</v>
      </c>
    </row>
    <row r="3812" spans="44:45" x14ac:dyDescent="0.25">
      <c r="AR3812" s="11">
        <v>0.65000000000000036</v>
      </c>
      <c r="AS3812" s="7">
        <v>0.41569219381653055</v>
      </c>
    </row>
    <row r="3813" spans="44:45" x14ac:dyDescent="0.25">
      <c r="AR3813" s="11">
        <v>0.66000000000000036</v>
      </c>
      <c r="AS3813" s="7">
        <v>0.41569219381653055</v>
      </c>
    </row>
    <row r="3814" spans="44:45" x14ac:dyDescent="0.25">
      <c r="AR3814" s="11">
        <v>0.67000000000000037</v>
      </c>
      <c r="AS3814" s="7">
        <v>0.41569219381653055</v>
      </c>
    </row>
    <row r="3815" spans="44:45" x14ac:dyDescent="0.25">
      <c r="AR3815" s="11">
        <v>0.68000000000000038</v>
      </c>
      <c r="AS3815" s="7">
        <v>0.41569219381653055</v>
      </c>
    </row>
    <row r="3816" spans="44:45" x14ac:dyDescent="0.25">
      <c r="AR3816" s="11">
        <v>0.69000000000000039</v>
      </c>
      <c r="AS3816" s="7">
        <v>0.41569219381653055</v>
      </c>
    </row>
    <row r="3817" spans="44:45" x14ac:dyDescent="0.25">
      <c r="AR3817" s="11">
        <v>0.7000000000000004</v>
      </c>
      <c r="AS3817" s="7">
        <v>0.41569219381653055</v>
      </c>
    </row>
    <row r="3818" spans="44:45" x14ac:dyDescent="0.25">
      <c r="AR3818" s="11">
        <v>0.71000000000000041</v>
      </c>
      <c r="AS3818" s="7">
        <v>0.41569219381653055</v>
      </c>
    </row>
    <row r="3819" spans="44:45" x14ac:dyDescent="0.25">
      <c r="AR3819" s="11">
        <v>0.72000000000000042</v>
      </c>
      <c r="AS3819" s="7">
        <v>0.41569219381653055</v>
      </c>
    </row>
    <row r="3820" spans="44:45" x14ac:dyDescent="0.25">
      <c r="AR3820" s="11">
        <v>0.73000000000000043</v>
      </c>
      <c r="AS3820" s="7">
        <v>0.41569219381653055</v>
      </c>
    </row>
    <row r="3821" spans="44:45" x14ac:dyDescent="0.25">
      <c r="AR3821" s="11">
        <v>0.74000000000000044</v>
      </c>
      <c r="AS3821" s="7">
        <v>0.41569219381653055</v>
      </c>
    </row>
    <row r="3822" spans="44:45" x14ac:dyDescent="0.25">
      <c r="AR3822" s="11">
        <v>0.75000000000000044</v>
      </c>
      <c r="AS3822" s="7">
        <v>0.41569219381653055</v>
      </c>
    </row>
    <row r="3823" spans="44:45" x14ac:dyDescent="0.25">
      <c r="AR3823" s="11">
        <v>0.76000000000000045</v>
      </c>
      <c r="AS3823" s="7">
        <v>0.41569219381653055</v>
      </c>
    </row>
    <row r="3824" spans="44:45" x14ac:dyDescent="0.25">
      <c r="AR3824" s="11"/>
      <c r="AS3824" s="7"/>
    </row>
    <row r="3825" spans="44:45" x14ac:dyDescent="0.25">
      <c r="AR3825" s="11">
        <v>0.24500000000000008</v>
      </c>
      <c r="AS3825" s="7">
        <v>0.42435244785437493</v>
      </c>
    </row>
    <row r="3826" spans="44:45" x14ac:dyDescent="0.25">
      <c r="AR3826" s="11">
        <v>0.25500000000000006</v>
      </c>
      <c r="AS3826" s="7">
        <v>0.42435244785437493</v>
      </c>
    </row>
    <row r="3827" spans="44:45" x14ac:dyDescent="0.25">
      <c r="AR3827" s="11">
        <v>0.26500000000000007</v>
      </c>
      <c r="AS3827" s="7">
        <v>0.42435244785437493</v>
      </c>
    </row>
    <row r="3828" spans="44:45" x14ac:dyDescent="0.25">
      <c r="AR3828" s="11">
        <v>0.27500000000000008</v>
      </c>
      <c r="AS3828" s="7">
        <v>0.42435244785437493</v>
      </c>
    </row>
    <row r="3829" spans="44:45" x14ac:dyDescent="0.25">
      <c r="AR3829" s="11">
        <v>0.28500000000000009</v>
      </c>
      <c r="AS3829" s="7">
        <v>0.42435244785437493</v>
      </c>
    </row>
    <row r="3830" spans="44:45" x14ac:dyDescent="0.25">
      <c r="AR3830" s="11">
        <v>0.2950000000000001</v>
      </c>
      <c r="AS3830" s="7">
        <v>0.42435244785437493</v>
      </c>
    </row>
    <row r="3831" spans="44:45" x14ac:dyDescent="0.25">
      <c r="AR3831" s="11">
        <v>0.3050000000000001</v>
      </c>
      <c r="AS3831" s="7">
        <v>0.42435244785437493</v>
      </c>
    </row>
    <row r="3832" spans="44:45" x14ac:dyDescent="0.25">
      <c r="AR3832" s="11">
        <v>0.31500000000000011</v>
      </c>
      <c r="AS3832" s="7">
        <v>0.42435244785437493</v>
      </c>
    </row>
    <row r="3833" spans="44:45" x14ac:dyDescent="0.25">
      <c r="AR3833" s="11">
        <v>0.32500000000000012</v>
      </c>
      <c r="AS3833" s="7">
        <v>0.42435244785437493</v>
      </c>
    </row>
    <row r="3834" spans="44:45" x14ac:dyDescent="0.25">
      <c r="AR3834" s="11">
        <v>0.33500000000000013</v>
      </c>
      <c r="AS3834" s="7">
        <v>0.42435244785437493</v>
      </c>
    </row>
    <row r="3835" spans="44:45" x14ac:dyDescent="0.25">
      <c r="AR3835" s="11">
        <v>0.34500000000000014</v>
      </c>
      <c r="AS3835" s="7">
        <v>0.42435244785437493</v>
      </c>
    </row>
    <row r="3836" spans="44:45" x14ac:dyDescent="0.25">
      <c r="AR3836" s="11">
        <v>0.35500000000000015</v>
      </c>
      <c r="AS3836" s="7">
        <v>0.42435244785437493</v>
      </c>
    </row>
    <row r="3837" spans="44:45" x14ac:dyDescent="0.25">
      <c r="AR3837" s="11">
        <v>0.36500000000000016</v>
      </c>
      <c r="AS3837" s="7">
        <v>0.42435244785437493</v>
      </c>
    </row>
    <row r="3838" spans="44:45" x14ac:dyDescent="0.25">
      <c r="AR3838" s="11">
        <v>0.37500000000000017</v>
      </c>
      <c r="AS3838" s="7">
        <v>0.42435244785437493</v>
      </c>
    </row>
    <row r="3839" spans="44:45" x14ac:dyDescent="0.25">
      <c r="AR3839" s="11">
        <v>0.38500000000000018</v>
      </c>
      <c r="AS3839" s="7">
        <v>0.42435244785437493</v>
      </c>
    </row>
    <row r="3840" spans="44:45" x14ac:dyDescent="0.25">
      <c r="AR3840" s="11">
        <v>0.39500000000000018</v>
      </c>
      <c r="AS3840" s="7">
        <v>0.42435244785437493</v>
      </c>
    </row>
    <row r="3841" spans="44:45" x14ac:dyDescent="0.25">
      <c r="AR3841" s="11">
        <v>0.40500000000000019</v>
      </c>
      <c r="AS3841" s="7">
        <v>0.42435244785437493</v>
      </c>
    </row>
    <row r="3842" spans="44:45" x14ac:dyDescent="0.25">
      <c r="AR3842" s="11">
        <v>0.4150000000000002</v>
      </c>
      <c r="AS3842" s="7">
        <v>0.42435244785437493</v>
      </c>
    </row>
    <row r="3843" spans="44:45" x14ac:dyDescent="0.25">
      <c r="AR3843" s="11">
        <v>0.42500000000000021</v>
      </c>
      <c r="AS3843" s="7">
        <v>0.42435244785437493</v>
      </c>
    </row>
    <row r="3844" spans="44:45" x14ac:dyDescent="0.25">
      <c r="AR3844" s="11">
        <v>0.43500000000000022</v>
      </c>
      <c r="AS3844" s="7">
        <v>0.42435244785437493</v>
      </c>
    </row>
    <row r="3845" spans="44:45" x14ac:dyDescent="0.25">
      <c r="AR3845" s="11">
        <v>0.44500000000000023</v>
      </c>
      <c r="AS3845" s="7">
        <v>0.42435244785437493</v>
      </c>
    </row>
    <row r="3846" spans="44:45" x14ac:dyDescent="0.25">
      <c r="AR3846" s="11">
        <v>0.45500000000000024</v>
      </c>
      <c r="AS3846" s="7">
        <v>0.42435244785437493</v>
      </c>
    </row>
    <row r="3847" spans="44:45" x14ac:dyDescent="0.25">
      <c r="AR3847" s="11">
        <v>0.46500000000000025</v>
      </c>
      <c r="AS3847" s="7">
        <v>0.42435244785437493</v>
      </c>
    </row>
    <row r="3848" spans="44:45" x14ac:dyDescent="0.25">
      <c r="AR3848" s="11">
        <v>0.47500000000000026</v>
      </c>
      <c r="AS3848" s="7">
        <v>0.42435244785437493</v>
      </c>
    </row>
    <row r="3849" spans="44:45" x14ac:dyDescent="0.25">
      <c r="AR3849" s="11">
        <v>0.48500000000000026</v>
      </c>
      <c r="AS3849" s="7">
        <v>0.42435244785437493</v>
      </c>
    </row>
    <row r="3850" spans="44:45" x14ac:dyDescent="0.25">
      <c r="AR3850" s="11">
        <v>0.49500000000000027</v>
      </c>
      <c r="AS3850" s="7">
        <v>0.42435244785437493</v>
      </c>
    </row>
    <row r="3851" spans="44:45" x14ac:dyDescent="0.25">
      <c r="AR3851" s="11">
        <v>0.50500000000000023</v>
      </c>
      <c r="AS3851" s="7">
        <v>0.42435244785437493</v>
      </c>
    </row>
    <row r="3852" spans="44:45" x14ac:dyDescent="0.25">
      <c r="AR3852" s="11">
        <v>0.51500000000000024</v>
      </c>
      <c r="AS3852" s="7">
        <v>0.42435244785437493</v>
      </c>
    </row>
    <row r="3853" spans="44:45" x14ac:dyDescent="0.25">
      <c r="AR3853" s="11">
        <v>0.52500000000000024</v>
      </c>
      <c r="AS3853" s="7">
        <v>0.42435244785437493</v>
      </c>
    </row>
    <row r="3854" spans="44:45" x14ac:dyDescent="0.25">
      <c r="AR3854" s="11">
        <v>0.53500000000000025</v>
      </c>
      <c r="AS3854" s="7">
        <v>0.42435244785437493</v>
      </c>
    </row>
    <row r="3855" spans="44:45" x14ac:dyDescent="0.25">
      <c r="AR3855" s="11">
        <v>0.54500000000000026</v>
      </c>
      <c r="AS3855" s="7">
        <v>0.42435244785437493</v>
      </c>
    </row>
    <row r="3856" spans="44:45" x14ac:dyDescent="0.25">
      <c r="AR3856" s="11">
        <v>0.55500000000000027</v>
      </c>
      <c r="AS3856" s="7">
        <v>0.42435244785437493</v>
      </c>
    </row>
    <row r="3857" spans="44:45" x14ac:dyDescent="0.25">
      <c r="AR3857" s="11">
        <v>0.56500000000000028</v>
      </c>
      <c r="AS3857" s="7">
        <v>0.42435244785437493</v>
      </c>
    </row>
    <row r="3858" spans="44:45" x14ac:dyDescent="0.25">
      <c r="AR3858" s="11">
        <v>0.57500000000000029</v>
      </c>
      <c r="AS3858" s="7">
        <v>0.42435244785437493</v>
      </c>
    </row>
    <row r="3859" spans="44:45" x14ac:dyDescent="0.25">
      <c r="AR3859" s="11">
        <v>0.5850000000000003</v>
      </c>
      <c r="AS3859" s="7">
        <v>0.42435244785437493</v>
      </c>
    </row>
    <row r="3860" spans="44:45" x14ac:dyDescent="0.25">
      <c r="AR3860" s="11">
        <v>0.59500000000000031</v>
      </c>
      <c r="AS3860" s="7">
        <v>0.42435244785437493</v>
      </c>
    </row>
    <row r="3861" spans="44:45" x14ac:dyDescent="0.25">
      <c r="AR3861" s="11">
        <v>0.60500000000000032</v>
      </c>
      <c r="AS3861" s="7">
        <v>0.42435244785437493</v>
      </c>
    </row>
    <row r="3862" spans="44:45" x14ac:dyDescent="0.25">
      <c r="AR3862" s="11">
        <v>0.61500000000000032</v>
      </c>
      <c r="AS3862" s="7">
        <v>0.42435244785437493</v>
      </c>
    </row>
    <row r="3863" spans="44:45" x14ac:dyDescent="0.25">
      <c r="AR3863" s="11">
        <v>0.62500000000000033</v>
      </c>
      <c r="AS3863" s="7">
        <v>0.42435244785437493</v>
      </c>
    </row>
    <row r="3864" spans="44:45" x14ac:dyDescent="0.25">
      <c r="AR3864" s="11">
        <v>0.63500000000000034</v>
      </c>
      <c r="AS3864" s="7">
        <v>0.42435244785437493</v>
      </c>
    </row>
    <row r="3865" spans="44:45" x14ac:dyDescent="0.25">
      <c r="AR3865" s="11">
        <v>0.64500000000000035</v>
      </c>
      <c r="AS3865" s="7">
        <v>0.42435244785437493</v>
      </c>
    </row>
    <row r="3866" spans="44:45" x14ac:dyDescent="0.25">
      <c r="AR3866" s="11">
        <v>0.65500000000000036</v>
      </c>
      <c r="AS3866" s="7">
        <v>0.42435244785437493</v>
      </c>
    </row>
    <row r="3867" spans="44:45" x14ac:dyDescent="0.25">
      <c r="AR3867" s="11">
        <v>0.66500000000000037</v>
      </c>
      <c r="AS3867" s="7">
        <v>0.42435244785437493</v>
      </c>
    </row>
    <row r="3868" spans="44:45" x14ac:dyDescent="0.25">
      <c r="AR3868" s="11">
        <v>0.67500000000000038</v>
      </c>
      <c r="AS3868" s="7">
        <v>0.42435244785437493</v>
      </c>
    </row>
    <row r="3869" spans="44:45" x14ac:dyDescent="0.25">
      <c r="AR3869" s="11">
        <v>0.68500000000000039</v>
      </c>
      <c r="AS3869" s="7">
        <v>0.42435244785437493</v>
      </c>
    </row>
    <row r="3870" spans="44:45" x14ac:dyDescent="0.25">
      <c r="AR3870" s="11">
        <v>0.6950000000000004</v>
      </c>
      <c r="AS3870" s="7">
        <v>0.42435244785437493</v>
      </c>
    </row>
    <row r="3871" spans="44:45" x14ac:dyDescent="0.25">
      <c r="AR3871" s="11">
        <v>0.7050000000000004</v>
      </c>
      <c r="AS3871" s="7">
        <v>0.42435244785437493</v>
      </c>
    </row>
    <row r="3872" spans="44:45" x14ac:dyDescent="0.25">
      <c r="AR3872" s="11">
        <v>0.71500000000000041</v>
      </c>
      <c r="AS3872" s="7">
        <v>0.42435244785437493</v>
      </c>
    </row>
    <row r="3873" spans="44:45" x14ac:dyDescent="0.25">
      <c r="AR3873" s="11">
        <v>0.72500000000000042</v>
      </c>
      <c r="AS3873" s="7">
        <v>0.42435244785437493</v>
      </c>
    </row>
    <row r="3874" spans="44:45" x14ac:dyDescent="0.25">
      <c r="AR3874" s="11">
        <v>0.73500000000000043</v>
      </c>
      <c r="AS3874" s="7">
        <v>0.42435244785437493</v>
      </c>
    </row>
    <row r="3875" spans="44:45" x14ac:dyDescent="0.25">
      <c r="AR3875" s="11">
        <v>0.74500000000000044</v>
      </c>
      <c r="AS3875" s="7">
        <v>0.42435244785437493</v>
      </c>
    </row>
    <row r="3876" spans="44:45" x14ac:dyDescent="0.25">
      <c r="AR3876" s="11">
        <v>0.75500000000000045</v>
      </c>
      <c r="AS3876" s="7">
        <v>0.42435244785437493</v>
      </c>
    </row>
    <row r="3877" spans="44:45" x14ac:dyDescent="0.25">
      <c r="AR3877" s="11"/>
      <c r="AS3877" s="7"/>
    </row>
    <row r="3878" spans="44:45" x14ac:dyDescent="0.25">
      <c r="AR3878" s="11">
        <v>0.25000000000000006</v>
      </c>
      <c r="AS3878" s="7">
        <v>0.4330127018922193</v>
      </c>
    </row>
    <row r="3879" spans="44:45" x14ac:dyDescent="0.25">
      <c r="AR3879" s="11">
        <v>0.26000000000000006</v>
      </c>
      <c r="AS3879" s="7">
        <v>0.4330127018922193</v>
      </c>
    </row>
    <row r="3880" spans="44:45" x14ac:dyDescent="0.25">
      <c r="AR3880" s="11">
        <v>0.27000000000000007</v>
      </c>
      <c r="AS3880" s="7">
        <v>0.4330127018922193</v>
      </c>
    </row>
    <row r="3881" spans="44:45" x14ac:dyDescent="0.25">
      <c r="AR3881" s="11">
        <v>0.28000000000000008</v>
      </c>
      <c r="AS3881" s="7">
        <v>0.4330127018922193</v>
      </c>
    </row>
    <row r="3882" spans="44:45" x14ac:dyDescent="0.25">
      <c r="AR3882" s="11">
        <v>0.29000000000000009</v>
      </c>
      <c r="AS3882" s="7">
        <v>0.4330127018922193</v>
      </c>
    </row>
    <row r="3883" spans="44:45" x14ac:dyDescent="0.25">
      <c r="AR3883" s="11">
        <v>0.3000000000000001</v>
      </c>
      <c r="AS3883" s="7">
        <v>0.4330127018922193</v>
      </c>
    </row>
    <row r="3884" spans="44:45" x14ac:dyDescent="0.25">
      <c r="AR3884" s="11">
        <v>0.31000000000000011</v>
      </c>
      <c r="AS3884" s="7">
        <v>0.4330127018922193</v>
      </c>
    </row>
    <row r="3885" spans="44:45" x14ac:dyDescent="0.25">
      <c r="AR3885" s="11">
        <v>0.32000000000000012</v>
      </c>
      <c r="AS3885" s="7">
        <v>0.4330127018922193</v>
      </c>
    </row>
    <row r="3886" spans="44:45" x14ac:dyDescent="0.25">
      <c r="AR3886" s="11">
        <v>0.33000000000000013</v>
      </c>
      <c r="AS3886" s="7">
        <v>0.4330127018922193</v>
      </c>
    </row>
    <row r="3887" spans="44:45" x14ac:dyDescent="0.25">
      <c r="AR3887" s="11">
        <v>0.34000000000000014</v>
      </c>
      <c r="AS3887" s="7">
        <v>0.4330127018922193</v>
      </c>
    </row>
    <row r="3888" spans="44:45" x14ac:dyDescent="0.25">
      <c r="AR3888" s="11">
        <v>0.35000000000000014</v>
      </c>
      <c r="AS3888" s="7">
        <v>0.4330127018922193</v>
      </c>
    </row>
    <row r="3889" spans="44:45" x14ac:dyDescent="0.25">
      <c r="AR3889" s="11">
        <v>0.36000000000000015</v>
      </c>
      <c r="AS3889" s="7">
        <v>0.4330127018922193</v>
      </c>
    </row>
    <row r="3890" spans="44:45" x14ac:dyDescent="0.25">
      <c r="AR3890" s="11">
        <v>0.37000000000000016</v>
      </c>
      <c r="AS3890" s="7">
        <v>0.4330127018922193</v>
      </c>
    </row>
    <row r="3891" spans="44:45" x14ac:dyDescent="0.25">
      <c r="AR3891" s="11">
        <v>0.38000000000000017</v>
      </c>
      <c r="AS3891" s="7">
        <v>0.4330127018922193</v>
      </c>
    </row>
    <row r="3892" spans="44:45" x14ac:dyDescent="0.25">
      <c r="AR3892" s="11">
        <v>0.39000000000000018</v>
      </c>
      <c r="AS3892" s="7">
        <v>0.4330127018922193</v>
      </c>
    </row>
    <row r="3893" spans="44:45" x14ac:dyDescent="0.25">
      <c r="AR3893" s="11">
        <v>0.40000000000000019</v>
      </c>
      <c r="AS3893" s="7">
        <v>0.4330127018922193</v>
      </c>
    </row>
    <row r="3894" spans="44:45" x14ac:dyDescent="0.25">
      <c r="AR3894" s="11">
        <v>0.4100000000000002</v>
      </c>
      <c r="AS3894" s="7">
        <v>0.4330127018922193</v>
      </c>
    </row>
    <row r="3895" spans="44:45" x14ac:dyDescent="0.25">
      <c r="AR3895" s="11">
        <v>0.42000000000000021</v>
      </c>
      <c r="AS3895" s="7">
        <v>0.4330127018922193</v>
      </c>
    </row>
    <row r="3896" spans="44:45" x14ac:dyDescent="0.25">
      <c r="AR3896" s="11">
        <v>0.43000000000000022</v>
      </c>
      <c r="AS3896" s="7">
        <v>0.4330127018922193</v>
      </c>
    </row>
    <row r="3897" spans="44:45" x14ac:dyDescent="0.25">
      <c r="AR3897" s="11">
        <v>0.44000000000000022</v>
      </c>
      <c r="AS3897" s="7">
        <v>0.4330127018922193</v>
      </c>
    </row>
    <row r="3898" spans="44:45" x14ac:dyDescent="0.25">
      <c r="AR3898" s="11">
        <v>0.45000000000000023</v>
      </c>
      <c r="AS3898" s="7">
        <v>0.4330127018922193</v>
      </c>
    </row>
    <row r="3899" spans="44:45" x14ac:dyDescent="0.25">
      <c r="AR3899" s="11">
        <v>0.46000000000000024</v>
      </c>
      <c r="AS3899" s="7">
        <v>0.4330127018922193</v>
      </c>
    </row>
    <row r="3900" spans="44:45" x14ac:dyDescent="0.25">
      <c r="AR3900" s="11">
        <v>0.47000000000000025</v>
      </c>
      <c r="AS3900" s="7">
        <v>0.4330127018922193</v>
      </c>
    </row>
    <row r="3901" spans="44:45" x14ac:dyDescent="0.25">
      <c r="AR3901" s="11">
        <v>0.48000000000000026</v>
      </c>
      <c r="AS3901" s="7">
        <v>0.4330127018922193</v>
      </c>
    </row>
    <row r="3902" spans="44:45" x14ac:dyDescent="0.25">
      <c r="AR3902" s="11">
        <v>0.49000000000000027</v>
      </c>
      <c r="AS3902" s="7">
        <v>0.4330127018922193</v>
      </c>
    </row>
    <row r="3903" spans="44:45" x14ac:dyDescent="0.25">
      <c r="AR3903" s="11">
        <v>0.50000000000000022</v>
      </c>
      <c r="AS3903" s="7">
        <v>0.4330127018922193</v>
      </c>
    </row>
    <row r="3904" spans="44:45" x14ac:dyDescent="0.25">
      <c r="AR3904" s="11">
        <v>0.51000000000000023</v>
      </c>
      <c r="AS3904" s="7">
        <v>0.4330127018922193</v>
      </c>
    </row>
    <row r="3905" spans="44:45" x14ac:dyDescent="0.25">
      <c r="AR3905" s="11">
        <v>0.52000000000000024</v>
      </c>
      <c r="AS3905" s="7">
        <v>0.4330127018922193</v>
      </c>
    </row>
    <row r="3906" spans="44:45" x14ac:dyDescent="0.25">
      <c r="AR3906" s="11">
        <v>0.53000000000000025</v>
      </c>
      <c r="AS3906" s="7">
        <v>0.4330127018922193</v>
      </c>
    </row>
    <row r="3907" spans="44:45" x14ac:dyDescent="0.25">
      <c r="AR3907" s="11">
        <v>0.54000000000000026</v>
      </c>
      <c r="AS3907" s="7">
        <v>0.4330127018922193</v>
      </c>
    </row>
    <row r="3908" spans="44:45" x14ac:dyDescent="0.25">
      <c r="AR3908" s="11">
        <v>0.55000000000000027</v>
      </c>
      <c r="AS3908" s="7">
        <v>0.4330127018922193</v>
      </c>
    </row>
    <row r="3909" spans="44:45" x14ac:dyDescent="0.25">
      <c r="AR3909" s="11">
        <v>0.56000000000000028</v>
      </c>
      <c r="AS3909" s="7">
        <v>0.4330127018922193</v>
      </c>
    </row>
    <row r="3910" spans="44:45" x14ac:dyDescent="0.25">
      <c r="AR3910" s="11">
        <v>0.57000000000000028</v>
      </c>
      <c r="AS3910" s="7">
        <v>0.4330127018922193</v>
      </c>
    </row>
    <row r="3911" spans="44:45" x14ac:dyDescent="0.25">
      <c r="AR3911" s="11">
        <v>0.58000000000000029</v>
      </c>
      <c r="AS3911" s="7">
        <v>0.4330127018922193</v>
      </c>
    </row>
    <row r="3912" spans="44:45" x14ac:dyDescent="0.25">
      <c r="AR3912" s="11">
        <v>0.5900000000000003</v>
      </c>
      <c r="AS3912" s="7">
        <v>0.4330127018922193</v>
      </c>
    </row>
    <row r="3913" spans="44:45" x14ac:dyDescent="0.25">
      <c r="AR3913" s="11">
        <v>0.60000000000000031</v>
      </c>
      <c r="AS3913" s="7">
        <v>0.4330127018922193</v>
      </c>
    </row>
    <row r="3914" spans="44:45" x14ac:dyDescent="0.25">
      <c r="AR3914" s="11">
        <v>0.61000000000000032</v>
      </c>
      <c r="AS3914" s="7">
        <v>0.4330127018922193</v>
      </c>
    </row>
    <row r="3915" spans="44:45" x14ac:dyDescent="0.25">
      <c r="AR3915" s="11">
        <v>0.62000000000000033</v>
      </c>
      <c r="AS3915" s="7">
        <v>0.4330127018922193</v>
      </c>
    </row>
    <row r="3916" spans="44:45" x14ac:dyDescent="0.25">
      <c r="AR3916" s="11">
        <v>0.63000000000000034</v>
      </c>
      <c r="AS3916" s="7">
        <v>0.4330127018922193</v>
      </c>
    </row>
    <row r="3917" spans="44:45" x14ac:dyDescent="0.25">
      <c r="AR3917" s="11">
        <v>0.64000000000000035</v>
      </c>
      <c r="AS3917" s="7">
        <v>0.4330127018922193</v>
      </c>
    </row>
    <row r="3918" spans="44:45" x14ac:dyDescent="0.25">
      <c r="AR3918" s="11">
        <v>0.65000000000000036</v>
      </c>
      <c r="AS3918" s="7">
        <v>0.4330127018922193</v>
      </c>
    </row>
    <row r="3919" spans="44:45" x14ac:dyDescent="0.25">
      <c r="AR3919" s="11">
        <v>0.66000000000000036</v>
      </c>
      <c r="AS3919" s="7">
        <v>0.4330127018922193</v>
      </c>
    </row>
    <row r="3920" spans="44:45" x14ac:dyDescent="0.25">
      <c r="AR3920" s="11">
        <v>0.67000000000000037</v>
      </c>
      <c r="AS3920" s="7">
        <v>0.4330127018922193</v>
      </c>
    </row>
    <row r="3921" spans="44:45" x14ac:dyDescent="0.25">
      <c r="AR3921" s="11">
        <v>0.68000000000000038</v>
      </c>
      <c r="AS3921" s="7">
        <v>0.4330127018922193</v>
      </c>
    </row>
    <row r="3922" spans="44:45" x14ac:dyDescent="0.25">
      <c r="AR3922" s="11">
        <v>0.69000000000000039</v>
      </c>
      <c r="AS3922" s="7">
        <v>0.4330127018922193</v>
      </c>
    </row>
    <row r="3923" spans="44:45" x14ac:dyDescent="0.25">
      <c r="AR3923" s="11">
        <v>0.7000000000000004</v>
      </c>
      <c r="AS3923" s="7">
        <v>0.4330127018922193</v>
      </c>
    </row>
    <row r="3924" spans="44:45" x14ac:dyDescent="0.25">
      <c r="AR3924" s="11">
        <v>0.71000000000000041</v>
      </c>
      <c r="AS3924" s="7">
        <v>0.4330127018922193</v>
      </c>
    </row>
    <row r="3925" spans="44:45" x14ac:dyDescent="0.25">
      <c r="AR3925" s="11">
        <v>0.72000000000000042</v>
      </c>
      <c r="AS3925" s="7">
        <v>0.4330127018922193</v>
      </c>
    </row>
    <row r="3926" spans="44:45" x14ac:dyDescent="0.25">
      <c r="AR3926" s="11">
        <v>0.73000000000000043</v>
      </c>
      <c r="AS3926" s="7">
        <v>0.4330127018922193</v>
      </c>
    </row>
    <row r="3927" spans="44:45" x14ac:dyDescent="0.25">
      <c r="AR3927" s="11">
        <v>0.74000000000000044</v>
      </c>
      <c r="AS3927" s="7">
        <v>0.4330127018922193</v>
      </c>
    </row>
    <row r="3928" spans="44:45" x14ac:dyDescent="0.25">
      <c r="AR3928" s="11">
        <v>0.75000000000000044</v>
      </c>
      <c r="AS3928" s="7">
        <v>0.4330127018922193</v>
      </c>
    </row>
    <row r="3929" spans="44:45" x14ac:dyDescent="0.25">
      <c r="AR3929" s="11"/>
      <c r="AS3929" s="7"/>
    </row>
    <row r="3930" spans="44:45" x14ac:dyDescent="0.25">
      <c r="AR3930" s="11">
        <v>0.25500000000000006</v>
      </c>
      <c r="AS3930" s="7">
        <v>0.44167295593006373</v>
      </c>
    </row>
    <row r="3931" spans="44:45" x14ac:dyDescent="0.25">
      <c r="AR3931" s="11">
        <v>0.26500000000000007</v>
      </c>
      <c r="AS3931" s="7">
        <v>0.44167295593006373</v>
      </c>
    </row>
    <row r="3932" spans="44:45" x14ac:dyDescent="0.25">
      <c r="AR3932" s="11">
        <v>0.27500000000000008</v>
      </c>
      <c r="AS3932" s="7">
        <v>0.44167295593006373</v>
      </c>
    </row>
    <row r="3933" spans="44:45" x14ac:dyDescent="0.25">
      <c r="AR3933" s="11">
        <v>0.28500000000000009</v>
      </c>
      <c r="AS3933" s="7">
        <v>0.44167295593006373</v>
      </c>
    </row>
    <row r="3934" spans="44:45" x14ac:dyDescent="0.25">
      <c r="AR3934" s="11">
        <v>0.2950000000000001</v>
      </c>
      <c r="AS3934" s="7">
        <v>0.44167295593006373</v>
      </c>
    </row>
    <row r="3935" spans="44:45" x14ac:dyDescent="0.25">
      <c r="AR3935" s="11">
        <v>0.3050000000000001</v>
      </c>
      <c r="AS3935" s="7">
        <v>0.44167295593006373</v>
      </c>
    </row>
    <row r="3936" spans="44:45" x14ac:dyDescent="0.25">
      <c r="AR3936" s="11">
        <v>0.31500000000000011</v>
      </c>
      <c r="AS3936" s="7">
        <v>0.44167295593006373</v>
      </c>
    </row>
    <row r="3937" spans="44:45" x14ac:dyDescent="0.25">
      <c r="AR3937" s="11">
        <v>0.32500000000000012</v>
      </c>
      <c r="AS3937" s="7">
        <v>0.44167295593006373</v>
      </c>
    </row>
    <row r="3938" spans="44:45" x14ac:dyDescent="0.25">
      <c r="AR3938" s="11">
        <v>0.33500000000000013</v>
      </c>
      <c r="AS3938" s="7">
        <v>0.44167295593006373</v>
      </c>
    </row>
    <row r="3939" spans="44:45" x14ac:dyDescent="0.25">
      <c r="AR3939" s="11">
        <v>0.34500000000000014</v>
      </c>
      <c r="AS3939" s="7">
        <v>0.44167295593006373</v>
      </c>
    </row>
    <row r="3940" spans="44:45" x14ac:dyDescent="0.25">
      <c r="AR3940" s="11">
        <v>0.35500000000000015</v>
      </c>
      <c r="AS3940" s="7">
        <v>0.44167295593006373</v>
      </c>
    </row>
    <row r="3941" spans="44:45" x14ac:dyDescent="0.25">
      <c r="AR3941" s="11">
        <v>0.36500000000000016</v>
      </c>
      <c r="AS3941" s="7">
        <v>0.44167295593006373</v>
      </c>
    </row>
    <row r="3942" spans="44:45" x14ac:dyDescent="0.25">
      <c r="AR3942" s="11">
        <v>0.37500000000000017</v>
      </c>
      <c r="AS3942" s="7">
        <v>0.44167295593006373</v>
      </c>
    </row>
    <row r="3943" spans="44:45" x14ac:dyDescent="0.25">
      <c r="AR3943" s="11">
        <v>0.38500000000000018</v>
      </c>
      <c r="AS3943" s="7">
        <v>0.44167295593006373</v>
      </c>
    </row>
    <row r="3944" spans="44:45" x14ac:dyDescent="0.25">
      <c r="AR3944" s="11">
        <v>0.39500000000000018</v>
      </c>
      <c r="AS3944" s="7">
        <v>0.44167295593006373</v>
      </c>
    </row>
    <row r="3945" spans="44:45" x14ac:dyDescent="0.25">
      <c r="AR3945" s="11">
        <v>0.40500000000000019</v>
      </c>
      <c r="AS3945" s="7">
        <v>0.44167295593006373</v>
      </c>
    </row>
    <row r="3946" spans="44:45" x14ac:dyDescent="0.25">
      <c r="AR3946" s="11">
        <v>0.4150000000000002</v>
      </c>
      <c r="AS3946" s="7">
        <v>0.44167295593006373</v>
      </c>
    </row>
    <row r="3947" spans="44:45" x14ac:dyDescent="0.25">
      <c r="AR3947" s="11">
        <v>0.42500000000000021</v>
      </c>
      <c r="AS3947" s="7">
        <v>0.44167295593006373</v>
      </c>
    </row>
    <row r="3948" spans="44:45" x14ac:dyDescent="0.25">
      <c r="AR3948" s="11">
        <v>0.43500000000000022</v>
      </c>
      <c r="AS3948" s="7">
        <v>0.44167295593006373</v>
      </c>
    </row>
    <row r="3949" spans="44:45" x14ac:dyDescent="0.25">
      <c r="AR3949" s="11">
        <v>0.44500000000000023</v>
      </c>
      <c r="AS3949" s="7">
        <v>0.44167295593006373</v>
      </c>
    </row>
    <row r="3950" spans="44:45" x14ac:dyDescent="0.25">
      <c r="AR3950" s="11">
        <v>0.45500000000000024</v>
      </c>
      <c r="AS3950" s="7">
        <v>0.44167295593006373</v>
      </c>
    </row>
    <row r="3951" spans="44:45" x14ac:dyDescent="0.25">
      <c r="AR3951" s="11">
        <v>0.46500000000000025</v>
      </c>
      <c r="AS3951" s="7">
        <v>0.44167295593006373</v>
      </c>
    </row>
    <row r="3952" spans="44:45" x14ac:dyDescent="0.25">
      <c r="AR3952" s="11">
        <v>0.47500000000000026</v>
      </c>
      <c r="AS3952" s="7">
        <v>0.44167295593006373</v>
      </c>
    </row>
    <row r="3953" spans="44:45" x14ac:dyDescent="0.25">
      <c r="AR3953" s="11">
        <v>0.48500000000000026</v>
      </c>
      <c r="AS3953" s="7">
        <v>0.44167295593006373</v>
      </c>
    </row>
    <row r="3954" spans="44:45" x14ac:dyDescent="0.25">
      <c r="AR3954" s="11">
        <v>0.49500000000000027</v>
      </c>
      <c r="AS3954" s="7">
        <v>0.44167295593006373</v>
      </c>
    </row>
    <row r="3955" spans="44:45" x14ac:dyDescent="0.25">
      <c r="AR3955" s="11">
        <v>0.50500000000000023</v>
      </c>
      <c r="AS3955" s="7">
        <v>0.44167295593006373</v>
      </c>
    </row>
    <row r="3956" spans="44:45" x14ac:dyDescent="0.25">
      <c r="AR3956" s="11">
        <v>0.51500000000000024</v>
      </c>
      <c r="AS3956" s="7">
        <v>0.44167295593006373</v>
      </c>
    </row>
    <row r="3957" spans="44:45" x14ac:dyDescent="0.25">
      <c r="AR3957" s="11">
        <v>0.52500000000000024</v>
      </c>
      <c r="AS3957" s="7">
        <v>0.44167295593006373</v>
      </c>
    </row>
    <row r="3958" spans="44:45" x14ac:dyDescent="0.25">
      <c r="AR3958" s="11">
        <v>0.53500000000000025</v>
      </c>
      <c r="AS3958" s="7">
        <v>0.44167295593006373</v>
      </c>
    </row>
    <row r="3959" spans="44:45" x14ac:dyDescent="0.25">
      <c r="AR3959" s="11">
        <v>0.54500000000000026</v>
      </c>
      <c r="AS3959" s="7">
        <v>0.44167295593006373</v>
      </c>
    </row>
    <row r="3960" spans="44:45" x14ac:dyDescent="0.25">
      <c r="AR3960" s="11">
        <v>0.55500000000000027</v>
      </c>
      <c r="AS3960" s="7">
        <v>0.44167295593006373</v>
      </c>
    </row>
    <row r="3961" spans="44:45" x14ac:dyDescent="0.25">
      <c r="AR3961" s="11">
        <v>0.56500000000000028</v>
      </c>
      <c r="AS3961" s="7">
        <v>0.44167295593006373</v>
      </c>
    </row>
    <row r="3962" spans="44:45" x14ac:dyDescent="0.25">
      <c r="AR3962" s="11">
        <v>0.57500000000000029</v>
      </c>
      <c r="AS3962" s="7">
        <v>0.44167295593006373</v>
      </c>
    </row>
    <row r="3963" spans="44:45" x14ac:dyDescent="0.25">
      <c r="AR3963" s="11">
        <v>0.5850000000000003</v>
      </c>
      <c r="AS3963" s="7">
        <v>0.44167295593006373</v>
      </c>
    </row>
    <row r="3964" spans="44:45" x14ac:dyDescent="0.25">
      <c r="AR3964" s="11">
        <v>0.59500000000000031</v>
      </c>
      <c r="AS3964" s="7">
        <v>0.44167295593006373</v>
      </c>
    </row>
    <row r="3965" spans="44:45" x14ac:dyDescent="0.25">
      <c r="AR3965" s="11">
        <v>0.60500000000000032</v>
      </c>
      <c r="AS3965" s="7">
        <v>0.44167295593006373</v>
      </c>
    </row>
    <row r="3966" spans="44:45" x14ac:dyDescent="0.25">
      <c r="AR3966" s="11">
        <v>0.61500000000000032</v>
      </c>
      <c r="AS3966" s="7">
        <v>0.44167295593006373</v>
      </c>
    </row>
    <row r="3967" spans="44:45" x14ac:dyDescent="0.25">
      <c r="AR3967" s="11">
        <v>0.62500000000000033</v>
      </c>
      <c r="AS3967" s="7">
        <v>0.44167295593006373</v>
      </c>
    </row>
    <row r="3968" spans="44:45" x14ac:dyDescent="0.25">
      <c r="AR3968" s="11">
        <v>0.63500000000000034</v>
      </c>
      <c r="AS3968" s="7">
        <v>0.44167295593006373</v>
      </c>
    </row>
    <row r="3969" spans="44:45" x14ac:dyDescent="0.25">
      <c r="AR3969" s="11">
        <v>0.64500000000000035</v>
      </c>
      <c r="AS3969" s="7">
        <v>0.44167295593006373</v>
      </c>
    </row>
    <row r="3970" spans="44:45" x14ac:dyDescent="0.25">
      <c r="AR3970" s="11">
        <v>0.65500000000000036</v>
      </c>
      <c r="AS3970" s="7">
        <v>0.44167295593006373</v>
      </c>
    </row>
    <row r="3971" spans="44:45" x14ac:dyDescent="0.25">
      <c r="AR3971" s="11">
        <v>0.66500000000000037</v>
      </c>
      <c r="AS3971" s="7">
        <v>0.44167295593006373</v>
      </c>
    </row>
    <row r="3972" spans="44:45" x14ac:dyDescent="0.25">
      <c r="AR3972" s="11">
        <v>0.67500000000000038</v>
      </c>
      <c r="AS3972" s="7">
        <v>0.44167295593006373</v>
      </c>
    </row>
    <row r="3973" spans="44:45" x14ac:dyDescent="0.25">
      <c r="AR3973" s="11">
        <v>0.68500000000000039</v>
      </c>
      <c r="AS3973" s="7">
        <v>0.44167295593006373</v>
      </c>
    </row>
    <row r="3974" spans="44:45" x14ac:dyDescent="0.25">
      <c r="AR3974" s="11">
        <v>0.6950000000000004</v>
      </c>
      <c r="AS3974" s="7">
        <v>0.44167295593006373</v>
      </c>
    </row>
    <row r="3975" spans="44:45" x14ac:dyDescent="0.25">
      <c r="AR3975" s="11">
        <v>0.7050000000000004</v>
      </c>
      <c r="AS3975" s="7">
        <v>0.44167295593006373</v>
      </c>
    </row>
    <row r="3976" spans="44:45" x14ac:dyDescent="0.25">
      <c r="AR3976" s="11">
        <v>0.71500000000000041</v>
      </c>
      <c r="AS3976" s="7">
        <v>0.44167295593006373</v>
      </c>
    </row>
    <row r="3977" spans="44:45" x14ac:dyDescent="0.25">
      <c r="AR3977" s="11">
        <v>0.72500000000000042</v>
      </c>
      <c r="AS3977" s="7">
        <v>0.44167295593006373</v>
      </c>
    </row>
    <row r="3978" spans="44:45" x14ac:dyDescent="0.25">
      <c r="AR3978" s="11">
        <v>0.73500000000000043</v>
      </c>
      <c r="AS3978" s="7">
        <v>0.44167295593006373</v>
      </c>
    </row>
    <row r="3979" spans="44:45" x14ac:dyDescent="0.25">
      <c r="AR3979" s="11">
        <v>0.74500000000000044</v>
      </c>
      <c r="AS3979" s="7">
        <v>0.44167295593006373</v>
      </c>
    </row>
    <row r="3980" spans="44:45" x14ac:dyDescent="0.25">
      <c r="AR3980" s="11"/>
      <c r="AS3980" s="7"/>
    </row>
    <row r="3981" spans="44:45" x14ac:dyDescent="0.25">
      <c r="AR3981" s="11">
        <v>0.26000000000000006</v>
      </c>
      <c r="AS3981" s="7">
        <v>0.45033320996790815</v>
      </c>
    </row>
    <row r="3982" spans="44:45" x14ac:dyDescent="0.25">
      <c r="AR3982" s="11">
        <v>0.27000000000000007</v>
      </c>
      <c r="AS3982" s="7">
        <v>0.45033320996790815</v>
      </c>
    </row>
    <row r="3983" spans="44:45" x14ac:dyDescent="0.25">
      <c r="AR3983" s="11">
        <v>0.28000000000000008</v>
      </c>
      <c r="AS3983" s="7">
        <v>0.45033320996790815</v>
      </c>
    </row>
    <row r="3984" spans="44:45" x14ac:dyDescent="0.25">
      <c r="AR3984" s="11">
        <v>0.29000000000000009</v>
      </c>
      <c r="AS3984" s="7">
        <v>0.45033320996790815</v>
      </c>
    </row>
    <row r="3985" spans="44:45" x14ac:dyDescent="0.25">
      <c r="AR3985" s="11">
        <v>0.3000000000000001</v>
      </c>
      <c r="AS3985" s="7">
        <v>0.45033320996790815</v>
      </c>
    </row>
    <row r="3986" spans="44:45" x14ac:dyDescent="0.25">
      <c r="AR3986" s="11">
        <v>0.31000000000000011</v>
      </c>
      <c r="AS3986" s="7">
        <v>0.45033320996790815</v>
      </c>
    </row>
    <row r="3987" spans="44:45" x14ac:dyDescent="0.25">
      <c r="AR3987" s="11">
        <v>0.32000000000000012</v>
      </c>
      <c r="AS3987" s="7">
        <v>0.45033320996790815</v>
      </c>
    </row>
    <row r="3988" spans="44:45" x14ac:dyDescent="0.25">
      <c r="AR3988" s="11">
        <v>0.33000000000000013</v>
      </c>
      <c r="AS3988" s="7">
        <v>0.45033320996790815</v>
      </c>
    </row>
    <row r="3989" spans="44:45" x14ac:dyDescent="0.25">
      <c r="AR3989" s="11">
        <v>0.34000000000000014</v>
      </c>
      <c r="AS3989" s="7">
        <v>0.45033320996790815</v>
      </c>
    </row>
    <row r="3990" spans="44:45" x14ac:dyDescent="0.25">
      <c r="AR3990" s="11">
        <v>0.35000000000000014</v>
      </c>
      <c r="AS3990" s="7">
        <v>0.45033320996790815</v>
      </c>
    </row>
    <row r="3991" spans="44:45" x14ac:dyDescent="0.25">
      <c r="AR3991" s="11">
        <v>0.36000000000000015</v>
      </c>
      <c r="AS3991" s="7">
        <v>0.45033320996790815</v>
      </c>
    </row>
    <row r="3992" spans="44:45" x14ac:dyDescent="0.25">
      <c r="AR3992" s="11">
        <v>0.37000000000000016</v>
      </c>
      <c r="AS3992" s="7">
        <v>0.45033320996790815</v>
      </c>
    </row>
    <row r="3993" spans="44:45" x14ac:dyDescent="0.25">
      <c r="AR3993" s="11">
        <v>0.38000000000000017</v>
      </c>
      <c r="AS3993" s="7">
        <v>0.45033320996790815</v>
      </c>
    </row>
    <row r="3994" spans="44:45" x14ac:dyDescent="0.25">
      <c r="AR3994" s="11">
        <v>0.39000000000000018</v>
      </c>
      <c r="AS3994" s="7">
        <v>0.45033320996790815</v>
      </c>
    </row>
    <row r="3995" spans="44:45" x14ac:dyDescent="0.25">
      <c r="AR3995" s="11">
        <v>0.40000000000000019</v>
      </c>
      <c r="AS3995" s="7">
        <v>0.45033320996790815</v>
      </c>
    </row>
    <row r="3996" spans="44:45" x14ac:dyDescent="0.25">
      <c r="AR3996" s="11">
        <v>0.4100000000000002</v>
      </c>
      <c r="AS3996" s="7">
        <v>0.45033320996790815</v>
      </c>
    </row>
    <row r="3997" spans="44:45" x14ac:dyDescent="0.25">
      <c r="AR3997" s="11">
        <v>0.42000000000000021</v>
      </c>
      <c r="AS3997" s="7">
        <v>0.45033320996790815</v>
      </c>
    </row>
    <row r="3998" spans="44:45" x14ac:dyDescent="0.25">
      <c r="AR3998" s="11">
        <v>0.43000000000000022</v>
      </c>
      <c r="AS3998" s="7">
        <v>0.45033320996790815</v>
      </c>
    </row>
    <row r="3999" spans="44:45" x14ac:dyDescent="0.25">
      <c r="AR3999" s="11">
        <v>0.44000000000000022</v>
      </c>
      <c r="AS3999" s="7">
        <v>0.45033320996790815</v>
      </c>
    </row>
    <row r="4000" spans="44:45" x14ac:dyDescent="0.25">
      <c r="AR4000" s="11">
        <v>0.45000000000000023</v>
      </c>
      <c r="AS4000" s="7">
        <v>0.45033320996790815</v>
      </c>
    </row>
    <row r="4001" spans="44:45" x14ac:dyDescent="0.25">
      <c r="AR4001" s="11">
        <v>0.46000000000000024</v>
      </c>
      <c r="AS4001" s="7">
        <v>0.45033320996790815</v>
      </c>
    </row>
    <row r="4002" spans="44:45" x14ac:dyDescent="0.25">
      <c r="AR4002" s="11">
        <v>0.47000000000000025</v>
      </c>
      <c r="AS4002" s="7">
        <v>0.45033320996790815</v>
      </c>
    </row>
    <row r="4003" spans="44:45" x14ac:dyDescent="0.25">
      <c r="AR4003" s="11">
        <v>0.48000000000000026</v>
      </c>
      <c r="AS4003" s="7">
        <v>0.45033320996790815</v>
      </c>
    </row>
    <row r="4004" spans="44:45" x14ac:dyDescent="0.25">
      <c r="AR4004" s="11">
        <v>0.49000000000000027</v>
      </c>
      <c r="AS4004" s="7">
        <v>0.45033320996790815</v>
      </c>
    </row>
    <row r="4005" spans="44:45" x14ac:dyDescent="0.25">
      <c r="AR4005" s="11">
        <v>0.50000000000000022</v>
      </c>
      <c r="AS4005" s="7">
        <v>0.45033320996790815</v>
      </c>
    </row>
    <row r="4006" spans="44:45" x14ac:dyDescent="0.25">
      <c r="AR4006" s="11">
        <v>0.51000000000000023</v>
      </c>
      <c r="AS4006" s="7">
        <v>0.45033320996790815</v>
      </c>
    </row>
    <row r="4007" spans="44:45" x14ac:dyDescent="0.25">
      <c r="AR4007" s="11">
        <v>0.52000000000000024</v>
      </c>
      <c r="AS4007" s="7">
        <v>0.45033320996790815</v>
      </c>
    </row>
    <row r="4008" spans="44:45" x14ac:dyDescent="0.25">
      <c r="AR4008" s="11">
        <v>0.53000000000000025</v>
      </c>
      <c r="AS4008" s="7">
        <v>0.45033320996790815</v>
      </c>
    </row>
    <row r="4009" spans="44:45" x14ac:dyDescent="0.25">
      <c r="AR4009" s="11">
        <v>0.54000000000000026</v>
      </c>
      <c r="AS4009" s="7">
        <v>0.45033320996790815</v>
      </c>
    </row>
    <row r="4010" spans="44:45" x14ac:dyDescent="0.25">
      <c r="AR4010" s="11">
        <v>0.55000000000000027</v>
      </c>
      <c r="AS4010" s="7">
        <v>0.45033320996790815</v>
      </c>
    </row>
    <row r="4011" spans="44:45" x14ac:dyDescent="0.25">
      <c r="AR4011" s="11">
        <v>0.56000000000000028</v>
      </c>
      <c r="AS4011" s="7">
        <v>0.45033320996790815</v>
      </c>
    </row>
    <row r="4012" spans="44:45" x14ac:dyDescent="0.25">
      <c r="AR4012" s="11">
        <v>0.57000000000000028</v>
      </c>
      <c r="AS4012" s="7">
        <v>0.45033320996790815</v>
      </c>
    </row>
    <row r="4013" spans="44:45" x14ac:dyDescent="0.25">
      <c r="AR4013" s="11">
        <v>0.58000000000000029</v>
      </c>
      <c r="AS4013" s="7">
        <v>0.45033320996790815</v>
      </c>
    </row>
    <row r="4014" spans="44:45" x14ac:dyDescent="0.25">
      <c r="AR4014" s="11">
        <v>0.5900000000000003</v>
      </c>
      <c r="AS4014" s="7">
        <v>0.45033320996790815</v>
      </c>
    </row>
    <row r="4015" spans="44:45" x14ac:dyDescent="0.25">
      <c r="AR4015" s="11">
        <v>0.60000000000000031</v>
      </c>
      <c r="AS4015" s="7">
        <v>0.45033320996790815</v>
      </c>
    </row>
    <row r="4016" spans="44:45" x14ac:dyDescent="0.25">
      <c r="AR4016" s="11">
        <v>0.61000000000000032</v>
      </c>
      <c r="AS4016" s="7">
        <v>0.45033320996790815</v>
      </c>
    </row>
    <row r="4017" spans="44:45" x14ac:dyDescent="0.25">
      <c r="AR4017" s="11">
        <v>0.62000000000000033</v>
      </c>
      <c r="AS4017" s="7">
        <v>0.45033320996790815</v>
      </c>
    </row>
    <row r="4018" spans="44:45" x14ac:dyDescent="0.25">
      <c r="AR4018" s="11">
        <v>0.63000000000000034</v>
      </c>
      <c r="AS4018" s="7">
        <v>0.45033320996790815</v>
      </c>
    </row>
    <row r="4019" spans="44:45" x14ac:dyDescent="0.25">
      <c r="AR4019" s="11">
        <v>0.64000000000000035</v>
      </c>
      <c r="AS4019" s="7">
        <v>0.45033320996790815</v>
      </c>
    </row>
    <row r="4020" spans="44:45" x14ac:dyDescent="0.25">
      <c r="AR4020" s="11">
        <v>0.65000000000000036</v>
      </c>
      <c r="AS4020" s="7">
        <v>0.45033320996790815</v>
      </c>
    </row>
    <row r="4021" spans="44:45" x14ac:dyDescent="0.25">
      <c r="AR4021" s="11">
        <v>0.66000000000000036</v>
      </c>
      <c r="AS4021" s="7">
        <v>0.45033320996790815</v>
      </c>
    </row>
    <row r="4022" spans="44:45" x14ac:dyDescent="0.25">
      <c r="AR4022" s="11">
        <v>0.67000000000000037</v>
      </c>
      <c r="AS4022" s="7">
        <v>0.45033320996790815</v>
      </c>
    </row>
    <row r="4023" spans="44:45" x14ac:dyDescent="0.25">
      <c r="AR4023" s="11">
        <v>0.68000000000000038</v>
      </c>
      <c r="AS4023" s="7">
        <v>0.45033320996790815</v>
      </c>
    </row>
    <row r="4024" spans="44:45" x14ac:dyDescent="0.25">
      <c r="AR4024" s="11">
        <v>0.69000000000000039</v>
      </c>
      <c r="AS4024" s="7">
        <v>0.45033320996790815</v>
      </c>
    </row>
    <row r="4025" spans="44:45" x14ac:dyDescent="0.25">
      <c r="AR4025" s="11">
        <v>0.7000000000000004</v>
      </c>
      <c r="AS4025" s="7">
        <v>0.45033320996790815</v>
      </c>
    </row>
    <row r="4026" spans="44:45" x14ac:dyDescent="0.25">
      <c r="AR4026" s="11">
        <v>0.71000000000000041</v>
      </c>
      <c r="AS4026" s="7">
        <v>0.45033320996790815</v>
      </c>
    </row>
    <row r="4027" spans="44:45" x14ac:dyDescent="0.25">
      <c r="AR4027" s="11">
        <v>0.72000000000000042</v>
      </c>
      <c r="AS4027" s="7">
        <v>0.45033320996790815</v>
      </c>
    </row>
    <row r="4028" spans="44:45" x14ac:dyDescent="0.25">
      <c r="AR4028" s="11">
        <v>0.73000000000000043</v>
      </c>
      <c r="AS4028" s="7">
        <v>0.45033320996790815</v>
      </c>
    </row>
    <row r="4029" spans="44:45" x14ac:dyDescent="0.25">
      <c r="AR4029" s="11">
        <v>0.74000000000000044</v>
      </c>
      <c r="AS4029" s="7">
        <v>0.45033320996790815</v>
      </c>
    </row>
    <row r="4030" spans="44:45" x14ac:dyDescent="0.25">
      <c r="AR4030" s="11"/>
      <c r="AS4030" s="7"/>
    </row>
    <row r="4031" spans="44:45" x14ac:dyDescent="0.25">
      <c r="AR4031" s="11">
        <v>0.26500000000000007</v>
      </c>
      <c r="AS4031" s="7">
        <v>0.45899346400575253</v>
      </c>
    </row>
    <row r="4032" spans="44:45" x14ac:dyDescent="0.25">
      <c r="AR4032" s="11">
        <v>0.27500000000000008</v>
      </c>
      <c r="AS4032" s="7">
        <v>0.45899346400575253</v>
      </c>
    </row>
    <row r="4033" spans="44:45" x14ac:dyDescent="0.25">
      <c r="AR4033" s="11">
        <v>0.28500000000000009</v>
      </c>
      <c r="AS4033" s="7">
        <v>0.45899346400575253</v>
      </c>
    </row>
    <row r="4034" spans="44:45" x14ac:dyDescent="0.25">
      <c r="AR4034" s="11">
        <v>0.2950000000000001</v>
      </c>
      <c r="AS4034" s="7">
        <v>0.45899346400575253</v>
      </c>
    </row>
    <row r="4035" spans="44:45" x14ac:dyDescent="0.25">
      <c r="AR4035" s="11">
        <v>0.3050000000000001</v>
      </c>
      <c r="AS4035" s="7">
        <v>0.45899346400575253</v>
      </c>
    </row>
    <row r="4036" spans="44:45" x14ac:dyDescent="0.25">
      <c r="AR4036" s="11">
        <v>0.31500000000000011</v>
      </c>
      <c r="AS4036" s="7">
        <v>0.45899346400575253</v>
      </c>
    </row>
    <row r="4037" spans="44:45" x14ac:dyDescent="0.25">
      <c r="AR4037" s="11">
        <v>0.32500000000000012</v>
      </c>
      <c r="AS4037" s="7">
        <v>0.45899346400575253</v>
      </c>
    </row>
    <row r="4038" spans="44:45" x14ac:dyDescent="0.25">
      <c r="AR4038" s="11">
        <v>0.33500000000000013</v>
      </c>
      <c r="AS4038" s="7">
        <v>0.45899346400575253</v>
      </c>
    </row>
    <row r="4039" spans="44:45" x14ac:dyDescent="0.25">
      <c r="AR4039" s="11">
        <v>0.34500000000000014</v>
      </c>
      <c r="AS4039" s="7">
        <v>0.45899346400575253</v>
      </c>
    </row>
    <row r="4040" spans="44:45" x14ac:dyDescent="0.25">
      <c r="AR4040" s="11">
        <v>0.35500000000000015</v>
      </c>
      <c r="AS4040" s="7">
        <v>0.45899346400575253</v>
      </c>
    </row>
    <row r="4041" spans="44:45" x14ac:dyDescent="0.25">
      <c r="AR4041" s="11">
        <v>0.36500000000000016</v>
      </c>
      <c r="AS4041" s="7">
        <v>0.45899346400575253</v>
      </c>
    </row>
    <row r="4042" spans="44:45" x14ac:dyDescent="0.25">
      <c r="AR4042" s="11">
        <v>0.37500000000000017</v>
      </c>
      <c r="AS4042" s="7">
        <v>0.45899346400575253</v>
      </c>
    </row>
    <row r="4043" spans="44:45" x14ac:dyDescent="0.25">
      <c r="AR4043" s="11">
        <v>0.38500000000000018</v>
      </c>
      <c r="AS4043" s="7">
        <v>0.45899346400575253</v>
      </c>
    </row>
    <row r="4044" spans="44:45" x14ac:dyDescent="0.25">
      <c r="AR4044" s="11">
        <v>0.39500000000000018</v>
      </c>
      <c r="AS4044" s="7">
        <v>0.45899346400575253</v>
      </c>
    </row>
    <row r="4045" spans="44:45" x14ac:dyDescent="0.25">
      <c r="AR4045" s="11">
        <v>0.40500000000000019</v>
      </c>
      <c r="AS4045" s="7">
        <v>0.45899346400575253</v>
      </c>
    </row>
    <row r="4046" spans="44:45" x14ac:dyDescent="0.25">
      <c r="AR4046" s="11">
        <v>0.4150000000000002</v>
      </c>
      <c r="AS4046" s="7">
        <v>0.45899346400575253</v>
      </c>
    </row>
    <row r="4047" spans="44:45" x14ac:dyDescent="0.25">
      <c r="AR4047" s="11">
        <v>0.42500000000000021</v>
      </c>
      <c r="AS4047" s="7">
        <v>0.45899346400575253</v>
      </c>
    </row>
    <row r="4048" spans="44:45" x14ac:dyDescent="0.25">
      <c r="AR4048" s="11">
        <v>0.43500000000000022</v>
      </c>
      <c r="AS4048" s="7">
        <v>0.45899346400575253</v>
      </c>
    </row>
    <row r="4049" spans="44:45" x14ac:dyDescent="0.25">
      <c r="AR4049" s="11">
        <v>0.44500000000000023</v>
      </c>
      <c r="AS4049" s="7">
        <v>0.45899346400575253</v>
      </c>
    </row>
    <row r="4050" spans="44:45" x14ac:dyDescent="0.25">
      <c r="AR4050" s="11">
        <v>0.45500000000000024</v>
      </c>
      <c r="AS4050" s="7">
        <v>0.45899346400575253</v>
      </c>
    </row>
    <row r="4051" spans="44:45" x14ac:dyDescent="0.25">
      <c r="AR4051" s="11">
        <v>0.46500000000000025</v>
      </c>
      <c r="AS4051" s="7">
        <v>0.45899346400575253</v>
      </c>
    </row>
    <row r="4052" spans="44:45" x14ac:dyDescent="0.25">
      <c r="AR4052" s="11">
        <v>0.47500000000000026</v>
      </c>
      <c r="AS4052" s="7">
        <v>0.45899346400575253</v>
      </c>
    </row>
    <row r="4053" spans="44:45" x14ac:dyDescent="0.25">
      <c r="AR4053" s="11">
        <v>0.48500000000000026</v>
      </c>
      <c r="AS4053" s="7">
        <v>0.45899346400575253</v>
      </c>
    </row>
    <row r="4054" spans="44:45" x14ac:dyDescent="0.25">
      <c r="AR4054" s="11">
        <v>0.49500000000000027</v>
      </c>
      <c r="AS4054" s="7">
        <v>0.45899346400575253</v>
      </c>
    </row>
    <row r="4055" spans="44:45" x14ac:dyDescent="0.25">
      <c r="AR4055" s="11">
        <v>0.50500000000000023</v>
      </c>
      <c r="AS4055" s="7">
        <v>0.45899346400575253</v>
      </c>
    </row>
    <row r="4056" spans="44:45" x14ac:dyDescent="0.25">
      <c r="AR4056" s="11">
        <v>0.51500000000000024</v>
      </c>
      <c r="AS4056" s="7">
        <v>0.45899346400575253</v>
      </c>
    </row>
    <row r="4057" spans="44:45" x14ac:dyDescent="0.25">
      <c r="AR4057" s="11">
        <v>0.52500000000000024</v>
      </c>
      <c r="AS4057" s="7">
        <v>0.45899346400575253</v>
      </c>
    </row>
    <row r="4058" spans="44:45" x14ac:dyDescent="0.25">
      <c r="AR4058" s="11">
        <v>0.53500000000000025</v>
      </c>
      <c r="AS4058" s="7">
        <v>0.45899346400575253</v>
      </c>
    </row>
    <row r="4059" spans="44:45" x14ac:dyDescent="0.25">
      <c r="AR4059" s="11">
        <v>0.54500000000000026</v>
      </c>
      <c r="AS4059" s="7">
        <v>0.45899346400575253</v>
      </c>
    </row>
    <row r="4060" spans="44:45" x14ac:dyDescent="0.25">
      <c r="AR4060" s="11">
        <v>0.55500000000000027</v>
      </c>
      <c r="AS4060" s="7">
        <v>0.45899346400575253</v>
      </c>
    </row>
    <row r="4061" spans="44:45" x14ac:dyDescent="0.25">
      <c r="AR4061" s="11">
        <v>0.56500000000000028</v>
      </c>
      <c r="AS4061" s="7">
        <v>0.45899346400575253</v>
      </c>
    </row>
    <row r="4062" spans="44:45" x14ac:dyDescent="0.25">
      <c r="AR4062" s="11">
        <v>0.57500000000000029</v>
      </c>
      <c r="AS4062" s="7">
        <v>0.45899346400575253</v>
      </c>
    </row>
    <row r="4063" spans="44:45" x14ac:dyDescent="0.25">
      <c r="AR4063" s="11">
        <v>0.5850000000000003</v>
      </c>
      <c r="AS4063" s="7">
        <v>0.45899346400575253</v>
      </c>
    </row>
    <row r="4064" spans="44:45" x14ac:dyDescent="0.25">
      <c r="AR4064" s="11">
        <v>0.59500000000000031</v>
      </c>
      <c r="AS4064" s="7">
        <v>0.45899346400575253</v>
      </c>
    </row>
    <row r="4065" spans="44:45" x14ac:dyDescent="0.25">
      <c r="AR4065" s="11">
        <v>0.60500000000000032</v>
      </c>
      <c r="AS4065" s="7">
        <v>0.45899346400575253</v>
      </c>
    </row>
    <row r="4066" spans="44:45" x14ac:dyDescent="0.25">
      <c r="AR4066" s="11">
        <v>0.61500000000000032</v>
      </c>
      <c r="AS4066" s="7">
        <v>0.45899346400575253</v>
      </c>
    </row>
    <row r="4067" spans="44:45" x14ac:dyDescent="0.25">
      <c r="AR4067" s="11">
        <v>0.62500000000000033</v>
      </c>
      <c r="AS4067" s="7">
        <v>0.45899346400575253</v>
      </c>
    </row>
    <row r="4068" spans="44:45" x14ac:dyDescent="0.25">
      <c r="AR4068" s="11">
        <v>0.63500000000000034</v>
      </c>
      <c r="AS4068" s="7">
        <v>0.45899346400575253</v>
      </c>
    </row>
    <row r="4069" spans="44:45" x14ac:dyDescent="0.25">
      <c r="AR4069" s="11">
        <v>0.64500000000000035</v>
      </c>
      <c r="AS4069" s="7">
        <v>0.45899346400575253</v>
      </c>
    </row>
    <row r="4070" spans="44:45" x14ac:dyDescent="0.25">
      <c r="AR4070" s="11">
        <v>0.65500000000000036</v>
      </c>
      <c r="AS4070" s="7">
        <v>0.45899346400575253</v>
      </c>
    </row>
    <row r="4071" spans="44:45" x14ac:dyDescent="0.25">
      <c r="AR4071" s="11">
        <v>0.66500000000000037</v>
      </c>
      <c r="AS4071" s="7">
        <v>0.45899346400575253</v>
      </c>
    </row>
    <row r="4072" spans="44:45" x14ac:dyDescent="0.25">
      <c r="AR4072" s="11">
        <v>0.67500000000000038</v>
      </c>
      <c r="AS4072" s="7">
        <v>0.45899346400575253</v>
      </c>
    </row>
    <row r="4073" spans="44:45" x14ac:dyDescent="0.25">
      <c r="AR4073" s="11">
        <v>0.68500000000000039</v>
      </c>
      <c r="AS4073" s="7">
        <v>0.45899346400575253</v>
      </c>
    </row>
    <row r="4074" spans="44:45" x14ac:dyDescent="0.25">
      <c r="AR4074" s="11">
        <v>0.6950000000000004</v>
      </c>
      <c r="AS4074" s="7">
        <v>0.45899346400575253</v>
      </c>
    </row>
    <row r="4075" spans="44:45" x14ac:dyDescent="0.25">
      <c r="AR4075" s="11">
        <v>0.7050000000000004</v>
      </c>
      <c r="AS4075" s="7">
        <v>0.45899346400575253</v>
      </c>
    </row>
    <row r="4076" spans="44:45" x14ac:dyDescent="0.25">
      <c r="AR4076" s="11">
        <v>0.71500000000000041</v>
      </c>
      <c r="AS4076" s="7">
        <v>0.45899346400575253</v>
      </c>
    </row>
    <row r="4077" spans="44:45" x14ac:dyDescent="0.25">
      <c r="AR4077" s="11">
        <v>0.72500000000000042</v>
      </c>
      <c r="AS4077" s="7">
        <v>0.45899346400575253</v>
      </c>
    </row>
    <row r="4078" spans="44:45" x14ac:dyDescent="0.25">
      <c r="AR4078" s="11">
        <v>0.73500000000000043</v>
      </c>
      <c r="AS4078" s="7">
        <v>0.45899346400575253</v>
      </c>
    </row>
    <row r="4079" spans="44:45" x14ac:dyDescent="0.25">
      <c r="AR4079" s="11"/>
      <c r="AS4079" s="7"/>
    </row>
    <row r="4080" spans="44:45" x14ac:dyDescent="0.25">
      <c r="AR4080" s="11">
        <v>0.27000000000000007</v>
      </c>
      <c r="AS4080" s="7">
        <v>0.4676537180435969</v>
      </c>
    </row>
    <row r="4081" spans="44:45" x14ac:dyDescent="0.25">
      <c r="AR4081" s="11">
        <v>0.28000000000000008</v>
      </c>
      <c r="AS4081" s="7">
        <v>0.4676537180435969</v>
      </c>
    </row>
    <row r="4082" spans="44:45" x14ac:dyDescent="0.25">
      <c r="AR4082" s="11">
        <v>0.29000000000000009</v>
      </c>
      <c r="AS4082" s="7">
        <v>0.4676537180435969</v>
      </c>
    </row>
    <row r="4083" spans="44:45" x14ac:dyDescent="0.25">
      <c r="AR4083" s="11">
        <v>0.3000000000000001</v>
      </c>
      <c r="AS4083" s="7">
        <v>0.4676537180435969</v>
      </c>
    </row>
    <row r="4084" spans="44:45" x14ac:dyDescent="0.25">
      <c r="AR4084" s="11">
        <v>0.31000000000000011</v>
      </c>
      <c r="AS4084" s="7">
        <v>0.4676537180435969</v>
      </c>
    </row>
    <row r="4085" spans="44:45" x14ac:dyDescent="0.25">
      <c r="AR4085" s="11">
        <v>0.32000000000000012</v>
      </c>
      <c r="AS4085" s="7">
        <v>0.4676537180435969</v>
      </c>
    </row>
    <row r="4086" spans="44:45" x14ac:dyDescent="0.25">
      <c r="AR4086" s="11">
        <v>0.33000000000000013</v>
      </c>
      <c r="AS4086" s="7">
        <v>0.4676537180435969</v>
      </c>
    </row>
    <row r="4087" spans="44:45" x14ac:dyDescent="0.25">
      <c r="AR4087" s="11">
        <v>0.34000000000000014</v>
      </c>
      <c r="AS4087" s="7">
        <v>0.4676537180435969</v>
      </c>
    </row>
    <row r="4088" spans="44:45" x14ac:dyDescent="0.25">
      <c r="AR4088" s="11">
        <v>0.35000000000000014</v>
      </c>
      <c r="AS4088" s="7">
        <v>0.4676537180435969</v>
      </c>
    </row>
    <row r="4089" spans="44:45" x14ac:dyDescent="0.25">
      <c r="AR4089" s="11">
        <v>0.36000000000000015</v>
      </c>
      <c r="AS4089" s="7">
        <v>0.4676537180435969</v>
      </c>
    </row>
    <row r="4090" spans="44:45" x14ac:dyDescent="0.25">
      <c r="AR4090" s="11">
        <v>0.37000000000000016</v>
      </c>
      <c r="AS4090" s="7">
        <v>0.4676537180435969</v>
      </c>
    </row>
    <row r="4091" spans="44:45" x14ac:dyDescent="0.25">
      <c r="AR4091" s="11">
        <v>0.38000000000000017</v>
      </c>
      <c r="AS4091" s="7">
        <v>0.4676537180435969</v>
      </c>
    </row>
    <row r="4092" spans="44:45" x14ac:dyDescent="0.25">
      <c r="AR4092" s="11">
        <v>0.39000000000000018</v>
      </c>
      <c r="AS4092" s="7">
        <v>0.4676537180435969</v>
      </c>
    </row>
    <row r="4093" spans="44:45" x14ac:dyDescent="0.25">
      <c r="AR4093" s="11">
        <v>0.40000000000000019</v>
      </c>
      <c r="AS4093" s="7">
        <v>0.4676537180435969</v>
      </c>
    </row>
    <row r="4094" spans="44:45" x14ac:dyDescent="0.25">
      <c r="AR4094" s="11">
        <v>0.4100000000000002</v>
      </c>
      <c r="AS4094" s="7">
        <v>0.4676537180435969</v>
      </c>
    </row>
    <row r="4095" spans="44:45" x14ac:dyDescent="0.25">
      <c r="AR4095" s="11">
        <v>0.42000000000000021</v>
      </c>
      <c r="AS4095" s="7">
        <v>0.4676537180435969</v>
      </c>
    </row>
    <row r="4096" spans="44:45" x14ac:dyDescent="0.25">
      <c r="AR4096" s="11">
        <v>0.43000000000000022</v>
      </c>
      <c r="AS4096" s="7">
        <v>0.4676537180435969</v>
      </c>
    </row>
    <row r="4097" spans="44:45" x14ac:dyDescent="0.25">
      <c r="AR4097" s="11">
        <v>0.44000000000000022</v>
      </c>
      <c r="AS4097" s="7">
        <v>0.4676537180435969</v>
      </c>
    </row>
    <row r="4098" spans="44:45" x14ac:dyDescent="0.25">
      <c r="AR4098" s="11">
        <v>0.45000000000000023</v>
      </c>
      <c r="AS4098" s="7">
        <v>0.4676537180435969</v>
      </c>
    </row>
    <row r="4099" spans="44:45" x14ac:dyDescent="0.25">
      <c r="AR4099" s="11">
        <v>0.46000000000000024</v>
      </c>
      <c r="AS4099" s="7">
        <v>0.4676537180435969</v>
      </c>
    </row>
    <row r="4100" spans="44:45" x14ac:dyDescent="0.25">
      <c r="AR4100" s="11">
        <v>0.47000000000000025</v>
      </c>
      <c r="AS4100" s="7">
        <v>0.4676537180435969</v>
      </c>
    </row>
    <row r="4101" spans="44:45" x14ac:dyDescent="0.25">
      <c r="AR4101" s="11">
        <v>0.48000000000000026</v>
      </c>
      <c r="AS4101" s="7">
        <v>0.4676537180435969</v>
      </c>
    </row>
    <row r="4102" spans="44:45" x14ac:dyDescent="0.25">
      <c r="AR4102" s="11">
        <v>0.49000000000000027</v>
      </c>
      <c r="AS4102" s="7">
        <v>0.4676537180435969</v>
      </c>
    </row>
    <row r="4103" spans="44:45" x14ac:dyDescent="0.25">
      <c r="AR4103" s="11">
        <v>0.50000000000000022</v>
      </c>
      <c r="AS4103" s="7">
        <v>0.4676537180435969</v>
      </c>
    </row>
    <row r="4104" spans="44:45" x14ac:dyDescent="0.25">
      <c r="AR4104" s="11">
        <v>0.51000000000000023</v>
      </c>
      <c r="AS4104" s="7">
        <v>0.4676537180435969</v>
      </c>
    </row>
    <row r="4105" spans="44:45" x14ac:dyDescent="0.25">
      <c r="AR4105" s="11">
        <v>0.52000000000000024</v>
      </c>
      <c r="AS4105" s="7">
        <v>0.4676537180435969</v>
      </c>
    </row>
    <row r="4106" spans="44:45" x14ac:dyDescent="0.25">
      <c r="AR4106" s="11">
        <v>0.53000000000000025</v>
      </c>
      <c r="AS4106" s="7">
        <v>0.4676537180435969</v>
      </c>
    </row>
    <row r="4107" spans="44:45" x14ac:dyDescent="0.25">
      <c r="AR4107" s="11">
        <v>0.54000000000000026</v>
      </c>
      <c r="AS4107" s="7">
        <v>0.4676537180435969</v>
      </c>
    </row>
    <row r="4108" spans="44:45" x14ac:dyDescent="0.25">
      <c r="AR4108" s="11">
        <v>0.55000000000000027</v>
      </c>
      <c r="AS4108" s="7">
        <v>0.4676537180435969</v>
      </c>
    </row>
    <row r="4109" spans="44:45" x14ac:dyDescent="0.25">
      <c r="AR4109" s="11">
        <v>0.56000000000000028</v>
      </c>
      <c r="AS4109" s="7">
        <v>0.4676537180435969</v>
      </c>
    </row>
    <row r="4110" spans="44:45" x14ac:dyDescent="0.25">
      <c r="AR4110" s="11">
        <v>0.57000000000000028</v>
      </c>
      <c r="AS4110" s="7">
        <v>0.4676537180435969</v>
      </c>
    </row>
    <row r="4111" spans="44:45" x14ac:dyDescent="0.25">
      <c r="AR4111" s="11">
        <v>0.58000000000000029</v>
      </c>
      <c r="AS4111" s="7">
        <v>0.4676537180435969</v>
      </c>
    </row>
    <row r="4112" spans="44:45" x14ac:dyDescent="0.25">
      <c r="AR4112" s="11">
        <v>0.5900000000000003</v>
      </c>
      <c r="AS4112" s="7">
        <v>0.4676537180435969</v>
      </c>
    </row>
    <row r="4113" spans="44:45" x14ac:dyDescent="0.25">
      <c r="AR4113" s="11">
        <v>0.60000000000000031</v>
      </c>
      <c r="AS4113" s="7">
        <v>0.4676537180435969</v>
      </c>
    </row>
    <row r="4114" spans="44:45" x14ac:dyDescent="0.25">
      <c r="AR4114" s="11">
        <v>0.61000000000000032</v>
      </c>
      <c r="AS4114" s="7">
        <v>0.4676537180435969</v>
      </c>
    </row>
    <row r="4115" spans="44:45" x14ac:dyDescent="0.25">
      <c r="AR4115" s="11">
        <v>0.62000000000000033</v>
      </c>
      <c r="AS4115" s="7">
        <v>0.4676537180435969</v>
      </c>
    </row>
    <row r="4116" spans="44:45" x14ac:dyDescent="0.25">
      <c r="AR4116" s="11">
        <v>0.63000000000000034</v>
      </c>
      <c r="AS4116" s="7">
        <v>0.4676537180435969</v>
      </c>
    </row>
    <row r="4117" spans="44:45" x14ac:dyDescent="0.25">
      <c r="AR4117" s="11">
        <v>0.64000000000000035</v>
      </c>
      <c r="AS4117" s="7">
        <v>0.4676537180435969</v>
      </c>
    </row>
    <row r="4118" spans="44:45" x14ac:dyDescent="0.25">
      <c r="AR4118" s="11">
        <v>0.65000000000000036</v>
      </c>
      <c r="AS4118" s="7">
        <v>0.4676537180435969</v>
      </c>
    </row>
    <row r="4119" spans="44:45" x14ac:dyDescent="0.25">
      <c r="AR4119" s="11">
        <v>0.66000000000000036</v>
      </c>
      <c r="AS4119" s="7">
        <v>0.4676537180435969</v>
      </c>
    </row>
    <row r="4120" spans="44:45" x14ac:dyDescent="0.25">
      <c r="AR4120" s="11">
        <v>0.67000000000000037</v>
      </c>
      <c r="AS4120" s="7">
        <v>0.4676537180435969</v>
      </c>
    </row>
    <row r="4121" spans="44:45" x14ac:dyDescent="0.25">
      <c r="AR4121" s="11">
        <v>0.68000000000000038</v>
      </c>
      <c r="AS4121" s="7">
        <v>0.4676537180435969</v>
      </c>
    </row>
    <row r="4122" spans="44:45" x14ac:dyDescent="0.25">
      <c r="AR4122" s="11">
        <v>0.69000000000000039</v>
      </c>
      <c r="AS4122" s="7">
        <v>0.4676537180435969</v>
      </c>
    </row>
    <row r="4123" spans="44:45" x14ac:dyDescent="0.25">
      <c r="AR4123" s="11">
        <v>0.7000000000000004</v>
      </c>
      <c r="AS4123" s="7">
        <v>0.4676537180435969</v>
      </c>
    </row>
    <row r="4124" spans="44:45" x14ac:dyDescent="0.25">
      <c r="AR4124" s="11">
        <v>0.71000000000000041</v>
      </c>
      <c r="AS4124" s="7">
        <v>0.4676537180435969</v>
      </c>
    </row>
    <row r="4125" spans="44:45" x14ac:dyDescent="0.25">
      <c r="AR4125" s="11">
        <v>0.72000000000000042</v>
      </c>
      <c r="AS4125" s="7">
        <v>0.4676537180435969</v>
      </c>
    </row>
    <row r="4126" spans="44:45" x14ac:dyDescent="0.25">
      <c r="AR4126" s="11">
        <v>0.73000000000000043</v>
      </c>
      <c r="AS4126" s="7">
        <v>0.4676537180435969</v>
      </c>
    </row>
    <row r="4127" spans="44:45" x14ac:dyDescent="0.25">
      <c r="AR4127" s="11"/>
      <c r="AS4127" s="7"/>
    </row>
    <row r="4128" spans="44:45" x14ac:dyDescent="0.25">
      <c r="AR4128" s="11">
        <v>0.27500000000000008</v>
      </c>
      <c r="AS4128" s="7">
        <v>0.47631397208144133</v>
      </c>
    </row>
    <row r="4129" spans="44:45" x14ac:dyDescent="0.25">
      <c r="AR4129" s="11">
        <v>0.28500000000000009</v>
      </c>
      <c r="AS4129" s="7">
        <v>0.47631397208144133</v>
      </c>
    </row>
    <row r="4130" spans="44:45" x14ac:dyDescent="0.25">
      <c r="AR4130" s="11">
        <v>0.2950000000000001</v>
      </c>
      <c r="AS4130" s="7">
        <v>0.47631397208144133</v>
      </c>
    </row>
    <row r="4131" spans="44:45" x14ac:dyDescent="0.25">
      <c r="AR4131" s="11">
        <v>0.3050000000000001</v>
      </c>
      <c r="AS4131" s="7">
        <v>0.47631397208144133</v>
      </c>
    </row>
    <row r="4132" spans="44:45" x14ac:dyDescent="0.25">
      <c r="AR4132" s="11">
        <v>0.31500000000000011</v>
      </c>
      <c r="AS4132" s="7">
        <v>0.47631397208144133</v>
      </c>
    </row>
    <row r="4133" spans="44:45" x14ac:dyDescent="0.25">
      <c r="AR4133" s="11">
        <v>0.32500000000000012</v>
      </c>
      <c r="AS4133" s="7">
        <v>0.47631397208144133</v>
      </c>
    </row>
    <row r="4134" spans="44:45" x14ac:dyDescent="0.25">
      <c r="AR4134" s="11">
        <v>0.33500000000000013</v>
      </c>
      <c r="AS4134" s="7">
        <v>0.47631397208144133</v>
      </c>
    </row>
    <row r="4135" spans="44:45" x14ac:dyDescent="0.25">
      <c r="AR4135" s="11">
        <v>0.34500000000000014</v>
      </c>
      <c r="AS4135" s="7">
        <v>0.47631397208144133</v>
      </c>
    </row>
    <row r="4136" spans="44:45" x14ac:dyDescent="0.25">
      <c r="AR4136" s="11">
        <v>0.35500000000000015</v>
      </c>
      <c r="AS4136" s="7">
        <v>0.47631397208144133</v>
      </c>
    </row>
    <row r="4137" spans="44:45" x14ac:dyDescent="0.25">
      <c r="AR4137" s="11">
        <v>0.36500000000000016</v>
      </c>
      <c r="AS4137" s="7">
        <v>0.47631397208144133</v>
      </c>
    </row>
    <row r="4138" spans="44:45" x14ac:dyDescent="0.25">
      <c r="AR4138" s="11">
        <v>0.37500000000000017</v>
      </c>
      <c r="AS4138" s="7">
        <v>0.47631397208144133</v>
      </c>
    </row>
    <row r="4139" spans="44:45" x14ac:dyDescent="0.25">
      <c r="AR4139" s="11">
        <v>0.38500000000000018</v>
      </c>
      <c r="AS4139" s="7">
        <v>0.47631397208144133</v>
      </c>
    </row>
    <row r="4140" spans="44:45" x14ac:dyDescent="0.25">
      <c r="AR4140" s="11">
        <v>0.39500000000000018</v>
      </c>
      <c r="AS4140" s="7">
        <v>0.47631397208144133</v>
      </c>
    </row>
    <row r="4141" spans="44:45" x14ac:dyDescent="0.25">
      <c r="AR4141" s="11">
        <v>0.40500000000000019</v>
      </c>
      <c r="AS4141" s="7">
        <v>0.47631397208144133</v>
      </c>
    </row>
    <row r="4142" spans="44:45" x14ac:dyDescent="0.25">
      <c r="AR4142" s="11">
        <v>0.4150000000000002</v>
      </c>
      <c r="AS4142" s="7">
        <v>0.47631397208144133</v>
      </c>
    </row>
    <row r="4143" spans="44:45" x14ac:dyDescent="0.25">
      <c r="AR4143" s="11">
        <v>0.42500000000000021</v>
      </c>
      <c r="AS4143" s="7">
        <v>0.47631397208144133</v>
      </c>
    </row>
    <row r="4144" spans="44:45" x14ac:dyDescent="0.25">
      <c r="AR4144" s="11">
        <v>0.43500000000000022</v>
      </c>
      <c r="AS4144" s="7">
        <v>0.47631397208144133</v>
      </c>
    </row>
    <row r="4145" spans="44:45" x14ac:dyDescent="0.25">
      <c r="AR4145" s="11">
        <v>0.44500000000000023</v>
      </c>
      <c r="AS4145" s="7">
        <v>0.47631397208144133</v>
      </c>
    </row>
    <row r="4146" spans="44:45" x14ac:dyDescent="0.25">
      <c r="AR4146" s="11">
        <v>0.45500000000000024</v>
      </c>
      <c r="AS4146" s="7">
        <v>0.47631397208144133</v>
      </c>
    </row>
    <row r="4147" spans="44:45" x14ac:dyDescent="0.25">
      <c r="AR4147" s="11">
        <v>0.46500000000000025</v>
      </c>
      <c r="AS4147" s="7">
        <v>0.47631397208144133</v>
      </c>
    </row>
    <row r="4148" spans="44:45" x14ac:dyDescent="0.25">
      <c r="AR4148" s="11">
        <v>0.47500000000000026</v>
      </c>
      <c r="AS4148" s="7">
        <v>0.47631397208144133</v>
      </c>
    </row>
    <row r="4149" spans="44:45" x14ac:dyDescent="0.25">
      <c r="AR4149" s="11">
        <v>0.48500000000000026</v>
      </c>
      <c r="AS4149" s="7">
        <v>0.47631397208144133</v>
      </c>
    </row>
    <row r="4150" spans="44:45" x14ac:dyDescent="0.25">
      <c r="AR4150" s="11">
        <v>0.49500000000000027</v>
      </c>
      <c r="AS4150" s="7">
        <v>0.47631397208144133</v>
      </c>
    </row>
    <row r="4151" spans="44:45" x14ac:dyDescent="0.25">
      <c r="AR4151" s="11">
        <v>0.50500000000000023</v>
      </c>
      <c r="AS4151" s="7">
        <v>0.47631397208144133</v>
      </c>
    </row>
    <row r="4152" spans="44:45" x14ac:dyDescent="0.25">
      <c r="AR4152" s="11">
        <v>0.51500000000000024</v>
      </c>
      <c r="AS4152" s="7">
        <v>0.47631397208144133</v>
      </c>
    </row>
    <row r="4153" spans="44:45" x14ac:dyDescent="0.25">
      <c r="AR4153" s="11">
        <v>0.52500000000000024</v>
      </c>
      <c r="AS4153" s="7">
        <v>0.47631397208144133</v>
      </c>
    </row>
    <row r="4154" spans="44:45" x14ac:dyDescent="0.25">
      <c r="AR4154" s="11">
        <v>0.53500000000000025</v>
      </c>
      <c r="AS4154" s="7">
        <v>0.47631397208144133</v>
      </c>
    </row>
    <row r="4155" spans="44:45" x14ac:dyDescent="0.25">
      <c r="AR4155" s="11">
        <v>0.54500000000000026</v>
      </c>
      <c r="AS4155" s="7">
        <v>0.47631397208144133</v>
      </c>
    </row>
    <row r="4156" spans="44:45" x14ac:dyDescent="0.25">
      <c r="AR4156" s="11">
        <v>0.55500000000000027</v>
      </c>
      <c r="AS4156" s="7">
        <v>0.47631397208144133</v>
      </c>
    </row>
    <row r="4157" spans="44:45" x14ac:dyDescent="0.25">
      <c r="AR4157" s="11">
        <v>0.56500000000000028</v>
      </c>
      <c r="AS4157" s="7">
        <v>0.47631397208144133</v>
      </c>
    </row>
    <row r="4158" spans="44:45" x14ac:dyDescent="0.25">
      <c r="AR4158" s="11">
        <v>0.57500000000000029</v>
      </c>
      <c r="AS4158" s="7">
        <v>0.47631397208144133</v>
      </c>
    </row>
    <row r="4159" spans="44:45" x14ac:dyDescent="0.25">
      <c r="AR4159" s="11">
        <v>0.5850000000000003</v>
      </c>
      <c r="AS4159" s="7">
        <v>0.47631397208144133</v>
      </c>
    </row>
    <row r="4160" spans="44:45" x14ac:dyDescent="0.25">
      <c r="AR4160" s="11">
        <v>0.59500000000000031</v>
      </c>
      <c r="AS4160" s="7">
        <v>0.47631397208144133</v>
      </c>
    </row>
    <row r="4161" spans="44:45" x14ac:dyDescent="0.25">
      <c r="AR4161" s="11">
        <v>0.60500000000000032</v>
      </c>
      <c r="AS4161" s="7">
        <v>0.47631397208144133</v>
      </c>
    </row>
    <row r="4162" spans="44:45" x14ac:dyDescent="0.25">
      <c r="AR4162" s="11">
        <v>0.61500000000000032</v>
      </c>
      <c r="AS4162" s="7">
        <v>0.47631397208144133</v>
      </c>
    </row>
    <row r="4163" spans="44:45" x14ac:dyDescent="0.25">
      <c r="AR4163" s="11">
        <v>0.62500000000000033</v>
      </c>
      <c r="AS4163" s="7">
        <v>0.47631397208144133</v>
      </c>
    </row>
    <row r="4164" spans="44:45" x14ac:dyDescent="0.25">
      <c r="AR4164" s="11">
        <v>0.63500000000000034</v>
      </c>
      <c r="AS4164" s="7">
        <v>0.47631397208144133</v>
      </c>
    </row>
    <row r="4165" spans="44:45" x14ac:dyDescent="0.25">
      <c r="AR4165" s="11">
        <v>0.64500000000000035</v>
      </c>
      <c r="AS4165" s="7">
        <v>0.47631397208144133</v>
      </c>
    </row>
    <row r="4166" spans="44:45" x14ac:dyDescent="0.25">
      <c r="AR4166" s="11">
        <v>0.65500000000000036</v>
      </c>
      <c r="AS4166" s="7">
        <v>0.47631397208144133</v>
      </c>
    </row>
    <row r="4167" spans="44:45" x14ac:dyDescent="0.25">
      <c r="AR4167" s="11">
        <v>0.66500000000000037</v>
      </c>
      <c r="AS4167" s="7">
        <v>0.47631397208144133</v>
      </c>
    </row>
    <row r="4168" spans="44:45" x14ac:dyDescent="0.25">
      <c r="AR4168" s="11">
        <v>0.67500000000000038</v>
      </c>
      <c r="AS4168" s="7">
        <v>0.47631397208144133</v>
      </c>
    </row>
    <row r="4169" spans="44:45" x14ac:dyDescent="0.25">
      <c r="AR4169" s="11">
        <v>0.68500000000000039</v>
      </c>
      <c r="AS4169" s="7">
        <v>0.47631397208144133</v>
      </c>
    </row>
    <row r="4170" spans="44:45" x14ac:dyDescent="0.25">
      <c r="AR4170" s="11">
        <v>0.6950000000000004</v>
      </c>
      <c r="AS4170" s="7">
        <v>0.47631397208144133</v>
      </c>
    </row>
    <row r="4171" spans="44:45" x14ac:dyDescent="0.25">
      <c r="AR4171" s="11">
        <v>0.7050000000000004</v>
      </c>
      <c r="AS4171" s="7">
        <v>0.47631397208144133</v>
      </c>
    </row>
    <row r="4172" spans="44:45" x14ac:dyDescent="0.25">
      <c r="AR4172" s="11">
        <v>0.71500000000000041</v>
      </c>
      <c r="AS4172" s="7">
        <v>0.47631397208144133</v>
      </c>
    </row>
    <row r="4173" spans="44:45" x14ac:dyDescent="0.25">
      <c r="AR4173" s="11">
        <v>0.72500000000000042</v>
      </c>
      <c r="AS4173" s="7">
        <v>0.47631397208144133</v>
      </c>
    </row>
    <row r="4174" spans="44:45" x14ac:dyDescent="0.25">
      <c r="AR4174" s="11"/>
      <c r="AS4174" s="7"/>
    </row>
    <row r="4175" spans="44:45" x14ac:dyDescent="0.25">
      <c r="AR4175" s="11">
        <v>0.28000000000000008</v>
      </c>
      <c r="AS4175" s="7">
        <v>0.48497422611928565</v>
      </c>
    </row>
    <row r="4176" spans="44:45" x14ac:dyDescent="0.25">
      <c r="AR4176" s="11">
        <v>0.29000000000000009</v>
      </c>
      <c r="AS4176" s="7">
        <v>0.48497422611928565</v>
      </c>
    </row>
    <row r="4177" spans="44:45" x14ac:dyDescent="0.25">
      <c r="AR4177" s="11">
        <v>0.3000000000000001</v>
      </c>
      <c r="AS4177" s="7">
        <v>0.48497422611928565</v>
      </c>
    </row>
    <row r="4178" spans="44:45" x14ac:dyDescent="0.25">
      <c r="AR4178" s="11">
        <v>0.31000000000000011</v>
      </c>
      <c r="AS4178" s="7">
        <v>0.48497422611928565</v>
      </c>
    </row>
    <row r="4179" spans="44:45" x14ac:dyDescent="0.25">
      <c r="AR4179" s="11">
        <v>0.32000000000000012</v>
      </c>
      <c r="AS4179" s="7">
        <v>0.48497422611928565</v>
      </c>
    </row>
    <row r="4180" spans="44:45" x14ac:dyDescent="0.25">
      <c r="AR4180" s="11">
        <v>0.33000000000000013</v>
      </c>
      <c r="AS4180" s="7">
        <v>0.48497422611928565</v>
      </c>
    </row>
    <row r="4181" spans="44:45" x14ac:dyDescent="0.25">
      <c r="AR4181" s="11">
        <v>0.34000000000000014</v>
      </c>
      <c r="AS4181" s="7">
        <v>0.48497422611928565</v>
      </c>
    </row>
    <row r="4182" spans="44:45" x14ac:dyDescent="0.25">
      <c r="AR4182" s="11">
        <v>0.35000000000000014</v>
      </c>
      <c r="AS4182" s="7">
        <v>0.48497422611928565</v>
      </c>
    </row>
    <row r="4183" spans="44:45" x14ac:dyDescent="0.25">
      <c r="AR4183" s="11">
        <v>0.36000000000000015</v>
      </c>
      <c r="AS4183" s="7">
        <v>0.48497422611928565</v>
      </c>
    </row>
    <row r="4184" spans="44:45" x14ac:dyDescent="0.25">
      <c r="AR4184" s="11">
        <v>0.37000000000000016</v>
      </c>
      <c r="AS4184" s="7">
        <v>0.48497422611928565</v>
      </c>
    </row>
    <row r="4185" spans="44:45" x14ac:dyDescent="0.25">
      <c r="AR4185" s="11">
        <v>0.38000000000000017</v>
      </c>
      <c r="AS4185" s="7">
        <v>0.48497422611928565</v>
      </c>
    </row>
    <row r="4186" spans="44:45" x14ac:dyDescent="0.25">
      <c r="AR4186" s="11">
        <v>0.39000000000000018</v>
      </c>
      <c r="AS4186" s="7">
        <v>0.48497422611928565</v>
      </c>
    </row>
    <row r="4187" spans="44:45" x14ac:dyDescent="0.25">
      <c r="AR4187" s="11">
        <v>0.40000000000000019</v>
      </c>
      <c r="AS4187" s="7">
        <v>0.48497422611928565</v>
      </c>
    </row>
    <row r="4188" spans="44:45" x14ac:dyDescent="0.25">
      <c r="AR4188" s="11">
        <v>0.4100000000000002</v>
      </c>
      <c r="AS4188" s="7">
        <v>0.48497422611928565</v>
      </c>
    </row>
    <row r="4189" spans="44:45" x14ac:dyDescent="0.25">
      <c r="AR4189" s="11">
        <v>0.42000000000000021</v>
      </c>
      <c r="AS4189" s="7">
        <v>0.48497422611928565</v>
      </c>
    </row>
    <row r="4190" spans="44:45" x14ac:dyDescent="0.25">
      <c r="AR4190" s="11">
        <v>0.43000000000000022</v>
      </c>
      <c r="AS4190" s="7">
        <v>0.48497422611928565</v>
      </c>
    </row>
    <row r="4191" spans="44:45" x14ac:dyDescent="0.25">
      <c r="AR4191" s="11">
        <v>0.44000000000000022</v>
      </c>
      <c r="AS4191" s="7">
        <v>0.48497422611928565</v>
      </c>
    </row>
    <row r="4192" spans="44:45" x14ac:dyDescent="0.25">
      <c r="AR4192" s="11">
        <v>0.45000000000000023</v>
      </c>
      <c r="AS4192" s="7">
        <v>0.48497422611928565</v>
      </c>
    </row>
    <row r="4193" spans="44:45" x14ac:dyDescent="0.25">
      <c r="AR4193" s="11">
        <v>0.46000000000000024</v>
      </c>
      <c r="AS4193" s="7">
        <v>0.48497422611928565</v>
      </c>
    </row>
    <row r="4194" spans="44:45" x14ac:dyDescent="0.25">
      <c r="AR4194" s="11">
        <v>0.47000000000000025</v>
      </c>
      <c r="AS4194" s="7">
        <v>0.48497422611928565</v>
      </c>
    </row>
    <row r="4195" spans="44:45" x14ac:dyDescent="0.25">
      <c r="AR4195" s="11">
        <v>0.48000000000000026</v>
      </c>
      <c r="AS4195" s="7">
        <v>0.48497422611928565</v>
      </c>
    </row>
    <row r="4196" spans="44:45" x14ac:dyDescent="0.25">
      <c r="AR4196" s="11">
        <v>0.49000000000000027</v>
      </c>
      <c r="AS4196" s="7">
        <v>0.48497422611928565</v>
      </c>
    </row>
    <row r="4197" spans="44:45" x14ac:dyDescent="0.25">
      <c r="AR4197" s="11">
        <v>0.50000000000000022</v>
      </c>
      <c r="AS4197" s="7">
        <v>0.48497422611928565</v>
      </c>
    </row>
    <row r="4198" spans="44:45" x14ac:dyDescent="0.25">
      <c r="AR4198" s="11">
        <v>0.51000000000000023</v>
      </c>
      <c r="AS4198" s="7">
        <v>0.48497422611928565</v>
      </c>
    </row>
    <row r="4199" spans="44:45" x14ac:dyDescent="0.25">
      <c r="AR4199" s="11">
        <v>0.52000000000000024</v>
      </c>
      <c r="AS4199" s="7">
        <v>0.48497422611928565</v>
      </c>
    </row>
    <row r="4200" spans="44:45" x14ac:dyDescent="0.25">
      <c r="AR4200" s="11">
        <v>0.53000000000000025</v>
      </c>
      <c r="AS4200" s="7">
        <v>0.48497422611928565</v>
      </c>
    </row>
    <row r="4201" spans="44:45" x14ac:dyDescent="0.25">
      <c r="AR4201" s="11">
        <v>0.54000000000000026</v>
      </c>
      <c r="AS4201" s="7">
        <v>0.48497422611928565</v>
      </c>
    </row>
    <row r="4202" spans="44:45" x14ac:dyDescent="0.25">
      <c r="AR4202" s="11">
        <v>0.55000000000000027</v>
      </c>
      <c r="AS4202" s="7">
        <v>0.48497422611928565</v>
      </c>
    </row>
    <row r="4203" spans="44:45" x14ac:dyDescent="0.25">
      <c r="AR4203" s="11">
        <v>0.56000000000000028</v>
      </c>
      <c r="AS4203" s="7">
        <v>0.48497422611928565</v>
      </c>
    </row>
    <row r="4204" spans="44:45" x14ac:dyDescent="0.25">
      <c r="AR4204" s="11">
        <v>0.57000000000000028</v>
      </c>
      <c r="AS4204" s="7">
        <v>0.48497422611928565</v>
      </c>
    </row>
    <row r="4205" spans="44:45" x14ac:dyDescent="0.25">
      <c r="AR4205" s="11">
        <v>0.58000000000000029</v>
      </c>
      <c r="AS4205" s="7">
        <v>0.48497422611928565</v>
      </c>
    </row>
    <row r="4206" spans="44:45" x14ac:dyDescent="0.25">
      <c r="AR4206" s="11">
        <v>0.5900000000000003</v>
      </c>
      <c r="AS4206" s="7">
        <v>0.48497422611928565</v>
      </c>
    </row>
    <row r="4207" spans="44:45" x14ac:dyDescent="0.25">
      <c r="AR4207" s="11">
        <v>0.60000000000000031</v>
      </c>
      <c r="AS4207" s="7">
        <v>0.48497422611928565</v>
      </c>
    </row>
    <row r="4208" spans="44:45" x14ac:dyDescent="0.25">
      <c r="AR4208" s="11">
        <v>0.61000000000000032</v>
      </c>
      <c r="AS4208" s="7">
        <v>0.48497422611928565</v>
      </c>
    </row>
    <row r="4209" spans="44:45" x14ac:dyDescent="0.25">
      <c r="AR4209" s="11">
        <v>0.62000000000000033</v>
      </c>
      <c r="AS4209" s="7">
        <v>0.48497422611928565</v>
      </c>
    </row>
    <row r="4210" spans="44:45" x14ac:dyDescent="0.25">
      <c r="AR4210" s="11">
        <v>0.63000000000000034</v>
      </c>
      <c r="AS4210" s="7">
        <v>0.48497422611928565</v>
      </c>
    </row>
    <row r="4211" spans="44:45" x14ac:dyDescent="0.25">
      <c r="AR4211" s="11">
        <v>0.64000000000000035</v>
      </c>
      <c r="AS4211" s="7">
        <v>0.48497422611928565</v>
      </c>
    </row>
    <row r="4212" spans="44:45" x14ac:dyDescent="0.25">
      <c r="AR4212" s="11">
        <v>0.65000000000000036</v>
      </c>
      <c r="AS4212" s="7">
        <v>0.48497422611928565</v>
      </c>
    </row>
    <row r="4213" spans="44:45" x14ac:dyDescent="0.25">
      <c r="AR4213" s="11">
        <v>0.66000000000000036</v>
      </c>
      <c r="AS4213" s="7">
        <v>0.48497422611928565</v>
      </c>
    </row>
    <row r="4214" spans="44:45" x14ac:dyDescent="0.25">
      <c r="AR4214" s="11">
        <v>0.67000000000000037</v>
      </c>
      <c r="AS4214" s="7">
        <v>0.48497422611928565</v>
      </c>
    </row>
    <row r="4215" spans="44:45" x14ac:dyDescent="0.25">
      <c r="AR4215" s="11">
        <v>0.68000000000000038</v>
      </c>
      <c r="AS4215" s="7">
        <v>0.48497422611928565</v>
      </c>
    </row>
    <row r="4216" spans="44:45" x14ac:dyDescent="0.25">
      <c r="AR4216" s="11">
        <v>0.69000000000000039</v>
      </c>
      <c r="AS4216" s="7">
        <v>0.48497422611928565</v>
      </c>
    </row>
    <row r="4217" spans="44:45" x14ac:dyDescent="0.25">
      <c r="AR4217" s="11">
        <v>0.7000000000000004</v>
      </c>
      <c r="AS4217" s="7">
        <v>0.48497422611928565</v>
      </c>
    </row>
    <row r="4218" spans="44:45" x14ac:dyDescent="0.25">
      <c r="AR4218" s="11">
        <v>0.71000000000000041</v>
      </c>
      <c r="AS4218" s="7">
        <v>0.48497422611928565</v>
      </c>
    </row>
    <row r="4219" spans="44:45" x14ac:dyDescent="0.25">
      <c r="AR4219" s="11">
        <v>0.72000000000000042</v>
      </c>
      <c r="AS4219" s="7">
        <v>0.48497422611928565</v>
      </c>
    </row>
    <row r="4220" spans="44:45" x14ac:dyDescent="0.25">
      <c r="AR4220" s="11"/>
      <c r="AS4220" s="7"/>
    </row>
    <row r="4221" spans="44:45" x14ac:dyDescent="0.25">
      <c r="AR4221" s="11">
        <v>0.28500000000000009</v>
      </c>
      <c r="AS4221" s="7">
        <v>0.49363448015713002</v>
      </c>
    </row>
    <row r="4222" spans="44:45" x14ac:dyDescent="0.25">
      <c r="AR4222" s="11">
        <v>0.2950000000000001</v>
      </c>
      <c r="AS4222" s="7">
        <v>0.49363448015713002</v>
      </c>
    </row>
    <row r="4223" spans="44:45" x14ac:dyDescent="0.25">
      <c r="AR4223" s="11">
        <v>0.3050000000000001</v>
      </c>
      <c r="AS4223" s="7">
        <v>0.49363448015713002</v>
      </c>
    </row>
    <row r="4224" spans="44:45" x14ac:dyDescent="0.25">
      <c r="AR4224" s="11">
        <v>0.31500000000000011</v>
      </c>
      <c r="AS4224" s="7">
        <v>0.49363448015713002</v>
      </c>
    </row>
    <row r="4225" spans="44:45" x14ac:dyDescent="0.25">
      <c r="AR4225" s="11">
        <v>0.32500000000000012</v>
      </c>
      <c r="AS4225" s="7">
        <v>0.49363448015713002</v>
      </c>
    </row>
    <row r="4226" spans="44:45" x14ac:dyDescent="0.25">
      <c r="AR4226" s="11">
        <v>0.33500000000000013</v>
      </c>
      <c r="AS4226" s="7">
        <v>0.49363448015713002</v>
      </c>
    </row>
    <row r="4227" spans="44:45" x14ac:dyDescent="0.25">
      <c r="AR4227" s="11">
        <v>0.34500000000000014</v>
      </c>
      <c r="AS4227" s="7">
        <v>0.49363448015713002</v>
      </c>
    </row>
    <row r="4228" spans="44:45" x14ac:dyDescent="0.25">
      <c r="AR4228" s="11">
        <v>0.35500000000000015</v>
      </c>
      <c r="AS4228" s="7">
        <v>0.49363448015713002</v>
      </c>
    </row>
    <row r="4229" spans="44:45" x14ac:dyDescent="0.25">
      <c r="AR4229" s="11">
        <v>0.36500000000000016</v>
      </c>
      <c r="AS4229" s="7">
        <v>0.49363448015713002</v>
      </c>
    </row>
    <row r="4230" spans="44:45" x14ac:dyDescent="0.25">
      <c r="AR4230" s="11">
        <v>0.37500000000000017</v>
      </c>
      <c r="AS4230" s="7">
        <v>0.49363448015713002</v>
      </c>
    </row>
    <row r="4231" spans="44:45" x14ac:dyDescent="0.25">
      <c r="AR4231" s="11">
        <v>0.38500000000000018</v>
      </c>
      <c r="AS4231" s="7">
        <v>0.49363448015713002</v>
      </c>
    </row>
    <row r="4232" spans="44:45" x14ac:dyDescent="0.25">
      <c r="AR4232" s="11">
        <v>0.39500000000000018</v>
      </c>
      <c r="AS4232" s="7">
        <v>0.49363448015713002</v>
      </c>
    </row>
    <row r="4233" spans="44:45" x14ac:dyDescent="0.25">
      <c r="AR4233" s="11">
        <v>0.40500000000000019</v>
      </c>
      <c r="AS4233" s="7">
        <v>0.49363448015713002</v>
      </c>
    </row>
    <row r="4234" spans="44:45" x14ac:dyDescent="0.25">
      <c r="AR4234" s="11">
        <v>0.4150000000000002</v>
      </c>
      <c r="AS4234" s="7">
        <v>0.49363448015713002</v>
      </c>
    </row>
    <row r="4235" spans="44:45" x14ac:dyDescent="0.25">
      <c r="AR4235" s="11">
        <v>0.42500000000000021</v>
      </c>
      <c r="AS4235" s="7">
        <v>0.49363448015713002</v>
      </c>
    </row>
    <row r="4236" spans="44:45" x14ac:dyDescent="0.25">
      <c r="AR4236" s="11">
        <v>0.43500000000000022</v>
      </c>
      <c r="AS4236" s="7">
        <v>0.49363448015713002</v>
      </c>
    </row>
    <row r="4237" spans="44:45" x14ac:dyDescent="0.25">
      <c r="AR4237" s="11">
        <v>0.44500000000000023</v>
      </c>
      <c r="AS4237" s="7">
        <v>0.49363448015713002</v>
      </c>
    </row>
    <row r="4238" spans="44:45" x14ac:dyDescent="0.25">
      <c r="AR4238" s="11">
        <v>0.45500000000000024</v>
      </c>
      <c r="AS4238" s="7">
        <v>0.49363448015713002</v>
      </c>
    </row>
    <row r="4239" spans="44:45" x14ac:dyDescent="0.25">
      <c r="AR4239" s="11">
        <v>0.46500000000000025</v>
      </c>
      <c r="AS4239" s="7">
        <v>0.49363448015713002</v>
      </c>
    </row>
    <row r="4240" spans="44:45" x14ac:dyDescent="0.25">
      <c r="AR4240" s="11">
        <v>0.47500000000000026</v>
      </c>
      <c r="AS4240" s="7">
        <v>0.49363448015713002</v>
      </c>
    </row>
    <row r="4241" spans="44:45" x14ac:dyDescent="0.25">
      <c r="AR4241" s="11">
        <v>0.48500000000000026</v>
      </c>
      <c r="AS4241" s="7">
        <v>0.49363448015713002</v>
      </c>
    </row>
    <row r="4242" spans="44:45" x14ac:dyDescent="0.25">
      <c r="AR4242" s="11">
        <v>0.49500000000000027</v>
      </c>
      <c r="AS4242" s="7">
        <v>0.49363448015713002</v>
      </c>
    </row>
    <row r="4243" spans="44:45" x14ac:dyDescent="0.25">
      <c r="AR4243" s="11">
        <v>0.50500000000000023</v>
      </c>
      <c r="AS4243" s="7">
        <v>0.49363448015713002</v>
      </c>
    </row>
    <row r="4244" spans="44:45" x14ac:dyDescent="0.25">
      <c r="AR4244" s="11">
        <v>0.51500000000000024</v>
      </c>
      <c r="AS4244" s="7">
        <v>0.49363448015713002</v>
      </c>
    </row>
    <row r="4245" spans="44:45" x14ac:dyDescent="0.25">
      <c r="AR4245" s="11">
        <v>0.52500000000000024</v>
      </c>
      <c r="AS4245" s="7">
        <v>0.49363448015713002</v>
      </c>
    </row>
    <row r="4246" spans="44:45" x14ac:dyDescent="0.25">
      <c r="AR4246" s="11">
        <v>0.53500000000000025</v>
      </c>
      <c r="AS4246" s="7">
        <v>0.49363448015713002</v>
      </c>
    </row>
    <row r="4247" spans="44:45" x14ac:dyDescent="0.25">
      <c r="AR4247" s="11">
        <v>0.54500000000000026</v>
      </c>
      <c r="AS4247" s="7">
        <v>0.49363448015713002</v>
      </c>
    </row>
    <row r="4248" spans="44:45" x14ac:dyDescent="0.25">
      <c r="AR4248" s="11">
        <v>0.55500000000000027</v>
      </c>
      <c r="AS4248" s="7">
        <v>0.49363448015713002</v>
      </c>
    </row>
    <row r="4249" spans="44:45" x14ac:dyDescent="0.25">
      <c r="AR4249" s="11">
        <v>0.56500000000000028</v>
      </c>
      <c r="AS4249" s="7">
        <v>0.49363448015713002</v>
      </c>
    </row>
    <row r="4250" spans="44:45" x14ac:dyDescent="0.25">
      <c r="AR4250" s="11">
        <v>0.57500000000000029</v>
      </c>
      <c r="AS4250" s="7">
        <v>0.49363448015713002</v>
      </c>
    </row>
    <row r="4251" spans="44:45" x14ac:dyDescent="0.25">
      <c r="AR4251" s="11">
        <v>0.5850000000000003</v>
      </c>
      <c r="AS4251" s="7">
        <v>0.49363448015713002</v>
      </c>
    </row>
    <row r="4252" spans="44:45" x14ac:dyDescent="0.25">
      <c r="AR4252" s="11">
        <v>0.59500000000000031</v>
      </c>
      <c r="AS4252" s="7">
        <v>0.49363448015713002</v>
      </c>
    </row>
    <row r="4253" spans="44:45" x14ac:dyDescent="0.25">
      <c r="AR4253" s="11">
        <v>0.60500000000000032</v>
      </c>
      <c r="AS4253" s="7">
        <v>0.49363448015713002</v>
      </c>
    </row>
    <row r="4254" spans="44:45" x14ac:dyDescent="0.25">
      <c r="AR4254" s="11">
        <v>0.61500000000000032</v>
      </c>
      <c r="AS4254" s="7">
        <v>0.49363448015713002</v>
      </c>
    </row>
    <row r="4255" spans="44:45" x14ac:dyDescent="0.25">
      <c r="AR4255" s="11">
        <v>0.62500000000000033</v>
      </c>
      <c r="AS4255" s="7">
        <v>0.49363448015713002</v>
      </c>
    </row>
    <row r="4256" spans="44:45" x14ac:dyDescent="0.25">
      <c r="AR4256" s="11">
        <v>0.63500000000000034</v>
      </c>
      <c r="AS4256" s="7">
        <v>0.49363448015713002</v>
      </c>
    </row>
    <row r="4257" spans="44:45" x14ac:dyDescent="0.25">
      <c r="AR4257" s="11">
        <v>0.64500000000000035</v>
      </c>
      <c r="AS4257" s="7">
        <v>0.49363448015713002</v>
      </c>
    </row>
    <row r="4258" spans="44:45" x14ac:dyDescent="0.25">
      <c r="AR4258" s="11">
        <v>0.65500000000000036</v>
      </c>
      <c r="AS4258" s="7">
        <v>0.49363448015713002</v>
      </c>
    </row>
    <row r="4259" spans="44:45" x14ac:dyDescent="0.25">
      <c r="AR4259" s="11">
        <v>0.66500000000000037</v>
      </c>
      <c r="AS4259" s="7">
        <v>0.49363448015713002</v>
      </c>
    </row>
    <row r="4260" spans="44:45" x14ac:dyDescent="0.25">
      <c r="AR4260" s="11">
        <v>0.67500000000000038</v>
      </c>
      <c r="AS4260" s="7">
        <v>0.49363448015713002</v>
      </c>
    </row>
    <row r="4261" spans="44:45" x14ac:dyDescent="0.25">
      <c r="AR4261" s="11">
        <v>0.68500000000000039</v>
      </c>
      <c r="AS4261" s="7">
        <v>0.49363448015713002</v>
      </c>
    </row>
    <row r="4262" spans="44:45" x14ac:dyDescent="0.25">
      <c r="AR4262" s="11">
        <v>0.6950000000000004</v>
      </c>
      <c r="AS4262" s="7">
        <v>0.49363448015713002</v>
      </c>
    </row>
    <row r="4263" spans="44:45" x14ac:dyDescent="0.25">
      <c r="AR4263" s="11">
        <v>0.7050000000000004</v>
      </c>
      <c r="AS4263" s="7">
        <v>0.49363448015713002</v>
      </c>
    </row>
    <row r="4264" spans="44:45" x14ac:dyDescent="0.25">
      <c r="AR4264" s="11">
        <v>0.71500000000000041</v>
      </c>
      <c r="AS4264" s="7">
        <v>0.49363448015713002</v>
      </c>
    </row>
    <row r="4265" spans="44:45" x14ac:dyDescent="0.25">
      <c r="AR4265" s="11"/>
      <c r="AS4265" s="7"/>
    </row>
    <row r="4266" spans="44:45" x14ac:dyDescent="0.25">
      <c r="AR4266" s="11">
        <v>0.29000000000000009</v>
      </c>
      <c r="AS4266" s="7">
        <v>0.50229473419497439</v>
      </c>
    </row>
    <row r="4267" spans="44:45" x14ac:dyDescent="0.25">
      <c r="AR4267" s="11">
        <v>0.3000000000000001</v>
      </c>
      <c r="AS4267" s="7">
        <v>0.50229473419497439</v>
      </c>
    </row>
    <row r="4268" spans="44:45" x14ac:dyDescent="0.25">
      <c r="AR4268" s="11">
        <v>0.31000000000000011</v>
      </c>
      <c r="AS4268" s="7">
        <v>0.50229473419497439</v>
      </c>
    </row>
    <row r="4269" spans="44:45" x14ac:dyDescent="0.25">
      <c r="AR4269" s="11">
        <v>0.32000000000000012</v>
      </c>
      <c r="AS4269" s="7">
        <v>0.50229473419497439</v>
      </c>
    </row>
    <row r="4270" spans="44:45" x14ac:dyDescent="0.25">
      <c r="AR4270" s="11">
        <v>0.33000000000000013</v>
      </c>
      <c r="AS4270" s="7">
        <v>0.50229473419497439</v>
      </c>
    </row>
    <row r="4271" spans="44:45" x14ac:dyDescent="0.25">
      <c r="AR4271" s="11">
        <v>0.34000000000000014</v>
      </c>
      <c r="AS4271" s="7">
        <v>0.50229473419497439</v>
      </c>
    </row>
    <row r="4272" spans="44:45" x14ac:dyDescent="0.25">
      <c r="AR4272" s="11">
        <v>0.35000000000000014</v>
      </c>
      <c r="AS4272" s="7">
        <v>0.50229473419497439</v>
      </c>
    </row>
    <row r="4273" spans="44:45" x14ac:dyDescent="0.25">
      <c r="AR4273" s="11">
        <v>0.36000000000000015</v>
      </c>
      <c r="AS4273" s="7">
        <v>0.50229473419497439</v>
      </c>
    </row>
    <row r="4274" spans="44:45" x14ac:dyDescent="0.25">
      <c r="AR4274" s="11">
        <v>0.37000000000000016</v>
      </c>
      <c r="AS4274" s="7">
        <v>0.50229473419497439</v>
      </c>
    </row>
    <row r="4275" spans="44:45" x14ac:dyDescent="0.25">
      <c r="AR4275" s="11">
        <v>0.38000000000000017</v>
      </c>
      <c r="AS4275" s="7">
        <v>0.50229473419497439</v>
      </c>
    </row>
    <row r="4276" spans="44:45" x14ac:dyDescent="0.25">
      <c r="AR4276" s="11">
        <v>0.39000000000000018</v>
      </c>
      <c r="AS4276" s="7">
        <v>0.50229473419497439</v>
      </c>
    </row>
    <row r="4277" spans="44:45" x14ac:dyDescent="0.25">
      <c r="AR4277" s="11">
        <v>0.40000000000000019</v>
      </c>
      <c r="AS4277" s="7">
        <v>0.50229473419497439</v>
      </c>
    </row>
    <row r="4278" spans="44:45" x14ac:dyDescent="0.25">
      <c r="AR4278" s="11">
        <v>0.4100000000000002</v>
      </c>
      <c r="AS4278" s="7">
        <v>0.50229473419497439</v>
      </c>
    </row>
    <row r="4279" spans="44:45" x14ac:dyDescent="0.25">
      <c r="AR4279" s="11">
        <v>0.42000000000000021</v>
      </c>
      <c r="AS4279" s="7">
        <v>0.50229473419497439</v>
      </c>
    </row>
    <row r="4280" spans="44:45" x14ac:dyDescent="0.25">
      <c r="AR4280" s="11">
        <v>0.43000000000000022</v>
      </c>
      <c r="AS4280" s="7">
        <v>0.50229473419497439</v>
      </c>
    </row>
    <row r="4281" spans="44:45" x14ac:dyDescent="0.25">
      <c r="AR4281" s="11">
        <v>0.44000000000000022</v>
      </c>
      <c r="AS4281" s="7">
        <v>0.50229473419497439</v>
      </c>
    </row>
    <row r="4282" spans="44:45" x14ac:dyDescent="0.25">
      <c r="AR4282" s="11">
        <v>0.45000000000000023</v>
      </c>
      <c r="AS4282" s="7">
        <v>0.50229473419497439</v>
      </c>
    </row>
    <row r="4283" spans="44:45" x14ac:dyDescent="0.25">
      <c r="AR4283" s="11">
        <v>0.46000000000000024</v>
      </c>
      <c r="AS4283" s="7">
        <v>0.50229473419497439</v>
      </c>
    </row>
    <row r="4284" spans="44:45" x14ac:dyDescent="0.25">
      <c r="AR4284" s="11">
        <v>0.47000000000000025</v>
      </c>
      <c r="AS4284" s="7">
        <v>0.50229473419497439</v>
      </c>
    </row>
    <row r="4285" spans="44:45" x14ac:dyDescent="0.25">
      <c r="AR4285" s="11">
        <v>0.48000000000000026</v>
      </c>
      <c r="AS4285" s="7">
        <v>0.50229473419497439</v>
      </c>
    </row>
    <row r="4286" spans="44:45" x14ac:dyDescent="0.25">
      <c r="AR4286" s="11">
        <v>0.49000000000000027</v>
      </c>
      <c r="AS4286" s="7">
        <v>0.50229473419497439</v>
      </c>
    </row>
    <row r="4287" spans="44:45" x14ac:dyDescent="0.25">
      <c r="AR4287" s="11">
        <v>0.50000000000000022</v>
      </c>
      <c r="AS4287" s="7">
        <v>0.50229473419497439</v>
      </c>
    </row>
    <row r="4288" spans="44:45" x14ac:dyDescent="0.25">
      <c r="AR4288" s="11">
        <v>0.51000000000000023</v>
      </c>
      <c r="AS4288" s="7">
        <v>0.50229473419497439</v>
      </c>
    </row>
    <row r="4289" spans="44:45" x14ac:dyDescent="0.25">
      <c r="AR4289" s="11">
        <v>0.52000000000000024</v>
      </c>
      <c r="AS4289" s="7">
        <v>0.50229473419497439</v>
      </c>
    </row>
    <row r="4290" spans="44:45" x14ac:dyDescent="0.25">
      <c r="AR4290" s="11">
        <v>0.53000000000000025</v>
      </c>
      <c r="AS4290" s="7">
        <v>0.50229473419497439</v>
      </c>
    </row>
    <row r="4291" spans="44:45" x14ac:dyDescent="0.25">
      <c r="AR4291" s="11">
        <v>0.54000000000000026</v>
      </c>
      <c r="AS4291" s="7">
        <v>0.50229473419497439</v>
      </c>
    </row>
    <row r="4292" spans="44:45" x14ac:dyDescent="0.25">
      <c r="AR4292" s="11">
        <v>0.55000000000000027</v>
      </c>
      <c r="AS4292" s="7">
        <v>0.50229473419497439</v>
      </c>
    </row>
    <row r="4293" spans="44:45" x14ac:dyDescent="0.25">
      <c r="AR4293" s="11">
        <v>0.56000000000000028</v>
      </c>
      <c r="AS4293" s="7">
        <v>0.50229473419497439</v>
      </c>
    </row>
    <row r="4294" spans="44:45" x14ac:dyDescent="0.25">
      <c r="AR4294" s="11">
        <v>0.57000000000000028</v>
      </c>
      <c r="AS4294" s="7">
        <v>0.50229473419497439</v>
      </c>
    </row>
    <row r="4295" spans="44:45" x14ac:dyDescent="0.25">
      <c r="AR4295" s="11">
        <v>0.58000000000000029</v>
      </c>
      <c r="AS4295" s="7">
        <v>0.50229473419497439</v>
      </c>
    </row>
    <row r="4296" spans="44:45" x14ac:dyDescent="0.25">
      <c r="AR4296" s="11">
        <v>0.5900000000000003</v>
      </c>
      <c r="AS4296" s="7">
        <v>0.50229473419497439</v>
      </c>
    </row>
    <row r="4297" spans="44:45" x14ac:dyDescent="0.25">
      <c r="AR4297" s="11">
        <v>0.60000000000000031</v>
      </c>
      <c r="AS4297" s="7">
        <v>0.50229473419497439</v>
      </c>
    </row>
    <row r="4298" spans="44:45" x14ac:dyDescent="0.25">
      <c r="AR4298" s="11">
        <v>0.61000000000000032</v>
      </c>
      <c r="AS4298" s="7">
        <v>0.50229473419497439</v>
      </c>
    </row>
    <row r="4299" spans="44:45" x14ac:dyDescent="0.25">
      <c r="AR4299" s="11">
        <v>0.62000000000000033</v>
      </c>
      <c r="AS4299" s="7">
        <v>0.50229473419497439</v>
      </c>
    </row>
    <row r="4300" spans="44:45" x14ac:dyDescent="0.25">
      <c r="AR4300" s="11">
        <v>0.63000000000000034</v>
      </c>
      <c r="AS4300" s="7">
        <v>0.50229473419497439</v>
      </c>
    </row>
    <row r="4301" spans="44:45" x14ac:dyDescent="0.25">
      <c r="AR4301" s="11">
        <v>0.64000000000000035</v>
      </c>
      <c r="AS4301" s="7">
        <v>0.50229473419497439</v>
      </c>
    </row>
    <row r="4302" spans="44:45" x14ac:dyDescent="0.25">
      <c r="AR4302" s="11">
        <v>0.65000000000000036</v>
      </c>
      <c r="AS4302" s="7">
        <v>0.50229473419497439</v>
      </c>
    </row>
    <row r="4303" spans="44:45" x14ac:dyDescent="0.25">
      <c r="AR4303" s="11">
        <v>0.66000000000000036</v>
      </c>
      <c r="AS4303" s="7">
        <v>0.50229473419497439</v>
      </c>
    </row>
    <row r="4304" spans="44:45" x14ac:dyDescent="0.25">
      <c r="AR4304" s="11">
        <v>0.67000000000000037</v>
      </c>
      <c r="AS4304" s="7">
        <v>0.50229473419497439</v>
      </c>
    </row>
    <row r="4305" spans="44:45" x14ac:dyDescent="0.25">
      <c r="AR4305" s="11">
        <v>0.68000000000000038</v>
      </c>
      <c r="AS4305" s="7">
        <v>0.50229473419497439</v>
      </c>
    </row>
    <row r="4306" spans="44:45" x14ac:dyDescent="0.25">
      <c r="AR4306" s="11">
        <v>0.69000000000000039</v>
      </c>
      <c r="AS4306" s="7">
        <v>0.50229473419497439</v>
      </c>
    </row>
    <row r="4307" spans="44:45" x14ac:dyDescent="0.25">
      <c r="AR4307" s="11">
        <v>0.7000000000000004</v>
      </c>
      <c r="AS4307" s="7">
        <v>0.50229473419497439</v>
      </c>
    </row>
    <row r="4308" spans="44:45" x14ac:dyDescent="0.25">
      <c r="AR4308" s="11">
        <v>0.71000000000000041</v>
      </c>
      <c r="AS4308" s="7">
        <v>0.50229473419497439</v>
      </c>
    </row>
    <row r="4309" spans="44:45" x14ac:dyDescent="0.25">
      <c r="AR4309" s="11"/>
      <c r="AS4309" s="7"/>
    </row>
    <row r="4310" spans="44:45" x14ac:dyDescent="0.25">
      <c r="AR4310" s="11">
        <v>0.2950000000000001</v>
      </c>
      <c r="AS4310" s="7">
        <v>0.51095498823281871</v>
      </c>
    </row>
    <row r="4311" spans="44:45" x14ac:dyDescent="0.25">
      <c r="AR4311" s="11">
        <v>0.3050000000000001</v>
      </c>
      <c r="AS4311" s="7">
        <v>0.51095498823281871</v>
      </c>
    </row>
    <row r="4312" spans="44:45" x14ac:dyDescent="0.25">
      <c r="AR4312" s="11">
        <v>0.31500000000000011</v>
      </c>
      <c r="AS4312" s="7">
        <v>0.51095498823281871</v>
      </c>
    </row>
    <row r="4313" spans="44:45" x14ac:dyDescent="0.25">
      <c r="AR4313" s="11">
        <v>0.32500000000000012</v>
      </c>
      <c r="AS4313" s="7">
        <v>0.51095498823281871</v>
      </c>
    </row>
    <row r="4314" spans="44:45" x14ac:dyDescent="0.25">
      <c r="AR4314" s="11">
        <v>0.33500000000000013</v>
      </c>
      <c r="AS4314" s="7">
        <v>0.51095498823281871</v>
      </c>
    </row>
    <row r="4315" spans="44:45" x14ac:dyDescent="0.25">
      <c r="AR4315" s="11">
        <v>0.34500000000000014</v>
      </c>
      <c r="AS4315" s="7">
        <v>0.51095498823281871</v>
      </c>
    </row>
    <row r="4316" spans="44:45" x14ac:dyDescent="0.25">
      <c r="AR4316" s="11">
        <v>0.35500000000000015</v>
      </c>
      <c r="AS4316" s="7">
        <v>0.51095498823281871</v>
      </c>
    </row>
    <row r="4317" spans="44:45" x14ac:dyDescent="0.25">
      <c r="AR4317" s="11">
        <v>0.36500000000000016</v>
      </c>
      <c r="AS4317" s="7">
        <v>0.51095498823281871</v>
      </c>
    </row>
    <row r="4318" spans="44:45" x14ac:dyDescent="0.25">
      <c r="AR4318" s="11">
        <v>0.37500000000000017</v>
      </c>
      <c r="AS4318" s="7">
        <v>0.51095498823281871</v>
      </c>
    </row>
    <row r="4319" spans="44:45" x14ac:dyDescent="0.25">
      <c r="AR4319" s="11">
        <v>0.38500000000000018</v>
      </c>
      <c r="AS4319" s="7">
        <v>0.51095498823281871</v>
      </c>
    </row>
    <row r="4320" spans="44:45" x14ac:dyDescent="0.25">
      <c r="AR4320" s="11">
        <v>0.39500000000000018</v>
      </c>
      <c r="AS4320" s="7">
        <v>0.51095498823281871</v>
      </c>
    </row>
    <row r="4321" spans="44:45" x14ac:dyDescent="0.25">
      <c r="AR4321" s="11">
        <v>0.40500000000000019</v>
      </c>
      <c r="AS4321" s="7">
        <v>0.51095498823281871</v>
      </c>
    </row>
    <row r="4322" spans="44:45" x14ac:dyDescent="0.25">
      <c r="AR4322" s="11">
        <v>0.4150000000000002</v>
      </c>
      <c r="AS4322" s="7">
        <v>0.51095498823281871</v>
      </c>
    </row>
    <row r="4323" spans="44:45" x14ac:dyDescent="0.25">
      <c r="AR4323" s="11">
        <v>0.42500000000000021</v>
      </c>
      <c r="AS4323" s="7">
        <v>0.51095498823281871</v>
      </c>
    </row>
    <row r="4324" spans="44:45" x14ac:dyDescent="0.25">
      <c r="AR4324" s="11">
        <v>0.43500000000000022</v>
      </c>
      <c r="AS4324" s="7">
        <v>0.51095498823281871</v>
      </c>
    </row>
    <row r="4325" spans="44:45" x14ac:dyDescent="0.25">
      <c r="AR4325" s="11">
        <v>0.44500000000000023</v>
      </c>
      <c r="AS4325" s="7">
        <v>0.51095498823281871</v>
      </c>
    </row>
    <row r="4326" spans="44:45" x14ac:dyDescent="0.25">
      <c r="AR4326" s="11">
        <v>0.45500000000000024</v>
      </c>
      <c r="AS4326" s="7">
        <v>0.51095498823281871</v>
      </c>
    </row>
    <row r="4327" spans="44:45" x14ac:dyDescent="0.25">
      <c r="AR4327" s="11">
        <v>0.46500000000000025</v>
      </c>
      <c r="AS4327" s="7">
        <v>0.51095498823281871</v>
      </c>
    </row>
    <row r="4328" spans="44:45" x14ac:dyDescent="0.25">
      <c r="AR4328" s="11">
        <v>0.47500000000000026</v>
      </c>
      <c r="AS4328" s="7">
        <v>0.51095498823281871</v>
      </c>
    </row>
    <row r="4329" spans="44:45" x14ac:dyDescent="0.25">
      <c r="AR4329" s="11">
        <v>0.48500000000000026</v>
      </c>
      <c r="AS4329" s="7">
        <v>0.51095498823281871</v>
      </c>
    </row>
    <row r="4330" spans="44:45" x14ac:dyDescent="0.25">
      <c r="AR4330" s="11">
        <v>0.49500000000000027</v>
      </c>
      <c r="AS4330" s="7">
        <v>0.51095498823281871</v>
      </c>
    </row>
    <row r="4331" spans="44:45" x14ac:dyDescent="0.25">
      <c r="AR4331" s="11">
        <v>0.50500000000000023</v>
      </c>
      <c r="AS4331" s="7">
        <v>0.51095498823281871</v>
      </c>
    </row>
    <row r="4332" spans="44:45" x14ac:dyDescent="0.25">
      <c r="AR4332" s="11">
        <v>0.51500000000000024</v>
      </c>
      <c r="AS4332" s="7">
        <v>0.51095498823281871</v>
      </c>
    </row>
    <row r="4333" spans="44:45" x14ac:dyDescent="0.25">
      <c r="AR4333" s="11">
        <v>0.52500000000000024</v>
      </c>
      <c r="AS4333" s="7">
        <v>0.51095498823281871</v>
      </c>
    </row>
    <row r="4334" spans="44:45" x14ac:dyDescent="0.25">
      <c r="AR4334" s="11">
        <v>0.53500000000000025</v>
      </c>
      <c r="AS4334" s="7">
        <v>0.51095498823281871</v>
      </c>
    </row>
    <row r="4335" spans="44:45" x14ac:dyDescent="0.25">
      <c r="AR4335" s="11">
        <v>0.54500000000000026</v>
      </c>
      <c r="AS4335" s="7">
        <v>0.51095498823281871</v>
      </c>
    </row>
    <row r="4336" spans="44:45" x14ac:dyDescent="0.25">
      <c r="AR4336" s="11">
        <v>0.55500000000000027</v>
      </c>
      <c r="AS4336" s="7">
        <v>0.51095498823281871</v>
      </c>
    </row>
    <row r="4337" spans="44:45" x14ac:dyDescent="0.25">
      <c r="AR4337" s="11">
        <v>0.56500000000000028</v>
      </c>
      <c r="AS4337" s="7">
        <v>0.51095498823281871</v>
      </c>
    </row>
    <row r="4338" spans="44:45" x14ac:dyDescent="0.25">
      <c r="AR4338" s="11">
        <v>0.57500000000000029</v>
      </c>
      <c r="AS4338" s="7">
        <v>0.51095498823281871</v>
      </c>
    </row>
    <row r="4339" spans="44:45" x14ac:dyDescent="0.25">
      <c r="AR4339" s="11">
        <v>0.5850000000000003</v>
      </c>
      <c r="AS4339" s="7">
        <v>0.51095498823281871</v>
      </c>
    </row>
    <row r="4340" spans="44:45" x14ac:dyDescent="0.25">
      <c r="AR4340" s="11">
        <v>0.59500000000000031</v>
      </c>
      <c r="AS4340" s="7">
        <v>0.51095498823281871</v>
      </c>
    </row>
    <row r="4341" spans="44:45" x14ac:dyDescent="0.25">
      <c r="AR4341" s="11">
        <v>0.60500000000000032</v>
      </c>
      <c r="AS4341" s="7">
        <v>0.51095498823281871</v>
      </c>
    </row>
    <row r="4342" spans="44:45" x14ac:dyDescent="0.25">
      <c r="AR4342" s="11">
        <v>0.61500000000000032</v>
      </c>
      <c r="AS4342" s="7">
        <v>0.51095498823281871</v>
      </c>
    </row>
    <row r="4343" spans="44:45" x14ac:dyDescent="0.25">
      <c r="AR4343" s="11">
        <v>0.62500000000000033</v>
      </c>
      <c r="AS4343" s="7">
        <v>0.51095498823281871</v>
      </c>
    </row>
    <row r="4344" spans="44:45" x14ac:dyDescent="0.25">
      <c r="AR4344" s="11">
        <v>0.63500000000000034</v>
      </c>
      <c r="AS4344" s="7">
        <v>0.51095498823281871</v>
      </c>
    </row>
    <row r="4345" spans="44:45" x14ac:dyDescent="0.25">
      <c r="AR4345" s="11">
        <v>0.64500000000000035</v>
      </c>
      <c r="AS4345" s="7">
        <v>0.51095498823281871</v>
      </c>
    </row>
    <row r="4346" spans="44:45" x14ac:dyDescent="0.25">
      <c r="AR4346" s="11">
        <v>0.65500000000000036</v>
      </c>
      <c r="AS4346" s="7">
        <v>0.51095498823281871</v>
      </c>
    </row>
    <row r="4347" spans="44:45" x14ac:dyDescent="0.25">
      <c r="AR4347" s="11">
        <v>0.66500000000000037</v>
      </c>
      <c r="AS4347" s="7">
        <v>0.51095498823281871</v>
      </c>
    </row>
    <row r="4348" spans="44:45" x14ac:dyDescent="0.25">
      <c r="AR4348" s="11">
        <v>0.67500000000000038</v>
      </c>
      <c r="AS4348" s="7">
        <v>0.51095498823281871</v>
      </c>
    </row>
    <row r="4349" spans="44:45" x14ac:dyDescent="0.25">
      <c r="AR4349" s="11">
        <v>0.68500000000000039</v>
      </c>
      <c r="AS4349" s="7">
        <v>0.51095498823281871</v>
      </c>
    </row>
    <row r="4350" spans="44:45" x14ac:dyDescent="0.25">
      <c r="AR4350" s="11">
        <v>0.6950000000000004</v>
      </c>
      <c r="AS4350" s="7">
        <v>0.51095498823281871</v>
      </c>
    </row>
    <row r="4351" spans="44:45" x14ac:dyDescent="0.25">
      <c r="AR4351" s="11">
        <v>0.7050000000000004</v>
      </c>
      <c r="AS4351" s="7">
        <v>0.51095498823281871</v>
      </c>
    </row>
    <row r="4352" spans="44:45" x14ac:dyDescent="0.25">
      <c r="AR4352" s="11"/>
      <c r="AS4352" s="7"/>
    </row>
    <row r="4353" spans="44:45" x14ac:dyDescent="0.25">
      <c r="AR4353" s="11">
        <v>0.3000000000000001</v>
      </c>
      <c r="AS4353" s="7">
        <v>0.51961524227066325</v>
      </c>
    </row>
    <row r="4354" spans="44:45" x14ac:dyDescent="0.25">
      <c r="AR4354" s="11">
        <v>0.31000000000000011</v>
      </c>
      <c r="AS4354" s="7">
        <v>0.51961524227066325</v>
      </c>
    </row>
    <row r="4355" spans="44:45" x14ac:dyDescent="0.25">
      <c r="AR4355" s="11">
        <v>0.32000000000000012</v>
      </c>
      <c r="AS4355" s="7">
        <v>0.51961524227066325</v>
      </c>
    </row>
    <row r="4356" spans="44:45" x14ac:dyDescent="0.25">
      <c r="AR4356" s="11">
        <v>0.33000000000000013</v>
      </c>
      <c r="AS4356" s="7">
        <v>0.51961524227066325</v>
      </c>
    </row>
    <row r="4357" spans="44:45" x14ac:dyDescent="0.25">
      <c r="AR4357" s="11">
        <v>0.34000000000000014</v>
      </c>
      <c r="AS4357" s="7">
        <v>0.51961524227066325</v>
      </c>
    </row>
    <row r="4358" spans="44:45" x14ac:dyDescent="0.25">
      <c r="AR4358" s="11">
        <v>0.35000000000000014</v>
      </c>
      <c r="AS4358" s="7">
        <v>0.51961524227066325</v>
      </c>
    </row>
    <row r="4359" spans="44:45" x14ac:dyDescent="0.25">
      <c r="AR4359" s="11">
        <v>0.36000000000000015</v>
      </c>
      <c r="AS4359" s="7">
        <v>0.51961524227066325</v>
      </c>
    </row>
    <row r="4360" spans="44:45" x14ac:dyDescent="0.25">
      <c r="AR4360" s="11">
        <v>0.37000000000000016</v>
      </c>
      <c r="AS4360" s="7">
        <v>0.51961524227066325</v>
      </c>
    </row>
    <row r="4361" spans="44:45" x14ac:dyDescent="0.25">
      <c r="AR4361" s="11">
        <v>0.38000000000000017</v>
      </c>
      <c r="AS4361" s="7">
        <v>0.51961524227066325</v>
      </c>
    </row>
    <row r="4362" spans="44:45" x14ac:dyDescent="0.25">
      <c r="AR4362" s="11">
        <v>0.39000000000000018</v>
      </c>
      <c r="AS4362" s="7">
        <v>0.51961524227066325</v>
      </c>
    </row>
    <row r="4363" spans="44:45" x14ac:dyDescent="0.25">
      <c r="AR4363" s="11">
        <v>0.40000000000000019</v>
      </c>
      <c r="AS4363" s="7">
        <v>0.51961524227066325</v>
      </c>
    </row>
    <row r="4364" spans="44:45" x14ac:dyDescent="0.25">
      <c r="AR4364" s="11">
        <v>0.4100000000000002</v>
      </c>
      <c r="AS4364" s="7">
        <v>0.51961524227066325</v>
      </c>
    </row>
    <row r="4365" spans="44:45" x14ac:dyDescent="0.25">
      <c r="AR4365" s="11">
        <v>0.42000000000000021</v>
      </c>
      <c r="AS4365" s="7">
        <v>0.51961524227066325</v>
      </c>
    </row>
    <row r="4366" spans="44:45" x14ac:dyDescent="0.25">
      <c r="AR4366" s="11">
        <v>0.43000000000000022</v>
      </c>
      <c r="AS4366" s="7">
        <v>0.51961524227066325</v>
      </c>
    </row>
    <row r="4367" spans="44:45" x14ac:dyDescent="0.25">
      <c r="AR4367" s="11">
        <v>0.44000000000000022</v>
      </c>
      <c r="AS4367" s="7">
        <v>0.51961524227066325</v>
      </c>
    </row>
    <row r="4368" spans="44:45" x14ac:dyDescent="0.25">
      <c r="AR4368" s="11">
        <v>0.45000000000000023</v>
      </c>
      <c r="AS4368" s="7">
        <v>0.51961524227066325</v>
      </c>
    </row>
    <row r="4369" spans="44:45" x14ac:dyDescent="0.25">
      <c r="AR4369" s="11">
        <v>0.46000000000000024</v>
      </c>
      <c r="AS4369" s="7">
        <v>0.51961524227066325</v>
      </c>
    </row>
    <row r="4370" spans="44:45" x14ac:dyDescent="0.25">
      <c r="AR4370" s="11">
        <v>0.47000000000000025</v>
      </c>
      <c r="AS4370" s="7">
        <v>0.51961524227066325</v>
      </c>
    </row>
    <row r="4371" spans="44:45" x14ac:dyDescent="0.25">
      <c r="AR4371" s="11">
        <v>0.48000000000000026</v>
      </c>
      <c r="AS4371" s="7">
        <v>0.51961524227066325</v>
      </c>
    </row>
    <row r="4372" spans="44:45" x14ac:dyDescent="0.25">
      <c r="AR4372" s="11">
        <v>0.49000000000000027</v>
      </c>
      <c r="AS4372" s="7">
        <v>0.51961524227066325</v>
      </c>
    </row>
    <row r="4373" spans="44:45" x14ac:dyDescent="0.25">
      <c r="AR4373" s="11">
        <v>0.50000000000000022</v>
      </c>
      <c r="AS4373" s="7">
        <v>0.51961524227066325</v>
      </c>
    </row>
    <row r="4374" spans="44:45" x14ac:dyDescent="0.25">
      <c r="AR4374" s="11">
        <v>0.51000000000000023</v>
      </c>
      <c r="AS4374" s="7">
        <v>0.51961524227066325</v>
      </c>
    </row>
    <row r="4375" spans="44:45" x14ac:dyDescent="0.25">
      <c r="AR4375" s="11">
        <v>0.52000000000000024</v>
      </c>
      <c r="AS4375" s="7">
        <v>0.51961524227066325</v>
      </c>
    </row>
    <row r="4376" spans="44:45" x14ac:dyDescent="0.25">
      <c r="AR4376" s="11">
        <v>0.53000000000000025</v>
      </c>
      <c r="AS4376" s="7">
        <v>0.51961524227066325</v>
      </c>
    </row>
    <row r="4377" spans="44:45" x14ac:dyDescent="0.25">
      <c r="AR4377" s="11">
        <v>0.54000000000000026</v>
      </c>
      <c r="AS4377" s="7">
        <v>0.51961524227066325</v>
      </c>
    </row>
    <row r="4378" spans="44:45" x14ac:dyDescent="0.25">
      <c r="AR4378" s="11">
        <v>0.55000000000000027</v>
      </c>
      <c r="AS4378" s="7">
        <v>0.51961524227066325</v>
      </c>
    </row>
    <row r="4379" spans="44:45" x14ac:dyDescent="0.25">
      <c r="AR4379" s="11">
        <v>0.56000000000000028</v>
      </c>
      <c r="AS4379" s="7">
        <v>0.51961524227066325</v>
      </c>
    </row>
    <row r="4380" spans="44:45" x14ac:dyDescent="0.25">
      <c r="AR4380" s="11">
        <v>0.57000000000000028</v>
      </c>
      <c r="AS4380" s="7">
        <v>0.51961524227066325</v>
      </c>
    </row>
    <row r="4381" spans="44:45" x14ac:dyDescent="0.25">
      <c r="AR4381" s="11">
        <v>0.58000000000000029</v>
      </c>
      <c r="AS4381" s="7">
        <v>0.51961524227066325</v>
      </c>
    </row>
    <row r="4382" spans="44:45" x14ac:dyDescent="0.25">
      <c r="AR4382" s="11">
        <v>0.5900000000000003</v>
      </c>
      <c r="AS4382" s="7">
        <v>0.51961524227066325</v>
      </c>
    </row>
    <row r="4383" spans="44:45" x14ac:dyDescent="0.25">
      <c r="AR4383" s="11">
        <v>0.60000000000000031</v>
      </c>
      <c r="AS4383" s="7">
        <v>0.51961524227066325</v>
      </c>
    </row>
    <row r="4384" spans="44:45" x14ac:dyDescent="0.25">
      <c r="AR4384" s="11">
        <v>0.61000000000000032</v>
      </c>
      <c r="AS4384" s="7">
        <v>0.51961524227066325</v>
      </c>
    </row>
    <row r="4385" spans="44:45" x14ac:dyDescent="0.25">
      <c r="AR4385" s="11">
        <v>0.62000000000000033</v>
      </c>
      <c r="AS4385" s="7">
        <v>0.51961524227066325</v>
      </c>
    </row>
    <row r="4386" spans="44:45" x14ac:dyDescent="0.25">
      <c r="AR4386" s="11">
        <v>0.63000000000000034</v>
      </c>
      <c r="AS4386" s="7">
        <v>0.51961524227066325</v>
      </c>
    </row>
    <row r="4387" spans="44:45" x14ac:dyDescent="0.25">
      <c r="AR4387" s="11">
        <v>0.64000000000000035</v>
      </c>
      <c r="AS4387" s="7">
        <v>0.51961524227066325</v>
      </c>
    </row>
    <row r="4388" spans="44:45" x14ac:dyDescent="0.25">
      <c r="AR4388" s="11">
        <v>0.65000000000000036</v>
      </c>
      <c r="AS4388" s="7">
        <v>0.51961524227066325</v>
      </c>
    </row>
    <row r="4389" spans="44:45" x14ac:dyDescent="0.25">
      <c r="AR4389" s="11">
        <v>0.66000000000000036</v>
      </c>
      <c r="AS4389" s="7">
        <v>0.51961524227066325</v>
      </c>
    </row>
    <row r="4390" spans="44:45" x14ac:dyDescent="0.25">
      <c r="AR4390" s="11">
        <v>0.67000000000000037</v>
      </c>
      <c r="AS4390" s="7">
        <v>0.51961524227066325</v>
      </c>
    </row>
    <row r="4391" spans="44:45" x14ac:dyDescent="0.25">
      <c r="AR4391" s="11">
        <v>0.68000000000000038</v>
      </c>
      <c r="AS4391" s="7">
        <v>0.51961524227066325</v>
      </c>
    </row>
    <row r="4392" spans="44:45" x14ac:dyDescent="0.25">
      <c r="AR4392" s="11">
        <v>0.69000000000000039</v>
      </c>
      <c r="AS4392" s="7">
        <v>0.51961524227066325</v>
      </c>
    </row>
    <row r="4393" spans="44:45" x14ac:dyDescent="0.25">
      <c r="AR4393" s="11">
        <v>0.7000000000000004</v>
      </c>
      <c r="AS4393" s="7">
        <v>0.51961524227066325</v>
      </c>
    </row>
    <row r="4394" spans="44:45" x14ac:dyDescent="0.25">
      <c r="AR4394" s="11"/>
      <c r="AS4394" s="7"/>
    </row>
    <row r="4395" spans="44:45" x14ac:dyDescent="0.25">
      <c r="AR4395" s="11">
        <v>0.3050000000000001</v>
      </c>
      <c r="AS4395" s="7">
        <v>0.52827549630850756</v>
      </c>
    </row>
    <row r="4396" spans="44:45" x14ac:dyDescent="0.25">
      <c r="AR4396" s="11">
        <v>0.31500000000000011</v>
      </c>
      <c r="AS4396" s="7">
        <v>0.52827549630850756</v>
      </c>
    </row>
    <row r="4397" spans="44:45" x14ac:dyDescent="0.25">
      <c r="AR4397" s="11">
        <v>0.32500000000000012</v>
      </c>
      <c r="AS4397" s="7">
        <v>0.52827549630850756</v>
      </c>
    </row>
    <row r="4398" spans="44:45" x14ac:dyDescent="0.25">
      <c r="AR4398" s="11">
        <v>0.33500000000000013</v>
      </c>
      <c r="AS4398" s="7">
        <v>0.52827549630850756</v>
      </c>
    </row>
    <row r="4399" spans="44:45" x14ac:dyDescent="0.25">
      <c r="AR4399" s="11">
        <v>0.34500000000000014</v>
      </c>
      <c r="AS4399" s="7">
        <v>0.52827549630850756</v>
      </c>
    </row>
    <row r="4400" spans="44:45" x14ac:dyDescent="0.25">
      <c r="AR4400" s="11">
        <v>0.35500000000000015</v>
      </c>
      <c r="AS4400" s="7">
        <v>0.52827549630850756</v>
      </c>
    </row>
    <row r="4401" spans="44:45" x14ac:dyDescent="0.25">
      <c r="AR4401" s="11">
        <v>0.36500000000000016</v>
      </c>
      <c r="AS4401" s="7">
        <v>0.52827549630850756</v>
      </c>
    </row>
    <row r="4402" spans="44:45" x14ac:dyDescent="0.25">
      <c r="AR4402" s="11">
        <v>0.37500000000000017</v>
      </c>
      <c r="AS4402" s="7">
        <v>0.52827549630850756</v>
      </c>
    </row>
    <row r="4403" spans="44:45" x14ac:dyDescent="0.25">
      <c r="AR4403" s="11">
        <v>0.38500000000000018</v>
      </c>
      <c r="AS4403" s="7">
        <v>0.52827549630850756</v>
      </c>
    </row>
    <row r="4404" spans="44:45" x14ac:dyDescent="0.25">
      <c r="AR4404" s="11">
        <v>0.39500000000000018</v>
      </c>
      <c r="AS4404" s="7">
        <v>0.52827549630850756</v>
      </c>
    </row>
    <row r="4405" spans="44:45" x14ac:dyDescent="0.25">
      <c r="AR4405" s="11">
        <v>0.40500000000000019</v>
      </c>
      <c r="AS4405" s="7">
        <v>0.52827549630850756</v>
      </c>
    </row>
    <row r="4406" spans="44:45" x14ac:dyDescent="0.25">
      <c r="AR4406" s="11">
        <v>0.4150000000000002</v>
      </c>
      <c r="AS4406" s="7">
        <v>0.52827549630850756</v>
      </c>
    </row>
    <row r="4407" spans="44:45" x14ac:dyDescent="0.25">
      <c r="AR4407" s="11">
        <v>0.42500000000000021</v>
      </c>
      <c r="AS4407" s="7">
        <v>0.52827549630850756</v>
      </c>
    </row>
    <row r="4408" spans="44:45" x14ac:dyDescent="0.25">
      <c r="AR4408" s="11">
        <v>0.43500000000000022</v>
      </c>
      <c r="AS4408" s="7">
        <v>0.52827549630850756</v>
      </c>
    </row>
    <row r="4409" spans="44:45" x14ac:dyDescent="0.25">
      <c r="AR4409" s="11">
        <v>0.44500000000000023</v>
      </c>
      <c r="AS4409" s="7">
        <v>0.52827549630850756</v>
      </c>
    </row>
    <row r="4410" spans="44:45" x14ac:dyDescent="0.25">
      <c r="AR4410" s="11">
        <v>0.45500000000000024</v>
      </c>
      <c r="AS4410" s="7">
        <v>0.52827549630850756</v>
      </c>
    </row>
    <row r="4411" spans="44:45" x14ac:dyDescent="0.25">
      <c r="AR4411" s="11">
        <v>0.46500000000000025</v>
      </c>
      <c r="AS4411" s="7">
        <v>0.52827549630850756</v>
      </c>
    </row>
    <row r="4412" spans="44:45" x14ac:dyDescent="0.25">
      <c r="AR4412" s="11">
        <v>0.47500000000000026</v>
      </c>
      <c r="AS4412" s="7">
        <v>0.52827549630850756</v>
      </c>
    </row>
    <row r="4413" spans="44:45" x14ac:dyDescent="0.25">
      <c r="AR4413" s="11">
        <v>0.48500000000000026</v>
      </c>
      <c r="AS4413" s="7">
        <v>0.52827549630850756</v>
      </c>
    </row>
    <row r="4414" spans="44:45" x14ac:dyDescent="0.25">
      <c r="AR4414" s="11">
        <v>0.49500000000000027</v>
      </c>
      <c r="AS4414" s="7">
        <v>0.52827549630850756</v>
      </c>
    </row>
    <row r="4415" spans="44:45" x14ac:dyDescent="0.25">
      <c r="AR4415" s="11">
        <v>0.50500000000000023</v>
      </c>
      <c r="AS4415" s="7">
        <v>0.52827549630850756</v>
      </c>
    </row>
    <row r="4416" spans="44:45" x14ac:dyDescent="0.25">
      <c r="AR4416" s="11">
        <v>0.51500000000000024</v>
      </c>
      <c r="AS4416" s="7">
        <v>0.52827549630850756</v>
      </c>
    </row>
    <row r="4417" spans="44:45" x14ac:dyDescent="0.25">
      <c r="AR4417" s="11">
        <v>0.52500000000000024</v>
      </c>
      <c r="AS4417" s="7">
        <v>0.52827549630850756</v>
      </c>
    </row>
    <row r="4418" spans="44:45" x14ac:dyDescent="0.25">
      <c r="AR4418" s="11">
        <v>0.53500000000000025</v>
      </c>
      <c r="AS4418" s="7">
        <v>0.52827549630850756</v>
      </c>
    </row>
    <row r="4419" spans="44:45" x14ac:dyDescent="0.25">
      <c r="AR4419" s="11">
        <v>0.54500000000000026</v>
      </c>
      <c r="AS4419" s="7">
        <v>0.52827549630850756</v>
      </c>
    </row>
    <row r="4420" spans="44:45" x14ac:dyDescent="0.25">
      <c r="AR4420" s="11">
        <v>0.55500000000000027</v>
      </c>
      <c r="AS4420" s="7">
        <v>0.52827549630850756</v>
      </c>
    </row>
    <row r="4421" spans="44:45" x14ac:dyDescent="0.25">
      <c r="AR4421" s="11">
        <v>0.56500000000000028</v>
      </c>
      <c r="AS4421" s="7">
        <v>0.52827549630850756</v>
      </c>
    </row>
    <row r="4422" spans="44:45" x14ac:dyDescent="0.25">
      <c r="AR4422" s="11">
        <v>0.57500000000000029</v>
      </c>
      <c r="AS4422" s="7">
        <v>0.52827549630850756</v>
      </c>
    </row>
    <row r="4423" spans="44:45" x14ac:dyDescent="0.25">
      <c r="AR4423" s="11">
        <v>0.5850000000000003</v>
      </c>
      <c r="AS4423" s="7">
        <v>0.52827549630850756</v>
      </c>
    </row>
    <row r="4424" spans="44:45" x14ac:dyDescent="0.25">
      <c r="AR4424" s="11">
        <v>0.59500000000000031</v>
      </c>
      <c r="AS4424" s="7">
        <v>0.52827549630850756</v>
      </c>
    </row>
    <row r="4425" spans="44:45" x14ac:dyDescent="0.25">
      <c r="AR4425" s="11">
        <v>0.60500000000000032</v>
      </c>
      <c r="AS4425" s="7">
        <v>0.52827549630850756</v>
      </c>
    </row>
    <row r="4426" spans="44:45" x14ac:dyDescent="0.25">
      <c r="AR4426" s="11">
        <v>0.61500000000000032</v>
      </c>
      <c r="AS4426" s="7">
        <v>0.52827549630850756</v>
      </c>
    </row>
    <row r="4427" spans="44:45" x14ac:dyDescent="0.25">
      <c r="AR4427" s="11">
        <v>0.62500000000000033</v>
      </c>
      <c r="AS4427" s="7">
        <v>0.52827549630850756</v>
      </c>
    </row>
    <row r="4428" spans="44:45" x14ac:dyDescent="0.25">
      <c r="AR4428" s="11">
        <v>0.63500000000000034</v>
      </c>
      <c r="AS4428" s="7">
        <v>0.52827549630850756</v>
      </c>
    </row>
    <row r="4429" spans="44:45" x14ac:dyDescent="0.25">
      <c r="AR4429" s="11">
        <v>0.64500000000000035</v>
      </c>
      <c r="AS4429" s="7">
        <v>0.52827549630850756</v>
      </c>
    </row>
    <row r="4430" spans="44:45" x14ac:dyDescent="0.25">
      <c r="AR4430" s="11">
        <v>0.65500000000000036</v>
      </c>
      <c r="AS4430" s="7">
        <v>0.52827549630850756</v>
      </c>
    </row>
    <row r="4431" spans="44:45" x14ac:dyDescent="0.25">
      <c r="AR4431" s="11">
        <v>0.66500000000000037</v>
      </c>
      <c r="AS4431" s="7">
        <v>0.52827549630850756</v>
      </c>
    </row>
    <row r="4432" spans="44:45" x14ac:dyDescent="0.25">
      <c r="AR4432" s="11">
        <v>0.67500000000000038</v>
      </c>
      <c r="AS4432" s="7">
        <v>0.52827549630850756</v>
      </c>
    </row>
    <row r="4433" spans="44:45" x14ac:dyDescent="0.25">
      <c r="AR4433" s="11">
        <v>0.68500000000000039</v>
      </c>
      <c r="AS4433" s="7">
        <v>0.52827549630850756</v>
      </c>
    </row>
    <row r="4434" spans="44:45" x14ac:dyDescent="0.25">
      <c r="AR4434" s="11">
        <v>0.6950000000000004</v>
      </c>
      <c r="AS4434" s="7">
        <v>0.52827549630850756</v>
      </c>
    </row>
    <row r="4435" spans="44:45" x14ac:dyDescent="0.25">
      <c r="AR4435" s="11"/>
      <c r="AS4435" s="7"/>
    </row>
    <row r="4436" spans="44:45" x14ac:dyDescent="0.25">
      <c r="AR4436" s="11">
        <v>0.31000000000000011</v>
      </c>
      <c r="AS4436" s="7">
        <v>0.53693575034635199</v>
      </c>
    </row>
    <row r="4437" spans="44:45" x14ac:dyDescent="0.25">
      <c r="AR4437" s="11">
        <v>0.32000000000000012</v>
      </c>
      <c r="AS4437" s="7">
        <v>0.53693575034635199</v>
      </c>
    </row>
    <row r="4438" spans="44:45" x14ac:dyDescent="0.25">
      <c r="AR4438" s="11">
        <v>0.33000000000000013</v>
      </c>
      <c r="AS4438" s="7">
        <v>0.53693575034635199</v>
      </c>
    </row>
    <row r="4439" spans="44:45" x14ac:dyDescent="0.25">
      <c r="AR4439" s="11">
        <v>0.34000000000000014</v>
      </c>
      <c r="AS4439" s="7">
        <v>0.53693575034635199</v>
      </c>
    </row>
    <row r="4440" spans="44:45" x14ac:dyDescent="0.25">
      <c r="AR4440" s="11">
        <v>0.35000000000000014</v>
      </c>
      <c r="AS4440" s="7">
        <v>0.53693575034635199</v>
      </c>
    </row>
    <row r="4441" spans="44:45" x14ac:dyDescent="0.25">
      <c r="AR4441" s="11">
        <v>0.36000000000000015</v>
      </c>
      <c r="AS4441" s="7">
        <v>0.53693575034635199</v>
      </c>
    </row>
    <row r="4442" spans="44:45" x14ac:dyDescent="0.25">
      <c r="AR4442" s="11">
        <v>0.37000000000000016</v>
      </c>
      <c r="AS4442" s="7">
        <v>0.53693575034635199</v>
      </c>
    </row>
    <row r="4443" spans="44:45" x14ac:dyDescent="0.25">
      <c r="AR4443" s="11">
        <v>0.38000000000000017</v>
      </c>
      <c r="AS4443" s="7">
        <v>0.53693575034635199</v>
      </c>
    </row>
    <row r="4444" spans="44:45" x14ac:dyDescent="0.25">
      <c r="AR4444" s="11">
        <v>0.39000000000000018</v>
      </c>
      <c r="AS4444" s="7">
        <v>0.53693575034635199</v>
      </c>
    </row>
    <row r="4445" spans="44:45" x14ac:dyDescent="0.25">
      <c r="AR4445" s="11">
        <v>0.40000000000000019</v>
      </c>
      <c r="AS4445" s="7">
        <v>0.53693575034635199</v>
      </c>
    </row>
    <row r="4446" spans="44:45" x14ac:dyDescent="0.25">
      <c r="AR4446" s="11">
        <v>0.4100000000000002</v>
      </c>
      <c r="AS4446" s="7">
        <v>0.53693575034635199</v>
      </c>
    </row>
    <row r="4447" spans="44:45" x14ac:dyDescent="0.25">
      <c r="AR4447" s="11">
        <v>0.42000000000000021</v>
      </c>
      <c r="AS4447" s="7">
        <v>0.53693575034635199</v>
      </c>
    </row>
    <row r="4448" spans="44:45" x14ac:dyDescent="0.25">
      <c r="AR4448" s="11">
        <v>0.43000000000000022</v>
      </c>
      <c r="AS4448" s="7">
        <v>0.53693575034635199</v>
      </c>
    </row>
    <row r="4449" spans="44:45" x14ac:dyDescent="0.25">
      <c r="AR4449" s="11">
        <v>0.44000000000000022</v>
      </c>
      <c r="AS4449" s="7">
        <v>0.53693575034635199</v>
      </c>
    </row>
    <row r="4450" spans="44:45" x14ac:dyDescent="0.25">
      <c r="AR4450" s="11">
        <v>0.45000000000000023</v>
      </c>
      <c r="AS4450" s="7">
        <v>0.53693575034635199</v>
      </c>
    </row>
    <row r="4451" spans="44:45" x14ac:dyDescent="0.25">
      <c r="AR4451" s="11">
        <v>0.46000000000000024</v>
      </c>
      <c r="AS4451" s="7">
        <v>0.53693575034635199</v>
      </c>
    </row>
    <row r="4452" spans="44:45" x14ac:dyDescent="0.25">
      <c r="AR4452" s="11">
        <v>0.47000000000000025</v>
      </c>
      <c r="AS4452" s="7">
        <v>0.53693575034635199</v>
      </c>
    </row>
    <row r="4453" spans="44:45" x14ac:dyDescent="0.25">
      <c r="AR4453" s="11">
        <v>0.48000000000000026</v>
      </c>
      <c r="AS4453" s="7">
        <v>0.53693575034635199</v>
      </c>
    </row>
    <row r="4454" spans="44:45" x14ac:dyDescent="0.25">
      <c r="AR4454" s="11">
        <v>0.49000000000000027</v>
      </c>
      <c r="AS4454" s="7">
        <v>0.53693575034635199</v>
      </c>
    </row>
    <row r="4455" spans="44:45" x14ac:dyDescent="0.25">
      <c r="AR4455" s="11">
        <v>0.50000000000000022</v>
      </c>
      <c r="AS4455" s="7">
        <v>0.53693575034635199</v>
      </c>
    </row>
    <row r="4456" spans="44:45" x14ac:dyDescent="0.25">
      <c r="AR4456" s="11">
        <v>0.51000000000000023</v>
      </c>
      <c r="AS4456" s="7">
        <v>0.53693575034635199</v>
      </c>
    </row>
    <row r="4457" spans="44:45" x14ac:dyDescent="0.25">
      <c r="AR4457" s="11">
        <v>0.52000000000000024</v>
      </c>
      <c r="AS4457" s="7">
        <v>0.53693575034635199</v>
      </c>
    </row>
    <row r="4458" spans="44:45" x14ac:dyDescent="0.25">
      <c r="AR4458" s="11">
        <v>0.53000000000000025</v>
      </c>
      <c r="AS4458" s="7">
        <v>0.53693575034635199</v>
      </c>
    </row>
    <row r="4459" spans="44:45" x14ac:dyDescent="0.25">
      <c r="AR4459" s="11">
        <v>0.54000000000000026</v>
      </c>
      <c r="AS4459" s="7">
        <v>0.53693575034635199</v>
      </c>
    </row>
    <row r="4460" spans="44:45" x14ac:dyDescent="0.25">
      <c r="AR4460" s="11">
        <v>0.55000000000000027</v>
      </c>
      <c r="AS4460" s="7">
        <v>0.53693575034635199</v>
      </c>
    </row>
    <row r="4461" spans="44:45" x14ac:dyDescent="0.25">
      <c r="AR4461" s="11">
        <v>0.56000000000000028</v>
      </c>
      <c r="AS4461" s="7">
        <v>0.53693575034635199</v>
      </c>
    </row>
    <row r="4462" spans="44:45" x14ac:dyDescent="0.25">
      <c r="AR4462" s="11">
        <v>0.57000000000000028</v>
      </c>
      <c r="AS4462" s="7">
        <v>0.53693575034635199</v>
      </c>
    </row>
    <row r="4463" spans="44:45" x14ac:dyDescent="0.25">
      <c r="AR4463" s="11">
        <v>0.58000000000000029</v>
      </c>
      <c r="AS4463" s="7">
        <v>0.53693575034635199</v>
      </c>
    </row>
    <row r="4464" spans="44:45" x14ac:dyDescent="0.25">
      <c r="AR4464" s="11">
        <v>0.5900000000000003</v>
      </c>
      <c r="AS4464" s="7">
        <v>0.53693575034635199</v>
      </c>
    </row>
    <row r="4465" spans="44:45" x14ac:dyDescent="0.25">
      <c r="AR4465" s="11">
        <v>0.60000000000000031</v>
      </c>
      <c r="AS4465" s="7">
        <v>0.53693575034635199</v>
      </c>
    </row>
    <row r="4466" spans="44:45" x14ac:dyDescent="0.25">
      <c r="AR4466" s="11">
        <v>0.61000000000000032</v>
      </c>
      <c r="AS4466" s="7">
        <v>0.53693575034635199</v>
      </c>
    </row>
    <row r="4467" spans="44:45" x14ac:dyDescent="0.25">
      <c r="AR4467" s="11">
        <v>0.62000000000000033</v>
      </c>
      <c r="AS4467" s="7">
        <v>0.53693575034635199</v>
      </c>
    </row>
    <row r="4468" spans="44:45" x14ac:dyDescent="0.25">
      <c r="AR4468" s="11">
        <v>0.63000000000000034</v>
      </c>
      <c r="AS4468" s="7">
        <v>0.53693575034635199</v>
      </c>
    </row>
    <row r="4469" spans="44:45" x14ac:dyDescent="0.25">
      <c r="AR4469" s="11">
        <v>0.64000000000000035</v>
      </c>
      <c r="AS4469" s="7">
        <v>0.53693575034635199</v>
      </c>
    </row>
    <row r="4470" spans="44:45" x14ac:dyDescent="0.25">
      <c r="AR4470" s="11">
        <v>0.65000000000000036</v>
      </c>
      <c r="AS4470" s="7">
        <v>0.53693575034635199</v>
      </c>
    </row>
    <row r="4471" spans="44:45" x14ac:dyDescent="0.25">
      <c r="AR4471" s="11">
        <v>0.66000000000000036</v>
      </c>
      <c r="AS4471" s="7">
        <v>0.53693575034635199</v>
      </c>
    </row>
    <row r="4472" spans="44:45" x14ac:dyDescent="0.25">
      <c r="AR4472" s="11">
        <v>0.67000000000000037</v>
      </c>
      <c r="AS4472" s="7">
        <v>0.53693575034635199</v>
      </c>
    </row>
    <row r="4473" spans="44:45" x14ac:dyDescent="0.25">
      <c r="AR4473" s="11">
        <v>0.68000000000000038</v>
      </c>
      <c r="AS4473" s="7">
        <v>0.53693575034635199</v>
      </c>
    </row>
    <row r="4474" spans="44:45" x14ac:dyDescent="0.25">
      <c r="AR4474" s="11">
        <v>0.69000000000000039</v>
      </c>
      <c r="AS4474" s="7">
        <v>0.53693575034635199</v>
      </c>
    </row>
    <row r="4475" spans="44:45" x14ac:dyDescent="0.25">
      <c r="AR4475" s="11"/>
      <c r="AS4475" s="7"/>
    </row>
    <row r="4476" spans="44:45" x14ac:dyDescent="0.25">
      <c r="AR4476" s="11">
        <v>0.31500000000000011</v>
      </c>
      <c r="AS4476" s="7">
        <v>0.54559600438419642</v>
      </c>
    </row>
    <row r="4477" spans="44:45" x14ac:dyDescent="0.25">
      <c r="AR4477" s="11">
        <v>0.32500000000000012</v>
      </c>
      <c r="AS4477" s="7">
        <v>0.54559600438419642</v>
      </c>
    </row>
    <row r="4478" spans="44:45" x14ac:dyDescent="0.25">
      <c r="AR4478" s="11">
        <v>0.33500000000000013</v>
      </c>
      <c r="AS4478" s="7">
        <v>0.54559600438419642</v>
      </c>
    </row>
    <row r="4479" spans="44:45" x14ac:dyDescent="0.25">
      <c r="AR4479" s="11">
        <v>0.34500000000000014</v>
      </c>
      <c r="AS4479" s="7">
        <v>0.54559600438419642</v>
      </c>
    </row>
    <row r="4480" spans="44:45" x14ac:dyDescent="0.25">
      <c r="AR4480" s="11">
        <v>0.35500000000000015</v>
      </c>
      <c r="AS4480" s="7">
        <v>0.54559600438419642</v>
      </c>
    </row>
    <row r="4481" spans="44:45" x14ac:dyDescent="0.25">
      <c r="AR4481" s="11">
        <v>0.36500000000000016</v>
      </c>
      <c r="AS4481" s="7">
        <v>0.54559600438419642</v>
      </c>
    </row>
    <row r="4482" spans="44:45" x14ac:dyDescent="0.25">
      <c r="AR4482" s="11">
        <v>0.37500000000000017</v>
      </c>
      <c r="AS4482" s="7">
        <v>0.54559600438419642</v>
      </c>
    </row>
    <row r="4483" spans="44:45" x14ac:dyDescent="0.25">
      <c r="AR4483" s="11">
        <v>0.38500000000000018</v>
      </c>
      <c r="AS4483" s="7">
        <v>0.54559600438419642</v>
      </c>
    </row>
    <row r="4484" spans="44:45" x14ac:dyDescent="0.25">
      <c r="AR4484" s="11">
        <v>0.39500000000000018</v>
      </c>
      <c r="AS4484" s="7">
        <v>0.54559600438419642</v>
      </c>
    </row>
    <row r="4485" spans="44:45" x14ac:dyDescent="0.25">
      <c r="AR4485" s="11">
        <v>0.40500000000000019</v>
      </c>
      <c r="AS4485" s="7">
        <v>0.54559600438419642</v>
      </c>
    </row>
    <row r="4486" spans="44:45" x14ac:dyDescent="0.25">
      <c r="AR4486" s="11">
        <v>0.4150000000000002</v>
      </c>
      <c r="AS4486" s="7">
        <v>0.54559600438419642</v>
      </c>
    </row>
    <row r="4487" spans="44:45" x14ac:dyDescent="0.25">
      <c r="AR4487" s="11">
        <v>0.42500000000000021</v>
      </c>
      <c r="AS4487" s="7">
        <v>0.54559600438419642</v>
      </c>
    </row>
    <row r="4488" spans="44:45" x14ac:dyDescent="0.25">
      <c r="AR4488" s="11">
        <v>0.43500000000000022</v>
      </c>
      <c r="AS4488" s="7">
        <v>0.54559600438419642</v>
      </c>
    </row>
    <row r="4489" spans="44:45" x14ac:dyDescent="0.25">
      <c r="AR4489" s="11">
        <v>0.44500000000000023</v>
      </c>
      <c r="AS4489" s="7">
        <v>0.54559600438419642</v>
      </c>
    </row>
    <row r="4490" spans="44:45" x14ac:dyDescent="0.25">
      <c r="AR4490" s="11">
        <v>0.45500000000000024</v>
      </c>
      <c r="AS4490" s="7">
        <v>0.54559600438419642</v>
      </c>
    </row>
    <row r="4491" spans="44:45" x14ac:dyDescent="0.25">
      <c r="AR4491" s="11">
        <v>0.46500000000000025</v>
      </c>
      <c r="AS4491" s="7">
        <v>0.54559600438419642</v>
      </c>
    </row>
    <row r="4492" spans="44:45" x14ac:dyDescent="0.25">
      <c r="AR4492" s="11">
        <v>0.47500000000000026</v>
      </c>
      <c r="AS4492" s="7">
        <v>0.54559600438419642</v>
      </c>
    </row>
    <row r="4493" spans="44:45" x14ac:dyDescent="0.25">
      <c r="AR4493" s="11">
        <v>0.48500000000000026</v>
      </c>
      <c r="AS4493" s="7">
        <v>0.54559600438419642</v>
      </c>
    </row>
    <row r="4494" spans="44:45" x14ac:dyDescent="0.25">
      <c r="AR4494" s="11">
        <v>0.49500000000000027</v>
      </c>
      <c r="AS4494" s="7">
        <v>0.54559600438419642</v>
      </c>
    </row>
    <row r="4495" spans="44:45" x14ac:dyDescent="0.25">
      <c r="AR4495" s="11">
        <v>0.50500000000000023</v>
      </c>
      <c r="AS4495" s="7">
        <v>0.54559600438419642</v>
      </c>
    </row>
    <row r="4496" spans="44:45" x14ac:dyDescent="0.25">
      <c r="AR4496" s="11">
        <v>0.51500000000000024</v>
      </c>
      <c r="AS4496" s="7">
        <v>0.54559600438419642</v>
      </c>
    </row>
    <row r="4497" spans="44:45" x14ac:dyDescent="0.25">
      <c r="AR4497" s="11">
        <v>0.52500000000000024</v>
      </c>
      <c r="AS4497" s="7">
        <v>0.54559600438419642</v>
      </c>
    </row>
    <row r="4498" spans="44:45" x14ac:dyDescent="0.25">
      <c r="AR4498" s="11">
        <v>0.53500000000000025</v>
      </c>
      <c r="AS4498" s="7">
        <v>0.54559600438419642</v>
      </c>
    </row>
    <row r="4499" spans="44:45" x14ac:dyDescent="0.25">
      <c r="AR4499" s="11">
        <v>0.54500000000000026</v>
      </c>
      <c r="AS4499" s="7">
        <v>0.54559600438419642</v>
      </c>
    </row>
    <row r="4500" spans="44:45" x14ac:dyDescent="0.25">
      <c r="AR4500" s="11">
        <v>0.55500000000000027</v>
      </c>
      <c r="AS4500" s="7">
        <v>0.54559600438419642</v>
      </c>
    </row>
    <row r="4501" spans="44:45" x14ac:dyDescent="0.25">
      <c r="AR4501" s="11">
        <v>0.56500000000000028</v>
      </c>
      <c r="AS4501" s="7">
        <v>0.54559600438419642</v>
      </c>
    </row>
    <row r="4502" spans="44:45" x14ac:dyDescent="0.25">
      <c r="AR4502" s="11">
        <v>0.57500000000000029</v>
      </c>
      <c r="AS4502" s="7">
        <v>0.54559600438419642</v>
      </c>
    </row>
    <row r="4503" spans="44:45" x14ac:dyDescent="0.25">
      <c r="AR4503" s="11">
        <v>0.5850000000000003</v>
      </c>
      <c r="AS4503" s="7">
        <v>0.54559600438419642</v>
      </c>
    </row>
    <row r="4504" spans="44:45" x14ac:dyDescent="0.25">
      <c r="AR4504" s="11">
        <v>0.59500000000000031</v>
      </c>
      <c r="AS4504" s="7">
        <v>0.54559600438419642</v>
      </c>
    </row>
    <row r="4505" spans="44:45" x14ac:dyDescent="0.25">
      <c r="AR4505" s="11">
        <v>0.60500000000000032</v>
      </c>
      <c r="AS4505" s="7">
        <v>0.54559600438419642</v>
      </c>
    </row>
    <row r="4506" spans="44:45" x14ac:dyDescent="0.25">
      <c r="AR4506" s="11">
        <v>0.61500000000000032</v>
      </c>
      <c r="AS4506" s="7">
        <v>0.54559600438419642</v>
      </c>
    </row>
    <row r="4507" spans="44:45" x14ac:dyDescent="0.25">
      <c r="AR4507" s="11">
        <v>0.62500000000000033</v>
      </c>
      <c r="AS4507" s="7">
        <v>0.54559600438419642</v>
      </c>
    </row>
    <row r="4508" spans="44:45" x14ac:dyDescent="0.25">
      <c r="AR4508" s="11">
        <v>0.63500000000000034</v>
      </c>
      <c r="AS4508" s="7">
        <v>0.54559600438419642</v>
      </c>
    </row>
    <row r="4509" spans="44:45" x14ac:dyDescent="0.25">
      <c r="AR4509" s="11">
        <v>0.64500000000000035</v>
      </c>
      <c r="AS4509" s="7">
        <v>0.54559600438419642</v>
      </c>
    </row>
    <row r="4510" spans="44:45" x14ac:dyDescent="0.25">
      <c r="AR4510" s="11">
        <v>0.65500000000000036</v>
      </c>
      <c r="AS4510" s="7">
        <v>0.54559600438419642</v>
      </c>
    </row>
    <row r="4511" spans="44:45" x14ac:dyDescent="0.25">
      <c r="AR4511" s="11">
        <v>0.66500000000000037</v>
      </c>
      <c r="AS4511" s="7">
        <v>0.54559600438419642</v>
      </c>
    </row>
    <row r="4512" spans="44:45" x14ac:dyDescent="0.25">
      <c r="AR4512" s="11">
        <v>0.67500000000000038</v>
      </c>
      <c r="AS4512" s="7">
        <v>0.54559600438419642</v>
      </c>
    </row>
    <row r="4513" spans="44:45" x14ac:dyDescent="0.25">
      <c r="AR4513" s="11">
        <v>0.68500000000000039</v>
      </c>
      <c r="AS4513" s="7">
        <v>0.54559600438419642</v>
      </c>
    </row>
    <row r="4514" spans="44:45" x14ac:dyDescent="0.25">
      <c r="AR4514" s="11"/>
      <c r="AS4514" s="7"/>
    </row>
    <row r="4515" spans="44:45" x14ac:dyDescent="0.25">
      <c r="AR4515" s="11">
        <v>0.32000000000000012</v>
      </c>
      <c r="AS4515" s="7">
        <v>0.55425625842204074</v>
      </c>
    </row>
    <row r="4516" spans="44:45" x14ac:dyDescent="0.25">
      <c r="AR4516" s="11">
        <v>0.33000000000000013</v>
      </c>
      <c r="AS4516" s="7">
        <v>0.55425625842204074</v>
      </c>
    </row>
    <row r="4517" spans="44:45" x14ac:dyDescent="0.25">
      <c r="AR4517" s="11">
        <v>0.34000000000000014</v>
      </c>
      <c r="AS4517" s="7">
        <v>0.55425625842204074</v>
      </c>
    </row>
    <row r="4518" spans="44:45" x14ac:dyDescent="0.25">
      <c r="AR4518" s="11">
        <v>0.35000000000000014</v>
      </c>
      <c r="AS4518" s="7">
        <v>0.55425625842204074</v>
      </c>
    </row>
    <row r="4519" spans="44:45" x14ac:dyDescent="0.25">
      <c r="AR4519" s="11">
        <v>0.36000000000000015</v>
      </c>
      <c r="AS4519" s="7">
        <v>0.55425625842204074</v>
      </c>
    </row>
    <row r="4520" spans="44:45" x14ac:dyDescent="0.25">
      <c r="AR4520" s="11">
        <v>0.37000000000000016</v>
      </c>
      <c r="AS4520" s="7">
        <v>0.55425625842204074</v>
      </c>
    </row>
    <row r="4521" spans="44:45" x14ac:dyDescent="0.25">
      <c r="AR4521" s="11">
        <v>0.38000000000000017</v>
      </c>
      <c r="AS4521" s="7">
        <v>0.55425625842204074</v>
      </c>
    </row>
    <row r="4522" spans="44:45" x14ac:dyDescent="0.25">
      <c r="AR4522" s="11">
        <v>0.39000000000000018</v>
      </c>
      <c r="AS4522" s="7">
        <v>0.55425625842204074</v>
      </c>
    </row>
    <row r="4523" spans="44:45" x14ac:dyDescent="0.25">
      <c r="AR4523" s="11">
        <v>0.40000000000000019</v>
      </c>
      <c r="AS4523" s="7">
        <v>0.55425625842204074</v>
      </c>
    </row>
    <row r="4524" spans="44:45" x14ac:dyDescent="0.25">
      <c r="AR4524" s="11">
        <v>0.4100000000000002</v>
      </c>
      <c r="AS4524" s="7">
        <v>0.55425625842204074</v>
      </c>
    </row>
    <row r="4525" spans="44:45" x14ac:dyDescent="0.25">
      <c r="AR4525" s="11">
        <v>0.42000000000000021</v>
      </c>
      <c r="AS4525" s="7">
        <v>0.55425625842204074</v>
      </c>
    </row>
    <row r="4526" spans="44:45" x14ac:dyDescent="0.25">
      <c r="AR4526" s="11">
        <v>0.43000000000000022</v>
      </c>
      <c r="AS4526" s="7">
        <v>0.55425625842204074</v>
      </c>
    </row>
    <row r="4527" spans="44:45" x14ac:dyDescent="0.25">
      <c r="AR4527" s="11">
        <v>0.44000000000000022</v>
      </c>
      <c r="AS4527" s="7">
        <v>0.55425625842204074</v>
      </c>
    </row>
    <row r="4528" spans="44:45" x14ac:dyDescent="0.25">
      <c r="AR4528" s="11">
        <v>0.45000000000000023</v>
      </c>
      <c r="AS4528" s="7">
        <v>0.55425625842204074</v>
      </c>
    </row>
    <row r="4529" spans="44:45" x14ac:dyDescent="0.25">
      <c r="AR4529" s="11">
        <v>0.46000000000000024</v>
      </c>
      <c r="AS4529" s="7">
        <v>0.55425625842204074</v>
      </c>
    </row>
    <row r="4530" spans="44:45" x14ac:dyDescent="0.25">
      <c r="AR4530" s="11">
        <v>0.47000000000000025</v>
      </c>
      <c r="AS4530" s="7">
        <v>0.55425625842204074</v>
      </c>
    </row>
    <row r="4531" spans="44:45" x14ac:dyDescent="0.25">
      <c r="AR4531" s="11">
        <v>0.48000000000000026</v>
      </c>
      <c r="AS4531" s="7">
        <v>0.55425625842204074</v>
      </c>
    </row>
    <row r="4532" spans="44:45" x14ac:dyDescent="0.25">
      <c r="AR4532" s="11">
        <v>0.49000000000000027</v>
      </c>
      <c r="AS4532" s="7">
        <v>0.55425625842204074</v>
      </c>
    </row>
    <row r="4533" spans="44:45" x14ac:dyDescent="0.25">
      <c r="AR4533" s="11">
        <v>0.50000000000000022</v>
      </c>
      <c r="AS4533" s="7">
        <v>0.55425625842204074</v>
      </c>
    </row>
    <row r="4534" spans="44:45" x14ac:dyDescent="0.25">
      <c r="AR4534" s="11">
        <v>0.51000000000000023</v>
      </c>
      <c r="AS4534" s="7">
        <v>0.55425625842204074</v>
      </c>
    </row>
    <row r="4535" spans="44:45" x14ac:dyDescent="0.25">
      <c r="AR4535" s="11">
        <v>0.52000000000000024</v>
      </c>
      <c r="AS4535" s="7">
        <v>0.55425625842204074</v>
      </c>
    </row>
    <row r="4536" spans="44:45" x14ac:dyDescent="0.25">
      <c r="AR4536" s="11">
        <v>0.53000000000000025</v>
      </c>
      <c r="AS4536" s="7">
        <v>0.55425625842204074</v>
      </c>
    </row>
    <row r="4537" spans="44:45" x14ac:dyDescent="0.25">
      <c r="AR4537" s="11">
        <v>0.54000000000000026</v>
      </c>
      <c r="AS4537" s="7">
        <v>0.55425625842204074</v>
      </c>
    </row>
    <row r="4538" spans="44:45" x14ac:dyDescent="0.25">
      <c r="AR4538" s="11">
        <v>0.55000000000000027</v>
      </c>
      <c r="AS4538" s="7">
        <v>0.55425625842204074</v>
      </c>
    </row>
    <row r="4539" spans="44:45" x14ac:dyDescent="0.25">
      <c r="AR4539" s="11">
        <v>0.56000000000000028</v>
      </c>
      <c r="AS4539" s="7">
        <v>0.55425625842204074</v>
      </c>
    </row>
    <row r="4540" spans="44:45" x14ac:dyDescent="0.25">
      <c r="AR4540" s="11">
        <v>0.57000000000000028</v>
      </c>
      <c r="AS4540" s="7">
        <v>0.55425625842204074</v>
      </c>
    </row>
    <row r="4541" spans="44:45" x14ac:dyDescent="0.25">
      <c r="AR4541" s="11">
        <v>0.58000000000000029</v>
      </c>
      <c r="AS4541" s="7">
        <v>0.55425625842204074</v>
      </c>
    </row>
    <row r="4542" spans="44:45" x14ac:dyDescent="0.25">
      <c r="AR4542" s="11">
        <v>0.5900000000000003</v>
      </c>
      <c r="AS4542" s="7">
        <v>0.55425625842204074</v>
      </c>
    </row>
    <row r="4543" spans="44:45" x14ac:dyDescent="0.25">
      <c r="AR4543" s="11">
        <v>0.60000000000000031</v>
      </c>
      <c r="AS4543" s="7">
        <v>0.55425625842204074</v>
      </c>
    </row>
    <row r="4544" spans="44:45" x14ac:dyDescent="0.25">
      <c r="AR4544" s="11">
        <v>0.61000000000000032</v>
      </c>
      <c r="AS4544" s="7">
        <v>0.55425625842204074</v>
      </c>
    </row>
    <row r="4545" spans="44:45" x14ac:dyDescent="0.25">
      <c r="AR4545" s="11">
        <v>0.62000000000000033</v>
      </c>
      <c r="AS4545" s="7">
        <v>0.55425625842204074</v>
      </c>
    </row>
    <row r="4546" spans="44:45" x14ac:dyDescent="0.25">
      <c r="AR4546" s="11">
        <v>0.63000000000000034</v>
      </c>
      <c r="AS4546" s="7">
        <v>0.55425625842204074</v>
      </c>
    </row>
    <row r="4547" spans="44:45" x14ac:dyDescent="0.25">
      <c r="AR4547" s="11">
        <v>0.64000000000000035</v>
      </c>
      <c r="AS4547" s="7">
        <v>0.55425625842204074</v>
      </c>
    </row>
    <row r="4548" spans="44:45" x14ac:dyDescent="0.25">
      <c r="AR4548" s="11">
        <v>0.65000000000000036</v>
      </c>
      <c r="AS4548" s="7">
        <v>0.55425625842204074</v>
      </c>
    </row>
    <row r="4549" spans="44:45" x14ac:dyDescent="0.25">
      <c r="AR4549" s="11">
        <v>0.66000000000000036</v>
      </c>
      <c r="AS4549" s="7">
        <v>0.55425625842204074</v>
      </c>
    </row>
    <row r="4550" spans="44:45" x14ac:dyDescent="0.25">
      <c r="AR4550" s="11">
        <v>0.67000000000000037</v>
      </c>
      <c r="AS4550" s="7">
        <v>0.55425625842204074</v>
      </c>
    </row>
    <row r="4551" spans="44:45" x14ac:dyDescent="0.25">
      <c r="AR4551" s="11">
        <v>0.68000000000000038</v>
      </c>
      <c r="AS4551" s="7">
        <v>0.55425625842204074</v>
      </c>
    </row>
    <row r="4552" spans="44:45" x14ac:dyDescent="0.25">
      <c r="AR4552" s="11"/>
      <c r="AS4552" s="7"/>
    </row>
    <row r="4553" spans="44:45" x14ac:dyDescent="0.25">
      <c r="AR4553" s="11">
        <v>0.32500000000000012</v>
      </c>
      <c r="AS4553" s="7">
        <v>0.56291651245988517</v>
      </c>
    </row>
    <row r="4554" spans="44:45" x14ac:dyDescent="0.25">
      <c r="AR4554" s="11">
        <v>0.33500000000000013</v>
      </c>
      <c r="AS4554" s="7">
        <v>0.56291651245988517</v>
      </c>
    </row>
    <row r="4555" spans="44:45" x14ac:dyDescent="0.25">
      <c r="AR4555" s="11">
        <v>0.34500000000000014</v>
      </c>
      <c r="AS4555" s="7">
        <v>0.56291651245988517</v>
      </c>
    </row>
    <row r="4556" spans="44:45" x14ac:dyDescent="0.25">
      <c r="AR4556" s="11">
        <v>0.35500000000000015</v>
      </c>
      <c r="AS4556" s="7">
        <v>0.56291651245988517</v>
      </c>
    </row>
    <row r="4557" spans="44:45" x14ac:dyDescent="0.25">
      <c r="AR4557" s="11">
        <v>0.36500000000000016</v>
      </c>
      <c r="AS4557" s="7">
        <v>0.56291651245988517</v>
      </c>
    </row>
    <row r="4558" spans="44:45" x14ac:dyDescent="0.25">
      <c r="AR4558" s="11">
        <v>0.37500000000000017</v>
      </c>
      <c r="AS4558" s="7">
        <v>0.56291651245988517</v>
      </c>
    </row>
    <row r="4559" spans="44:45" x14ac:dyDescent="0.25">
      <c r="AR4559" s="11">
        <v>0.38500000000000018</v>
      </c>
      <c r="AS4559" s="7">
        <v>0.56291651245988517</v>
      </c>
    </row>
    <row r="4560" spans="44:45" x14ac:dyDescent="0.25">
      <c r="AR4560" s="11">
        <v>0.39500000000000018</v>
      </c>
      <c r="AS4560" s="7">
        <v>0.56291651245988517</v>
      </c>
    </row>
    <row r="4561" spans="44:45" x14ac:dyDescent="0.25">
      <c r="AR4561" s="11">
        <v>0.40500000000000019</v>
      </c>
      <c r="AS4561" s="7">
        <v>0.56291651245988517</v>
      </c>
    </row>
    <row r="4562" spans="44:45" x14ac:dyDescent="0.25">
      <c r="AR4562" s="11">
        <v>0.4150000000000002</v>
      </c>
      <c r="AS4562" s="7">
        <v>0.56291651245988517</v>
      </c>
    </row>
    <row r="4563" spans="44:45" x14ac:dyDescent="0.25">
      <c r="AR4563" s="11">
        <v>0.42500000000000021</v>
      </c>
      <c r="AS4563" s="7">
        <v>0.56291651245988517</v>
      </c>
    </row>
    <row r="4564" spans="44:45" x14ac:dyDescent="0.25">
      <c r="AR4564" s="11">
        <v>0.43500000000000022</v>
      </c>
      <c r="AS4564" s="7">
        <v>0.56291651245988517</v>
      </c>
    </row>
    <row r="4565" spans="44:45" x14ac:dyDescent="0.25">
      <c r="AR4565" s="11">
        <v>0.44500000000000023</v>
      </c>
      <c r="AS4565" s="7">
        <v>0.56291651245988517</v>
      </c>
    </row>
    <row r="4566" spans="44:45" x14ac:dyDescent="0.25">
      <c r="AR4566" s="11">
        <v>0.45500000000000024</v>
      </c>
      <c r="AS4566" s="7">
        <v>0.56291651245988517</v>
      </c>
    </row>
    <row r="4567" spans="44:45" x14ac:dyDescent="0.25">
      <c r="AR4567" s="11">
        <v>0.46500000000000025</v>
      </c>
      <c r="AS4567" s="7">
        <v>0.56291651245988517</v>
      </c>
    </row>
    <row r="4568" spans="44:45" x14ac:dyDescent="0.25">
      <c r="AR4568" s="11">
        <v>0.47500000000000026</v>
      </c>
      <c r="AS4568" s="7">
        <v>0.56291651245988517</v>
      </c>
    </row>
    <row r="4569" spans="44:45" x14ac:dyDescent="0.25">
      <c r="AR4569" s="11">
        <v>0.48500000000000026</v>
      </c>
      <c r="AS4569" s="7">
        <v>0.56291651245988517</v>
      </c>
    </row>
    <row r="4570" spans="44:45" x14ac:dyDescent="0.25">
      <c r="AR4570" s="11">
        <v>0.49500000000000027</v>
      </c>
      <c r="AS4570" s="7">
        <v>0.56291651245988517</v>
      </c>
    </row>
    <row r="4571" spans="44:45" x14ac:dyDescent="0.25">
      <c r="AR4571" s="11">
        <v>0.50500000000000023</v>
      </c>
      <c r="AS4571" s="7">
        <v>0.56291651245988517</v>
      </c>
    </row>
    <row r="4572" spans="44:45" x14ac:dyDescent="0.25">
      <c r="AR4572" s="11">
        <v>0.51500000000000024</v>
      </c>
      <c r="AS4572" s="7">
        <v>0.56291651245988517</v>
      </c>
    </row>
    <row r="4573" spans="44:45" x14ac:dyDescent="0.25">
      <c r="AR4573" s="11">
        <v>0.52500000000000024</v>
      </c>
      <c r="AS4573" s="7">
        <v>0.56291651245988517</v>
      </c>
    </row>
    <row r="4574" spans="44:45" x14ac:dyDescent="0.25">
      <c r="AR4574" s="11">
        <v>0.53500000000000025</v>
      </c>
      <c r="AS4574" s="7">
        <v>0.56291651245988517</v>
      </c>
    </row>
    <row r="4575" spans="44:45" x14ac:dyDescent="0.25">
      <c r="AR4575" s="11">
        <v>0.54500000000000026</v>
      </c>
      <c r="AS4575" s="7">
        <v>0.56291651245988517</v>
      </c>
    </row>
    <row r="4576" spans="44:45" x14ac:dyDescent="0.25">
      <c r="AR4576" s="11">
        <v>0.55500000000000027</v>
      </c>
      <c r="AS4576" s="7">
        <v>0.56291651245988517</v>
      </c>
    </row>
    <row r="4577" spans="44:45" x14ac:dyDescent="0.25">
      <c r="AR4577" s="11">
        <v>0.56500000000000028</v>
      </c>
      <c r="AS4577" s="7">
        <v>0.56291651245988517</v>
      </c>
    </row>
    <row r="4578" spans="44:45" x14ac:dyDescent="0.25">
      <c r="AR4578" s="11">
        <v>0.57500000000000029</v>
      </c>
      <c r="AS4578" s="7">
        <v>0.56291651245988517</v>
      </c>
    </row>
    <row r="4579" spans="44:45" x14ac:dyDescent="0.25">
      <c r="AR4579" s="11">
        <v>0.5850000000000003</v>
      </c>
      <c r="AS4579" s="7">
        <v>0.56291651245988517</v>
      </c>
    </row>
    <row r="4580" spans="44:45" x14ac:dyDescent="0.25">
      <c r="AR4580" s="11">
        <v>0.59500000000000031</v>
      </c>
      <c r="AS4580" s="7">
        <v>0.56291651245988517</v>
      </c>
    </row>
    <row r="4581" spans="44:45" x14ac:dyDescent="0.25">
      <c r="AR4581" s="11">
        <v>0.60500000000000032</v>
      </c>
      <c r="AS4581" s="7">
        <v>0.56291651245988517</v>
      </c>
    </row>
    <row r="4582" spans="44:45" x14ac:dyDescent="0.25">
      <c r="AR4582" s="11">
        <v>0.61500000000000032</v>
      </c>
      <c r="AS4582" s="7">
        <v>0.56291651245988517</v>
      </c>
    </row>
    <row r="4583" spans="44:45" x14ac:dyDescent="0.25">
      <c r="AR4583" s="11">
        <v>0.62500000000000033</v>
      </c>
      <c r="AS4583" s="7">
        <v>0.56291651245988517</v>
      </c>
    </row>
    <row r="4584" spans="44:45" x14ac:dyDescent="0.25">
      <c r="AR4584" s="11">
        <v>0.63500000000000034</v>
      </c>
      <c r="AS4584" s="7">
        <v>0.56291651245988517</v>
      </c>
    </row>
    <row r="4585" spans="44:45" x14ac:dyDescent="0.25">
      <c r="AR4585" s="11">
        <v>0.64500000000000035</v>
      </c>
      <c r="AS4585" s="7">
        <v>0.56291651245988517</v>
      </c>
    </row>
    <row r="4586" spans="44:45" x14ac:dyDescent="0.25">
      <c r="AR4586" s="11">
        <v>0.65500000000000036</v>
      </c>
      <c r="AS4586" s="7">
        <v>0.56291651245988517</v>
      </c>
    </row>
    <row r="4587" spans="44:45" x14ac:dyDescent="0.25">
      <c r="AR4587" s="11">
        <v>0.66500000000000037</v>
      </c>
      <c r="AS4587" s="7">
        <v>0.56291651245988517</v>
      </c>
    </row>
    <row r="4588" spans="44:45" x14ac:dyDescent="0.25">
      <c r="AR4588" s="11">
        <v>0.67500000000000038</v>
      </c>
      <c r="AS4588" s="7">
        <v>0.56291651245988517</v>
      </c>
    </row>
    <row r="4589" spans="44:45" x14ac:dyDescent="0.25">
      <c r="AR4589" s="11"/>
      <c r="AS4589" s="7"/>
    </row>
    <row r="4590" spans="44:45" x14ac:dyDescent="0.25">
      <c r="AR4590" s="11">
        <v>0.33000000000000013</v>
      </c>
      <c r="AS4590" s="7">
        <v>0.57157676649772959</v>
      </c>
    </row>
    <row r="4591" spans="44:45" x14ac:dyDescent="0.25">
      <c r="AR4591" s="11">
        <v>0.34000000000000014</v>
      </c>
      <c r="AS4591" s="7">
        <v>0.57157676649772959</v>
      </c>
    </row>
    <row r="4592" spans="44:45" x14ac:dyDescent="0.25">
      <c r="AR4592" s="11">
        <v>0.35000000000000014</v>
      </c>
      <c r="AS4592" s="7">
        <v>0.57157676649772959</v>
      </c>
    </row>
    <row r="4593" spans="44:45" x14ac:dyDescent="0.25">
      <c r="AR4593" s="11">
        <v>0.36000000000000015</v>
      </c>
      <c r="AS4593" s="7">
        <v>0.57157676649772959</v>
      </c>
    </row>
    <row r="4594" spans="44:45" x14ac:dyDescent="0.25">
      <c r="AR4594" s="11">
        <v>0.37000000000000016</v>
      </c>
      <c r="AS4594" s="7">
        <v>0.57157676649772959</v>
      </c>
    </row>
    <row r="4595" spans="44:45" x14ac:dyDescent="0.25">
      <c r="AR4595" s="11">
        <v>0.38000000000000017</v>
      </c>
      <c r="AS4595" s="7">
        <v>0.57157676649772959</v>
      </c>
    </row>
    <row r="4596" spans="44:45" x14ac:dyDescent="0.25">
      <c r="AR4596" s="11">
        <v>0.39000000000000018</v>
      </c>
      <c r="AS4596" s="7">
        <v>0.57157676649772959</v>
      </c>
    </row>
    <row r="4597" spans="44:45" x14ac:dyDescent="0.25">
      <c r="AR4597" s="11">
        <v>0.40000000000000019</v>
      </c>
      <c r="AS4597" s="7">
        <v>0.57157676649772959</v>
      </c>
    </row>
    <row r="4598" spans="44:45" x14ac:dyDescent="0.25">
      <c r="AR4598" s="11">
        <v>0.4100000000000002</v>
      </c>
      <c r="AS4598" s="7">
        <v>0.57157676649772959</v>
      </c>
    </row>
    <row r="4599" spans="44:45" x14ac:dyDescent="0.25">
      <c r="AR4599" s="11">
        <v>0.42000000000000021</v>
      </c>
      <c r="AS4599" s="7">
        <v>0.57157676649772959</v>
      </c>
    </row>
    <row r="4600" spans="44:45" x14ac:dyDescent="0.25">
      <c r="AR4600" s="11">
        <v>0.43000000000000022</v>
      </c>
      <c r="AS4600" s="7">
        <v>0.57157676649772959</v>
      </c>
    </row>
    <row r="4601" spans="44:45" x14ac:dyDescent="0.25">
      <c r="AR4601" s="11">
        <v>0.44000000000000022</v>
      </c>
      <c r="AS4601" s="7">
        <v>0.57157676649772959</v>
      </c>
    </row>
    <row r="4602" spans="44:45" x14ac:dyDescent="0.25">
      <c r="AR4602" s="11">
        <v>0.45000000000000023</v>
      </c>
      <c r="AS4602" s="7">
        <v>0.57157676649772959</v>
      </c>
    </row>
    <row r="4603" spans="44:45" x14ac:dyDescent="0.25">
      <c r="AR4603" s="11">
        <v>0.46000000000000024</v>
      </c>
      <c r="AS4603" s="7">
        <v>0.57157676649772959</v>
      </c>
    </row>
    <row r="4604" spans="44:45" x14ac:dyDescent="0.25">
      <c r="AR4604" s="11">
        <v>0.47000000000000025</v>
      </c>
      <c r="AS4604" s="7">
        <v>0.57157676649772959</v>
      </c>
    </row>
    <row r="4605" spans="44:45" x14ac:dyDescent="0.25">
      <c r="AR4605" s="11">
        <v>0.48000000000000026</v>
      </c>
      <c r="AS4605" s="7">
        <v>0.57157676649772959</v>
      </c>
    </row>
    <row r="4606" spans="44:45" x14ac:dyDescent="0.25">
      <c r="AR4606" s="11">
        <v>0.49000000000000027</v>
      </c>
      <c r="AS4606" s="7">
        <v>0.57157676649772959</v>
      </c>
    </row>
    <row r="4607" spans="44:45" x14ac:dyDescent="0.25">
      <c r="AR4607" s="11">
        <v>0.50000000000000022</v>
      </c>
      <c r="AS4607" s="7">
        <v>0.57157676649772959</v>
      </c>
    </row>
    <row r="4608" spans="44:45" x14ac:dyDescent="0.25">
      <c r="AR4608" s="11">
        <v>0.51000000000000023</v>
      </c>
      <c r="AS4608" s="7">
        <v>0.57157676649772959</v>
      </c>
    </row>
    <row r="4609" spans="44:45" x14ac:dyDescent="0.25">
      <c r="AR4609" s="11">
        <v>0.52000000000000024</v>
      </c>
      <c r="AS4609" s="7">
        <v>0.57157676649772959</v>
      </c>
    </row>
    <row r="4610" spans="44:45" x14ac:dyDescent="0.25">
      <c r="AR4610" s="11">
        <v>0.53000000000000025</v>
      </c>
      <c r="AS4610" s="7">
        <v>0.57157676649772959</v>
      </c>
    </row>
    <row r="4611" spans="44:45" x14ac:dyDescent="0.25">
      <c r="AR4611" s="11">
        <v>0.54000000000000026</v>
      </c>
      <c r="AS4611" s="7">
        <v>0.57157676649772959</v>
      </c>
    </row>
    <row r="4612" spans="44:45" x14ac:dyDescent="0.25">
      <c r="AR4612" s="11">
        <v>0.55000000000000027</v>
      </c>
      <c r="AS4612" s="7">
        <v>0.57157676649772959</v>
      </c>
    </row>
    <row r="4613" spans="44:45" x14ac:dyDescent="0.25">
      <c r="AR4613" s="11">
        <v>0.56000000000000028</v>
      </c>
      <c r="AS4613" s="7">
        <v>0.57157676649772959</v>
      </c>
    </row>
    <row r="4614" spans="44:45" x14ac:dyDescent="0.25">
      <c r="AR4614" s="11">
        <v>0.57000000000000028</v>
      </c>
      <c r="AS4614" s="7">
        <v>0.57157676649772959</v>
      </c>
    </row>
    <row r="4615" spans="44:45" x14ac:dyDescent="0.25">
      <c r="AR4615" s="11">
        <v>0.58000000000000029</v>
      </c>
      <c r="AS4615" s="7">
        <v>0.57157676649772959</v>
      </c>
    </row>
    <row r="4616" spans="44:45" x14ac:dyDescent="0.25">
      <c r="AR4616" s="11">
        <v>0.5900000000000003</v>
      </c>
      <c r="AS4616" s="7">
        <v>0.57157676649772959</v>
      </c>
    </row>
    <row r="4617" spans="44:45" x14ac:dyDescent="0.25">
      <c r="AR4617" s="11">
        <v>0.60000000000000031</v>
      </c>
      <c r="AS4617" s="7">
        <v>0.57157676649772959</v>
      </c>
    </row>
    <row r="4618" spans="44:45" x14ac:dyDescent="0.25">
      <c r="AR4618" s="11">
        <v>0.61000000000000032</v>
      </c>
      <c r="AS4618" s="7">
        <v>0.57157676649772959</v>
      </c>
    </row>
    <row r="4619" spans="44:45" x14ac:dyDescent="0.25">
      <c r="AR4619" s="11">
        <v>0.62000000000000033</v>
      </c>
      <c r="AS4619" s="7">
        <v>0.57157676649772959</v>
      </c>
    </row>
    <row r="4620" spans="44:45" x14ac:dyDescent="0.25">
      <c r="AR4620" s="11">
        <v>0.63000000000000034</v>
      </c>
      <c r="AS4620" s="7">
        <v>0.57157676649772959</v>
      </c>
    </row>
    <row r="4621" spans="44:45" x14ac:dyDescent="0.25">
      <c r="AR4621" s="11">
        <v>0.64000000000000035</v>
      </c>
      <c r="AS4621" s="7">
        <v>0.57157676649772959</v>
      </c>
    </row>
    <row r="4622" spans="44:45" x14ac:dyDescent="0.25">
      <c r="AR4622" s="11">
        <v>0.65000000000000036</v>
      </c>
      <c r="AS4622" s="7">
        <v>0.57157676649772959</v>
      </c>
    </row>
    <row r="4623" spans="44:45" x14ac:dyDescent="0.25">
      <c r="AR4623" s="11">
        <v>0.66000000000000036</v>
      </c>
      <c r="AS4623" s="7">
        <v>0.57157676649772959</v>
      </c>
    </row>
    <row r="4624" spans="44:45" x14ac:dyDescent="0.25">
      <c r="AR4624" s="11">
        <v>0.67000000000000037</v>
      </c>
      <c r="AS4624" s="7">
        <v>0.57157676649772959</v>
      </c>
    </row>
    <row r="4625" spans="44:45" x14ac:dyDescent="0.25">
      <c r="AR4625" s="11"/>
      <c r="AS4625" s="7"/>
    </row>
    <row r="4626" spans="44:45" x14ac:dyDescent="0.25">
      <c r="AR4626" s="11">
        <v>0.33500000000000013</v>
      </c>
      <c r="AS4626" s="7">
        <v>0.58023702053557391</v>
      </c>
    </row>
    <row r="4627" spans="44:45" x14ac:dyDescent="0.25">
      <c r="AR4627" s="11">
        <v>0.34500000000000014</v>
      </c>
      <c r="AS4627" s="7">
        <v>0.58023702053557391</v>
      </c>
    </row>
    <row r="4628" spans="44:45" x14ac:dyDescent="0.25">
      <c r="AR4628" s="11">
        <v>0.35500000000000015</v>
      </c>
      <c r="AS4628" s="7">
        <v>0.58023702053557391</v>
      </c>
    </row>
    <row r="4629" spans="44:45" x14ac:dyDescent="0.25">
      <c r="AR4629" s="11">
        <v>0.36500000000000016</v>
      </c>
      <c r="AS4629" s="7">
        <v>0.58023702053557391</v>
      </c>
    </row>
    <row r="4630" spans="44:45" x14ac:dyDescent="0.25">
      <c r="AR4630" s="11">
        <v>0.37500000000000017</v>
      </c>
      <c r="AS4630" s="7">
        <v>0.58023702053557391</v>
      </c>
    </row>
    <row r="4631" spans="44:45" x14ac:dyDescent="0.25">
      <c r="AR4631" s="11">
        <v>0.38500000000000018</v>
      </c>
      <c r="AS4631" s="7">
        <v>0.58023702053557391</v>
      </c>
    </row>
    <row r="4632" spans="44:45" x14ac:dyDescent="0.25">
      <c r="AR4632" s="11">
        <v>0.39500000000000018</v>
      </c>
      <c r="AS4632" s="7">
        <v>0.58023702053557391</v>
      </c>
    </row>
    <row r="4633" spans="44:45" x14ac:dyDescent="0.25">
      <c r="AR4633" s="11">
        <v>0.40500000000000019</v>
      </c>
      <c r="AS4633" s="7">
        <v>0.58023702053557391</v>
      </c>
    </row>
    <row r="4634" spans="44:45" x14ac:dyDescent="0.25">
      <c r="AR4634" s="11">
        <v>0.4150000000000002</v>
      </c>
      <c r="AS4634" s="7">
        <v>0.58023702053557391</v>
      </c>
    </row>
    <row r="4635" spans="44:45" x14ac:dyDescent="0.25">
      <c r="AR4635" s="11">
        <v>0.42500000000000021</v>
      </c>
      <c r="AS4635" s="7">
        <v>0.58023702053557391</v>
      </c>
    </row>
    <row r="4636" spans="44:45" x14ac:dyDescent="0.25">
      <c r="AR4636" s="11">
        <v>0.43500000000000022</v>
      </c>
      <c r="AS4636" s="7">
        <v>0.58023702053557391</v>
      </c>
    </row>
    <row r="4637" spans="44:45" x14ac:dyDescent="0.25">
      <c r="AR4637" s="11">
        <v>0.44500000000000023</v>
      </c>
      <c r="AS4637" s="7">
        <v>0.58023702053557391</v>
      </c>
    </row>
    <row r="4638" spans="44:45" x14ac:dyDescent="0.25">
      <c r="AR4638" s="11">
        <v>0.45500000000000024</v>
      </c>
      <c r="AS4638" s="7">
        <v>0.58023702053557391</v>
      </c>
    </row>
    <row r="4639" spans="44:45" x14ac:dyDescent="0.25">
      <c r="AR4639" s="11">
        <v>0.46500000000000025</v>
      </c>
      <c r="AS4639" s="7">
        <v>0.58023702053557391</v>
      </c>
    </row>
    <row r="4640" spans="44:45" x14ac:dyDescent="0.25">
      <c r="AR4640" s="11">
        <v>0.47500000000000026</v>
      </c>
      <c r="AS4640" s="7">
        <v>0.58023702053557391</v>
      </c>
    </row>
    <row r="4641" spans="44:45" x14ac:dyDescent="0.25">
      <c r="AR4641" s="11">
        <v>0.48500000000000026</v>
      </c>
      <c r="AS4641" s="7">
        <v>0.58023702053557391</v>
      </c>
    </row>
    <row r="4642" spans="44:45" x14ac:dyDescent="0.25">
      <c r="AR4642" s="11">
        <v>0.49500000000000027</v>
      </c>
      <c r="AS4642" s="7">
        <v>0.58023702053557391</v>
      </c>
    </row>
    <row r="4643" spans="44:45" x14ac:dyDescent="0.25">
      <c r="AR4643" s="11">
        <v>0.50500000000000023</v>
      </c>
      <c r="AS4643" s="7">
        <v>0.58023702053557391</v>
      </c>
    </row>
    <row r="4644" spans="44:45" x14ac:dyDescent="0.25">
      <c r="AR4644" s="11">
        <v>0.51500000000000024</v>
      </c>
      <c r="AS4644" s="7">
        <v>0.58023702053557391</v>
      </c>
    </row>
    <row r="4645" spans="44:45" x14ac:dyDescent="0.25">
      <c r="AR4645" s="11">
        <v>0.52500000000000024</v>
      </c>
      <c r="AS4645" s="7">
        <v>0.58023702053557391</v>
      </c>
    </row>
    <row r="4646" spans="44:45" x14ac:dyDescent="0.25">
      <c r="AR4646" s="11">
        <v>0.53500000000000025</v>
      </c>
      <c r="AS4646" s="7">
        <v>0.58023702053557391</v>
      </c>
    </row>
    <row r="4647" spans="44:45" x14ac:dyDescent="0.25">
      <c r="AR4647" s="11">
        <v>0.54500000000000026</v>
      </c>
      <c r="AS4647" s="7">
        <v>0.58023702053557391</v>
      </c>
    </row>
    <row r="4648" spans="44:45" x14ac:dyDescent="0.25">
      <c r="AR4648" s="11">
        <v>0.55500000000000027</v>
      </c>
      <c r="AS4648" s="7">
        <v>0.58023702053557391</v>
      </c>
    </row>
    <row r="4649" spans="44:45" x14ac:dyDescent="0.25">
      <c r="AR4649" s="11">
        <v>0.56500000000000028</v>
      </c>
      <c r="AS4649" s="7">
        <v>0.58023702053557391</v>
      </c>
    </row>
    <row r="4650" spans="44:45" x14ac:dyDescent="0.25">
      <c r="AR4650" s="11">
        <v>0.57500000000000029</v>
      </c>
      <c r="AS4650" s="7">
        <v>0.58023702053557391</v>
      </c>
    </row>
    <row r="4651" spans="44:45" x14ac:dyDescent="0.25">
      <c r="AR4651" s="11">
        <v>0.5850000000000003</v>
      </c>
      <c r="AS4651" s="7">
        <v>0.58023702053557391</v>
      </c>
    </row>
    <row r="4652" spans="44:45" x14ac:dyDescent="0.25">
      <c r="AR4652" s="11">
        <v>0.59500000000000031</v>
      </c>
      <c r="AS4652" s="7">
        <v>0.58023702053557391</v>
      </c>
    </row>
    <row r="4653" spans="44:45" x14ac:dyDescent="0.25">
      <c r="AR4653" s="11">
        <v>0.60500000000000032</v>
      </c>
      <c r="AS4653" s="7">
        <v>0.58023702053557391</v>
      </c>
    </row>
    <row r="4654" spans="44:45" x14ac:dyDescent="0.25">
      <c r="AR4654" s="11">
        <v>0.61500000000000032</v>
      </c>
      <c r="AS4654" s="7">
        <v>0.58023702053557391</v>
      </c>
    </row>
    <row r="4655" spans="44:45" x14ac:dyDescent="0.25">
      <c r="AR4655" s="11">
        <v>0.62500000000000033</v>
      </c>
      <c r="AS4655" s="7">
        <v>0.58023702053557391</v>
      </c>
    </row>
    <row r="4656" spans="44:45" x14ac:dyDescent="0.25">
      <c r="AR4656" s="11">
        <v>0.63500000000000034</v>
      </c>
      <c r="AS4656" s="7">
        <v>0.58023702053557391</v>
      </c>
    </row>
    <row r="4657" spans="44:45" x14ac:dyDescent="0.25">
      <c r="AR4657" s="11">
        <v>0.64500000000000035</v>
      </c>
      <c r="AS4657" s="7">
        <v>0.58023702053557391</v>
      </c>
    </row>
    <row r="4658" spans="44:45" x14ac:dyDescent="0.25">
      <c r="AR4658" s="11">
        <v>0.65500000000000036</v>
      </c>
      <c r="AS4658" s="7">
        <v>0.58023702053557391</v>
      </c>
    </row>
    <row r="4659" spans="44:45" x14ac:dyDescent="0.25">
      <c r="AR4659" s="11">
        <v>0.66500000000000037</v>
      </c>
      <c r="AS4659" s="7">
        <v>0.58023702053557391</v>
      </c>
    </row>
    <row r="4660" spans="44:45" x14ac:dyDescent="0.25">
      <c r="AR4660" s="11"/>
      <c r="AS4660" s="7"/>
    </row>
    <row r="4661" spans="44:45" x14ac:dyDescent="0.25">
      <c r="AR4661" s="11">
        <v>0.34000000000000014</v>
      </c>
      <c r="AS4661" s="7">
        <v>0.58889727457341834</v>
      </c>
    </row>
    <row r="4662" spans="44:45" x14ac:dyDescent="0.25">
      <c r="AR4662" s="11">
        <v>0.35000000000000014</v>
      </c>
      <c r="AS4662" s="7">
        <v>0.58889727457341834</v>
      </c>
    </row>
    <row r="4663" spans="44:45" x14ac:dyDescent="0.25">
      <c r="AR4663" s="11">
        <v>0.36000000000000015</v>
      </c>
      <c r="AS4663" s="7">
        <v>0.58889727457341834</v>
      </c>
    </row>
    <row r="4664" spans="44:45" x14ac:dyDescent="0.25">
      <c r="AR4664" s="11">
        <v>0.37000000000000016</v>
      </c>
      <c r="AS4664" s="7">
        <v>0.58889727457341834</v>
      </c>
    </row>
    <row r="4665" spans="44:45" x14ac:dyDescent="0.25">
      <c r="AR4665" s="11">
        <v>0.38000000000000017</v>
      </c>
      <c r="AS4665" s="7">
        <v>0.58889727457341834</v>
      </c>
    </row>
    <row r="4666" spans="44:45" x14ac:dyDescent="0.25">
      <c r="AR4666" s="11">
        <v>0.39000000000000018</v>
      </c>
      <c r="AS4666" s="7">
        <v>0.58889727457341834</v>
      </c>
    </row>
    <row r="4667" spans="44:45" x14ac:dyDescent="0.25">
      <c r="AR4667" s="11">
        <v>0.40000000000000019</v>
      </c>
      <c r="AS4667" s="7">
        <v>0.58889727457341834</v>
      </c>
    </row>
    <row r="4668" spans="44:45" x14ac:dyDescent="0.25">
      <c r="AR4668" s="11">
        <v>0.4100000000000002</v>
      </c>
      <c r="AS4668" s="7">
        <v>0.58889727457341834</v>
      </c>
    </row>
    <row r="4669" spans="44:45" x14ac:dyDescent="0.25">
      <c r="AR4669" s="11">
        <v>0.42000000000000021</v>
      </c>
      <c r="AS4669" s="7">
        <v>0.58889727457341834</v>
      </c>
    </row>
    <row r="4670" spans="44:45" x14ac:dyDescent="0.25">
      <c r="AR4670" s="11">
        <v>0.43000000000000022</v>
      </c>
      <c r="AS4670" s="7">
        <v>0.58889727457341834</v>
      </c>
    </row>
    <row r="4671" spans="44:45" x14ac:dyDescent="0.25">
      <c r="AR4671" s="11">
        <v>0.44000000000000022</v>
      </c>
      <c r="AS4671" s="7">
        <v>0.58889727457341834</v>
      </c>
    </row>
    <row r="4672" spans="44:45" x14ac:dyDescent="0.25">
      <c r="AR4672" s="11">
        <v>0.45000000000000023</v>
      </c>
      <c r="AS4672" s="7">
        <v>0.58889727457341834</v>
      </c>
    </row>
    <row r="4673" spans="44:45" x14ac:dyDescent="0.25">
      <c r="AR4673" s="11">
        <v>0.46000000000000024</v>
      </c>
      <c r="AS4673" s="7">
        <v>0.58889727457341834</v>
      </c>
    </row>
    <row r="4674" spans="44:45" x14ac:dyDescent="0.25">
      <c r="AR4674" s="11">
        <v>0.47000000000000025</v>
      </c>
      <c r="AS4674" s="7">
        <v>0.58889727457341834</v>
      </c>
    </row>
    <row r="4675" spans="44:45" x14ac:dyDescent="0.25">
      <c r="AR4675" s="11">
        <v>0.48000000000000026</v>
      </c>
      <c r="AS4675" s="7">
        <v>0.58889727457341834</v>
      </c>
    </row>
    <row r="4676" spans="44:45" x14ac:dyDescent="0.25">
      <c r="AR4676" s="11">
        <v>0.49000000000000027</v>
      </c>
      <c r="AS4676" s="7">
        <v>0.58889727457341834</v>
      </c>
    </row>
    <row r="4677" spans="44:45" x14ac:dyDescent="0.25">
      <c r="AR4677" s="11">
        <v>0.50000000000000022</v>
      </c>
      <c r="AS4677" s="7">
        <v>0.58889727457341834</v>
      </c>
    </row>
    <row r="4678" spans="44:45" x14ac:dyDescent="0.25">
      <c r="AR4678" s="11">
        <v>0.51000000000000023</v>
      </c>
      <c r="AS4678" s="7">
        <v>0.58889727457341834</v>
      </c>
    </row>
    <row r="4679" spans="44:45" x14ac:dyDescent="0.25">
      <c r="AR4679" s="11">
        <v>0.52000000000000024</v>
      </c>
      <c r="AS4679" s="7">
        <v>0.58889727457341834</v>
      </c>
    </row>
    <row r="4680" spans="44:45" x14ac:dyDescent="0.25">
      <c r="AR4680" s="11">
        <v>0.53000000000000025</v>
      </c>
      <c r="AS4680" s="7">
        <v>0.58889727457341834</v>
      </c>
    </row>
    <row r="4681" spans="44:45" x14ac:dyDescent="0.25">
      <c r="AR4681" s="11">
        <v>0.54000000000000026</v>
      </c>
      <c r="AS4681" s="7">
        <v>0.58889727457341834</v>
      </c>
    </row>
    <row r="4682" spans="44:45" x14ac:dyDescent="0.25">
      <c r="AR4682" s="11">
        <v>0.55000000000000027</v>
      </c>
      <c r="AS4682" s="7">
        <v>0.58889727457341834</v>
      </c>
    </row>
    <row r="4683" spans="44:45" x14ac:dyDescent="0.25">
      <c r="AR4683" s="11">
        <v>0.56000000000000028</v>
      </c>
      <c r="AS4683" s="7">
        <v>0.58889727457341834</v>
      </c>
    </row>
    <row r="4684" spans="44:45" x14ac:dyDescent="0.25">
      <c r="AR4684" s="11">
        <v>0.57000000000000028</v>
      </c>
      <c r="AS4684" s="7">
        <v>0.58889727457341834</v>
      </c>
    </row>
    <row r="4685" spans="44:45" x14ac:dyDescent="0.25">
      <c r="AR4685" s="11">
        <v>0.58000000000000029</v>
      </c>
      <c r="AS4685" s="7">
        <v>0.58889727457341834</v>
      </c>
    </row>
    <row r="4686" spans="44:45" x14ac:dyDescent="0.25">
      <c r="AR4686" s="11">
        <v>0.5900000000000003</v>
      </c>
      <c r="AS4686" s="7">
        <v>0.58889727457341834</v>
      </c>
    </row>
    <row r="4687" spans="44:45" x14ac:dyDescent="0.25">
      <c r="AR4687" s="11">
        <v>0.60000000000000031</v>
      </c>
      <c r="AS4687" s="7">
        <v>0.58889727457341834</v>
      </c>
    </row>
    <row r="4688" spans="44:45" x14ac:dyDescent="0.25">
      <c r="AR4688" s="11">
        <v>0.61000000000000032</v>
      </c>
      <c r="AS4688" s="7">
        <v>0.58889727457341834</v>
      </c>
    </row>
    <row r="4689" spans="44:45" x14ac:dyDescent="0.25">
      <c r="AR4689" s="11">
        <v>0.62000000000000033</v>
      </c>
      <c r="AS4689" s="7">
        <v>0.58889727457341834</v>
      </c>
    </row>
    <row r="4690" spans="44:45" x14ac:dyDescent="0.25">
      <c r="AR4690" s="11">
        <v>0.63000000000000034</v>
      </c>
      <c r="AS4690" s="7">
        <v>0.58889727457341834</v>
      </c>
    </row>
    <row r="4691" spans="44:45" x14ac:dyDescent="0.25">
      <c r="AR4691" s="11">
        <v>0.64000000000000035</v>
      </c>
      <c r="AS4691" s="7">
        <v>0.58889727457341834</v>
      </c>
    </row>
    <row r="4692" spans="44:45" x14ac:dyDescent="0.25">
      <c r="AR4692" s="11">
        <v>0.65000000000000036</v>
      </c>
      <c r="AS4692" s="7">
        <v>0.58889727457341834</v>
      </c>
    </row>
    <row r="4693" spans="44:45" x14ac:dyDescent="0.25">
      <c r="AR4693" s="11">
        <v>0.66000000000000036</v>
      </c>
      <c r="AS4693" s="7">
        <v>0.58889727457341834</v>
      </c>
    </row>
    <row r="4694" spans="44:45" x14ac:dyDescent="0.25">
      <c r="AR4694" s="11"/>
      <c r="AS4694" s="7"/>
    </row>
    <row r="4695" spans="44:45" x14ac:dyDescent="0.25">
      <c r="AR4695" s="11">
        <v>0.34500000000000014</v>
      </c>
      <c r="AS4695" s="7">
        <v>0.59755752861126255</v>
      </c>
    </row>
    <row r="4696" spans="44:45" x14ac:dyDescent="0.25">
      <c r="AR4696" s="11">
        <v>0.35500000000000015</v>
      </c>
      <c r="AS4696" s="7">
        <v>0.59755752861126255</v>
      </c>
    </row>
    <row r="4697" spans="44:45" x14ac:dyDescent="0.25">
      <c r="AR4697" s="11">
        <v>0.36500000000000016</v>
      </c>
      <c r="AS4697" s="7">
        <v>0.59755752861126255</v>
      </c>
    </row>
    <row r="4698" spans="44:45" x14ac:dyDescent="0.25">
      <c r="AR4698" s="11">
        <v>0.37500000000000017</v>
      </c>
      <c r="AS4698" s="7">
        <v>0.59755752861126255</v>
      </c>
    </row>
    <row r="4699" spans="44:45" x14ac:dyDescent="0.25">
      <c r="AR4699" s="11">
        <v>0.38500000000000018</v>
      </c>
      <c r="AS4699" s="7">
        <v>0.59755752861126255</v>
      </c>
    </row>
    <row r="4700" spans="44:45" x14ac:dyDescent="0.25">
      <c r="AR4700" s="11">
        <v>0.39500000000000018</v>
      </c>
      <c r="AS4700" s="7">
        <v>0.59755752861126255</v>
      </c>
    </row>
    <row r="4701" spans="44:45" x14ac:dyDescent="0.25">
      <c r="AR4701" s="11">
        <v>0.40500000000000019</v>
      </c>
      <c r="AS4701" s="7">
        <v>0.59755752861126255</v>
      </c>
    </row>
    <row r="4702" spans="44:45" x14ac:dyDescent="0.25">
      <c r="AR4702" s="11">
        <v>0.4150000000000002</v>
      </c>
      <c r="AS4702" s="7">
        <v>0.59755752861126255</v>
      </c>
    </row>
    <row r="4703" spans="44:45" x14ac:dyDescent="0.25">
      <c r="AR4703" s="11">
        <v>0.42500000000000021</v>
      </c>
      <c r="AS4703" s="7">
        <v>0.59755752861126255</v>
      </c>
    </row>
    <row r="4704" spans="44:45" x14ac:dyDescent="0.25">
      <c r="AR4704" s="11">
        <v>0.43500000000000022</v>
      </c>
      <c r="AS4704" s="7">
        <v>0.59755752861126255</v>
      </c>
    </row>
    <row r="4705" spans="44:45" x14ac:dyDescent="0.25">
      <c r="AR4705" s="11">
        <v>0.44500000000000023</v>
      </c>
      <c r="AS4705" s="7">
        <v>0.59755752861126255</v>
      </c>
    </row>
    <row r="4706" spans="44:45" x14ac:dyDescent="0.25">
      <c r="AR4706" s="11">
        <v>0.45500000000000024</v>
      </c>
      <c r="AS4706" s="7">
        <v>0.59755752861126255</v>
      </c>
    </row>
    <row r="4707" spans="44:45" x14ac:dyDescent="0.25">
      <c r="AR4707" s="11">
        <v>0.46500000000000025</v>
      </c>
      <c r="AS4707" s="7">
        <v>0.59755752861126255</v>
      </c>
    </row>
    <row r="4708" spans="44:45" x14ac:dyDescent="0.25">
      <c r="AR4708" s="11">
        <v>0.47500000000000026</v>
      </c>
      <c r="AS4708" s="7">
        <v>0.59755752861126255</v>
      </c>
    </row>
    <row r="4709" spans="44:45" x14ac:dyDescent="0.25">
      <c r="AR4709" s="11">
        <v>0.48500000000000026</v>
      </c>
      <c r="AS4709" s="7">
        <v>0.59755752861126255</v>
      </c>
    </row>
    <row r="4710" spans="44:45" x14ac:dyDescent="0.25">
      <c r="AR4710" s="11">
        <v>0.49500000000000027</v>
      </c>
      <c r="AS4710" s="7">
        <v>0.59755752861126255</v>
      </c>
    </row>
    <row r="4711" spans="44:45" x14ac:dyDescent="0.25">
      <c r="AR4711" s="11">
        <v>0.50500000000000023</v>
      </c>
      <c r="AS4711" s="7">
        <v>0.59755752861126255</v>
      </c>
    </row>
    <row r="4712" spans="44:45" x14ac:dyDescent="0.25">
      <c r="AR4712" s="11">
        <v>0.51500000000000024</v>
      </c>
      <c r="AS4712" s="7">
        <v>0.59755752861126255</v>
      </c>
    </row>
    <row r="4713" spans="44:45" x14ac:dyDescent="0.25">
      <c r="AR4713" s="11">
        <v>0.52500000000000024</v>
      </c>
      <c r="AS4713" s="7">
        <v>0.59755752861126255</v>
      </c>
    </row>
    <row r="4714" spans="44:45" x14ac:dyDescent="0.25">
      <c r="AR4714" s="11">
        <v>0.53500000000000025</v>
      </c>
      <c r="AS4714" s="7">
        <v>0.59755752861126255</v>
      </c>
    </row>
    <row r="4715" spans="44:45" x14ac:dyDescent="0.25">
      <c r="AR4715" s="11">
        <v>0.54500000000000026</v>
      </c>
      <c r="AS4715" s="7">
        <v>0.59755752861126255</v>
      </c>
    </row>
    <row r="4716" spans="44:45" x14ac:dyDescent="0.25">
      <c r="AR4716" s="11">
        <v>0.55500000000000027</v>
      </c>
      <c r="AS4716" s="7">
        <v>0.59755752861126255</v>
      </c>
    </row>
    <row r="4717" spans="44:45" x14ac:dyDescent="0.25">
      <c r="AR4717" s="11">
        <v>0.56500000000000028</v>
      </c>
      <c r="AS4717" s="7">
        <v>0.59755752861126255</v>
      </c>
    </row>
    <row r="4718" spans="44:45" x14ac:dyDescent="0.25">
      <c r="AR4718" s="11">
        <v>0.57500000000000029</v>
      </c>
      <c r="AS4718" s="7">
        <v>0.59755752861126255</v>
      </c>
    </row>
    <row r="4719" spans="44:45" x14ac:dyDescent="0.25">
      <c r="AR4719" s="11">
        <v>0.5850000000000003</v>
      </c>
      <c r="AS4719" s="7">
        <v>0.59755752861126255</v>
      </c>
    </row>
    <row r="4720" spans="44:45" x14ac:dyDescent="0.25">
      <c r="AR4720" s="11">
        <v>0.59500000000000031</v>
      </c>
      <c r="AS4720" s="7">
        <v>0.59755752861126255</v>
      </c>
    </row>
    <row r="4721" spans="44:45" x14ac:dyDescent="0.25">
      <c r="AR4721" s="11">
        <v>0.60500000000000032</v>
      </c>
      <c r="AS4721" s="7">
        <v>0.59755752861126255</v>
      </c>
    </row>
    <row r="4722" spans="44:45" x14ac:dyDescent="0.25">
      <c r="AR4722" s="11">
        <v>0.61500000000000032</v>
      </c>
      <c r="AS4722" s="7">
        <v>0.59755752861126255</v>
      </c>
    </row>
    <row r="4723" spans="44:45" x14ac:dyDescent="0.25">
      <c r="AR4723" s="11">
        <v>0.62500000000000033</v>
      </c>
      <c r="AS4723" s="7">
        <v>0.59755752861126255</v>
      </c>
    </row>
    <row r="4724" spans="44:45" x14ac:dyDescent="0.25">
      <c r="AR4724" s="11">
        <v>0.63500000000000034</v>
      </c>
      <c r="AS4724" s="7">
        <v>0.59755752861126255</v>
      </c>
    </row>
    <row r="4725" spans="44:45" x14ac:dyDescent="0.25">
      <c r="AR4725" s="11">
        <v>0.64500000000000035</v>
      </c>
      <c r="AS4725" s="7">
        <v>0.59755752861126255</v>
      </c>
    </row>
    <row r="4726" spans="44:45" x14ac:dyDescent="0.25">
      <c r="AR4726" s="11">
        <v>0.65500000000000036</v>
      </c>
      <c r="AS4726" s="7">
        <v>0.59755752861126255</v>
      </c>
    </row>
    <row r="4727" spans="44:45" x14ac:dyDescent="0.25">
      <c r="AR4727" s="11"/>
      <c r="AS4727" s="7"/>
    </row>
    <row r="4728" spans="44:45" x14ac:dyDescent="0.25">
      <c r="AR4728" s="11">
        <v>0.35000000000000014</v>
      </c>
      <c r="AS4728" s="7">
        <v>0.60621778264910697</v>
      </c>
    </row>
    <row r="4729" spans="44:45" x14ac:dyDescent="0.25">
      <c r="AR4729" s="11">
        <v>0.36000000000000015</v>
      </c>
      <c r="AS4729" s="7">
        <v>0.60621778264910697</v>
      </c>
    </row>
    <row r="4730" spans="44:45" x14ac:dyDescent="0.25">
      <c r="AR4730" s="11">
        <v>0.37000000000000016</v>
      </c>
      <c r="AS4730" s="7">
        <v>0.60621778264910697</v>
      </c>
    </row>
    <row r="4731" spans="44:45" x14ac:dyDescent="0.25">
      <c r="AR4731" s="11">
        <v>0.38000000000000017</v>
      </c>
      <c r="AS4731" s="7">
        <v>0.60621778264910697</v>
      </c>
    </row>
    <row r="4732" spans="44:45" x14ac:dyDescent="0.25">
      <c r="AR4732" s="11">
        <v>0.39000000000000018</v>
      </c>
      <c r="AS4732" s="7">
        <v>0.60621778264910697</v>
      </c>
    </row>
    <row r="4733" spans="44:45" x14ac:dyDescent="0.25">
      <c r="AR4733" s="11">
        <v>0.40000000000000019</v>
      </c>
      <c r="AS4733" s="7">
        <v>0.60621778264910697</v>
      </c>
    </row>
    <row r="4734" spans="44:45" x14ac:dyDescent="0.25">
      <c r="AR4734" s="11">
        <v>0.4100000000000002</v>
      </c>
      <c r="AS4734" s="7">
        <v>0.60621778264910697</v>
      </c>
    </row>
    <row r="4735" spans="44:45" x14ac:dyDescent="0.25">
      <c r="AR4735" s="11">
        <v>0.42000000000000021</v>
      </c>
      <c r="AS4735" s="7">
        <v>0.60621778264910697</v>
      </c>
    </row>
    <row r="4736" spans="44:45" x14ac:dyDescent="0.25">
      <c r="AR4736" s="11">
        <v>0.43000000000000022</v>
      </c>
      <c r="AS4736" s="7">
        <v>0.60621778264910697</v>
      </c>
    </row>
    <row r="4737" spans="44:45" x14ac:dyDescent="0.25">
      <c r="AR4737" s="11">
        <v>0.44000000000000022</v>
      </c>
      <c r="AS4737" s="7">
        <v>0.60621778264910697</v>
      </c>
    </row>
    <row r="4738" spans="44:45" x14ac:dyDescent="0.25">
      <c r="AR4738" s="11">
        <v>0.45000000000000023</v>
      </c>
      <c r="AS4738" s="7">
        <v>0.60621778264910697</v>
      </c>
    </row>
    <row r="4739" spans="44:45" x14ac:dyDescent="0.25">
      <c r="AR4739" s="11">
        <v>0.46000000000000024</v>
      </c>
      <c r="AS4739" s="7">
        <v>0.60621778264910697</v>
      </c>
    </row>
    <row r="4740" spans="44:45" x14ac:dyDescent="0.25">
      <c r="AR4740" s="11">
        <v>0.47000000000000025</v>
      </c>
      <c r="AS4740" s="7">
        <v>0.60621778264910697</v>
      </c>
    </row>
    <row r="4741" spans="44:45" x14ac:dyDescent="0.25">
      <c r="AR4741" s="11">
        <v>0.48000000000000026</v>
      </c>
      <c r="AS4741" s="7">
        <v>0.60621778264910697</v>
      </c>
    </row>
    <row r="4742" spans="44:45" x14ac:dyDescent="0.25">
      <c r="AR4742" s="11">
        <v>0.49000000000000027</v>
      </c>
      <c r="AS4742" s="7">
        <v>0.60621778264910697</v>
      </c>
    </row>
    <row r="4743" spans="44:45" x14ac:dyDescent="0.25">
      <c r="AR4743" s="11">
        <v>0.50000000000000022</v>
      </c>
      <c r="AS4743" s="7">
        <v>0.60621778264910697</v>
      </c>
    </row>
    <row r="4744" spans="44:45" x14ac:dyDescent="0.25">
      <c r="AR4744" s="11">
        <v>0.51000000000000023</v>
      </c>
      <c r="AS4744" s="7">
        <v>0.60621778264910697</v>
      </c>
    </row>
    <row r="4745" spans="44:45" x14ac:dyDescent="0.25">
      <c r="AR4745" s="11">
        <v>0.52000000000000024</v>
      </c>
      <c r="AS4745" s="7">
        <v>0.60621778264910697</v>
      </c>
    </row>
    <row r="4746" spans="44:45" x14ac:dyDescent="0.25">
      <c r="AR4746" s="11">
        <v>0.53000000000000025</v>
      </c>
      <c r="AS4746" s="7">
        <v>0.60621778264910697</v>
      </c>
    </row>
    <row r="4747" spans="44:45" x14ac:dyDescent="0.25">
      <c r="AR4747" s="11">
        <v>0.54000000000000026</v>
      </c>
      <c r="AS4747" s="7">
        <v>0.60621778264910697</v>
      </c>
    </row>
    <row r="4748" spans="44:45" x14ac:dyDescent="0.25">
      <c r="AR4748" s="11">
        <v>0.55000000000000027</v>
      </c>
      <c r="AS4748" s="7">
        <v>0.60621778264910697</v>
      </c>
    </row>
    <row r="4749" spans="44:45" x14ac:dyDescent="0.25">
      <c r="AR4749" s="11">
        <v>0.56000000000000028</v>
      </c>
      <c r="AS4749" s="7">
        <v>0.60621778264910697</v>
      </c>
    </row>
    <row r="4750" spans="44:45" x14ac:dyDescent="0.25">
      <c r="AR4750" s="11">
        <v>0.57000000000000028</v>
      </c>
      <c r="AS4750" s="7">
        <v>0.60621778264910697</v>
      </c>
    </row>
    <row r="4751" spans="44:45" x14ac:dyDescent="0.25">
      <c r="AR4751" s="11">
        <v>0.58000000000000029</v>
      </c>
      <c r="AS4751" s="7">
        <v>0.60621778264910697</v>
      </c>
    </row>
    <row r="4752" spans="44:45" x14ac:dyDescent="0.25">
      <c r="AR4752" s="11">
        <v>0.5900000000000003</v>
      </c>
      <c r="AS4752" s="7">
        <v>0.60621778264910697</v>
      </c>
    </row>
    <row r="4753" spans="44:45" x14ac:dyDescent="0.25">
      <c r="AR4753" s="11">
        <v>0.60000000000000031</v>
      </c>
      <c r="AS4753" s="7">
        <v>0.60621778264910697</v>
      </c>
    </row>
    <row r="4754" spans="44:45" x14ac:dyDescent="0.25">
      <c r="AR4754" s="11">
        <v>0.61000000000000032</v>
      </c>
      <c r="AS4754" s="7">
        <v>0.60621778264910697</v>
      </c>
    </row>
    <row r="4755" spans="44:45" x14ac:dyDescent="0.25">
      <c r="AR4755" s="11">
        <v>0.62000000000000033</v>
      </c>
      <c r="AS4755" s="7">
        <v>0.60621778264910697</v>
      </c>
    </row>
    <row r="4756" spans="44:45" x14ac:dyDescent="0.25">
      <c r="AR4756" s="11">
        <v>0.63000000000000034</v>
      </c>
      <c r="AS4756" s="7">
        <v>0.60621778264910697</v>
      </c>
    </row>
    <row r="4757" spans="44:45" x14ac:dyDescent="0.25">
      <c r="AR4757" s="11">
        <v>0.64000000000000035</v>
      </c>
      <c r="AS4757" s="7">
        <v>0.60621778264910697</v>
      </c>
    </row>
    <row r="4758" spans="44:45" x14ac:dyDescent="0.25">
      <c r="AR4758" s="11">
        <v>0.65000000000000036</v>
      </c>
      <c r="AS4758" s="7">
        <v>0.60621778264910697</v>
      </c>
    </row>
    <row r="4759" spans="44:45" x14ac:dyDescent="0.25">
      <c r="AR4759" s="11"/>
      <c r="AS4759" s="7"/>
    </row>
    <row r="4760" spans="44:45" x14ac:dyDescent="0.25">
      <c r="AR4760" s="11">
        <v>0.35500000000000015</v>
      </c>
      <c r="AS4760" s="7">
        <v>0.6148780366869514</v>
      </c>
    </row>
    <row r="4761" spans="44:45" x14ac:dyDescent="0.25">
      <c r="AR4761" s="11">
        <v>0.36500000000000016</v>
      </c>
      <c r="AS4761" s="7">
        <v>0.6148780366869514</v>
      </c>
    </row>
    <row r="4762" spans="44:45" x14ac:dyDescent="0.25">
      <c r="AR4762" s="11">
        <v>0.37500000000000017</v>
      </c>
      <c r="AS4762" s="7">
        <v>0.6148780366869514</v>
      </c>
    </row>
    <row r="4763" spans="44:45" x14ac:dyDescent="0.25">
      <c r="AR4763" s="11">
        <v>0.38500000000000018</v>
      </c>
      <c r="AS4763" s="7">
        <v>0.6148780366869514</v>
      </c>
    </row>
    <row r="4764" spans="44:45" x14ac:dyDescent="0.25">
      <c r="AR4764" s="11">
        <v>0.39500000000000018</v>
      </c>
      <c r="AS4764" s="7">
        <v>0.6148780366869514</v>
      </c>
    </row>
    <row r="4765" spans="44:45" x14ac:dyDescent="0.25">
      <c r="AR4765" s="11">
        <v>0.40500000000000019</v>
      </c>
      <c r="AS4765" s="7">
        <v>0.6148780366869514</v>
      </c>
    </row>
    <row r="4766" spans="44:45" x14ac:dyDescent="0.25">
      <c r="AR4766" s="11">
        <v>0.4150000000000002</v>
      </c>
      <c r="AS4766" s="7">
        <v>0.6148780366869514</v>
      </c>
    </row>
    <row r="4767" spans="44:45" x14ac:dyDescent="0.25">
      <c r="AR4767" s="11">
        <v>0.42500000000000021</v>
      </c>
      <c r="AS4767" s="7">
        <v>0.6148780366869514</v>
      </c>
    </row>
    <row r="4768" spans="44:45" x14ac:dyDescent="0.25">
      <c r="AR4768" s="11">
        <v>0.43500000000000022</v>
      </c>
      <c r="AS4768" s="7">
        <v>0.6148780366869514</v>
      </c>
    </row>
    <row r="4769" spans="44:45" x14ac:dyDescent="0.25">
      <c r="AR4769" s="11">
        <v>0.44500000000000023</v>
      </c>
      <c r="AS4769" s="7">
        <v>0.6148780366869514</v>
      </c>
    </row>
    <row r="4770" spans="44:45" x14ac:dyDescent="0.25">
      <c r="AR4770" s="11">
        <v>0.45500000000000024</v>
      </c>
      <c r="AS4770" s="7">
        <v>0.6148780366869514</v>
      </c>
    </row>
    <row r="4771" spans="44:45" x14ac:dyDescent="0.25">
      <c r="AR4771" s="11">
        <v>0.46500000000000025</v>
      </c>
      <c r="AS4771" s="7">
        <v>0.6148780366869514</v>
      </c>
    </row>
    <row r="4772" spans="44:45" x14ac:dyDescent="0.25">
      <c r="AR4772" s="11">
        <v>0.47500000000000026</v>
      </c>
      <c r="AS4772" s="7">
        <v>0.6148780366869514</v>
      </c>
    </row>
    <row r="4773" spans="44:45" x14ac:dyDescent="0.25">
      <c r="AR4773" s="11">
        <v>0.48500000000000026</v>
      </c>
      <c r="AS4773" s="7">
        <v>0.6148780366869514</v>
      </c>
    </row>
    <row r="4774" spans="44:45" x14ac:dyDescent="0.25">
      <c r="AR4774" s="11">
        <v>0.49500000000000027</v>
      </c>
      <c r="AS4774" s="7">
        <v>0.6148780366869514</v>
      </c>
    </row>
    <row r="4775" spans="44:45" x14ac:dyDescent="0.25">
      <c r="AR4775" s="11">
        <v>0.50500000000000023</v>
      </c>
      <c r="AS4775" s="7">
        <v>0.6148780366869514</v>
      </c>
    </row>
    <row r="4776" spans="44:45" x14ac:dyDescent="0.25">
      <c r="AR4776" s="11">
        <v>0.51500000000000024</v>
      </c>
      <c r="AS4776" s="7">
        <v>0.6148780366869514</v>
      </c>
    </row>
    <row r="4777" spans="44:45" x14ac:dyDescent="0.25">
      <c r="AR4777" s="11">
        <v>0.52500000000000024</v>
      </c>
      <c r="AS4777" s="7">
        <v>0.6148780366869514</v>
      </c>
    </row>
    <row r="4778" spans="44:45" x14ac:dyDescent="0.25">
      <c r="AR4778" s="11">
        <v>0.53500000000000025</v>
      </c>
      <c r="AS4778" s="7">
        <v>0.6148780366869514</v>
      </c>
    </row>
    <row r="4779" spans="44:45" x14ac:dyDescent="0.25">
      <c r="AR4779" s="11">
        <v>0.54500000000000026</v>
      </c>
      <c r="AS4779" s="7">
        <v>0.6148780366869514</v>
      </c>
    </row>
    <row r="4780" spans="44:45" x14ac:dyDescent="0.25">
      <c r="AR4780" s="11">
        <v>0.55500000000000027</v>
      </c>
      <c r="AS4780" s="7">
        <v>0.6148780366869514</v>
      </c>
    </row>
    <row r="4781" spans="44:45" x14ac:dyDescent="0.25">
      <c r="AR4781" s="11">
        <v>0.56500000000000028</v>
      </c>
      <c r="AS4781" s="7">
        <v>0.6148780366869514</v>
      </c>
    </row>
    <row r="4782" spans="44:45" x14ac:dyDescent="0.25">
      <c r="AR4782" s="11">
        <v>0.57500000000000029</v>
      </c>
      <c r="AS4782" s="7">
        <v>0.6148780366869514</v>
      </c>
    </row>
    <row r="4783" spans="44:45" x14ac:dyDescent="0.25">
      <c r="AR4783" s="11">
        <v>0.5850000000000003</v>
      </c>
      <c r="AS4783" s="7">
        <v>0.6148780366869514</v>
      </c>
    </row>
    <row r="4784" spans="44:45" x14ac:dyDescent="0.25">
      <c r="AR4784" s="11">
        <v>0.59500000000000031</v>
      </c>
      <c r="AS4784" s="7">
        <v>0.6148780366869514</v>
      </c>
    </row>
    <row r="4785" spans="44:45" x14ac:dyDescent="0.25">
      <c r="AR4785" s="11">
        <v>0.60500000000000032</v>
      </c>
      <c r="AS4785" s="7">
        <v>0.6148780366869514</v>
      </c>
    </row>
    <row r="4786" spans="44:45" x14ac:dyDescent="0.25">
      <c r="AR4786" s="11">
        <v>0.61500000000000032</v>
      </c>
      <c r="AS4786" s="7">
        <v>0.6148780366869514</v>
      </c>
    </row>
    <row r="4787" spans="44:45" x14ac:dyDescent="0.25">
      <c r="AR4787" s="11">
        <v>0.62500000000000033</v>
      </c>
      <c r="AS4787" s="7">
        <v>0.6148780366869514</v>
      </c>
    </row>
    <row r="4788" spans="44:45" x14ac:dyDescent="0.25">
      <c r="AR4788" s="11">
        <v>0.63500000000000034</v>
      </c>
      <c r="AS4788" s="7">
        <v>0.6148780366869514</v>
      </c>
    </row>
    <row r="4789" spans="44:45" x14ac:dyDescent="0.25">
      <c r="AR4789" s="11">
        <v>0.64500000000000035</v>
      </c>
      <c r="AS4789" s="7">
        <v>0.6148780366869514</v>
      </c>
    </row>
    <row r="4790" spans="44:45" x14ac:dyDescent="0.25">
      <c r="AR4790" s="11"/>
      <c r="AS4790" s="7"/>
    </row>
    <row r="4791" spans="44:45" x14ac:dyDescent="0.25">
      <c r="AR4791" s="11">
        <v>0.36000000000000015</v>
      </c>
      <c r="AS4791" s="7">
        <v>0.62353829072479583</v>
      </c>
    </row>
    <row r="4792" spans="44:45" x14ac:dyDescent="0.25">
      <c r="AR4792" s="11">
        <v>0.37000000000000016</v>
      </c>
      <c r="AS4792" s="7">
        <v>0.62353829072479583</v>
      </c>
    </row>
    <row r="4793" spans="44:45" x14ac:dyDescent="0.25">
      <c r="AR4793" s="11">
        <v>0.38000000000000017</v>
      </c>
      <c r="AS4793" s="7">
        <v>0.62353829072479583</v>
      </c>
    </row>
    <row r="4794" spans="44:45" x14ac:dyDescent="0.25">
      <c r="AR4794" s="11">
        <v>0.39000000000000018</v>
      </c>
      <c r="AS4794" s="7">
        <v>0.62353829072479583</v>
      </c>
    </row>
    <row r="4795" spans="44:45" x14ac:dyDescent="0.25">
      <c r="AR4795" s="11">
        <v>0.40000000000000019</v>
      </c>
      <c r="AS4795" s="7">
        <v>0.62353829072479583</v>
      </c>
    </row>
    <row r="4796" spans="44:45" x14ac:dyDescent="0.25">
      <c r="AR4796" s="11">
        <v>0.4100000000000002</v>
      </c>
      <c r="AS4796" s="7">
        <v>0.62353829072479583</v>
      </c>
    </row>
    <row r="4797" spans="44:45" x14ac:dyDescent="0.25">
      <c r="AR4797" s="11">
        <v>0.42000000000000021</v>
      </c>
      <c r="AS4797" s="7">
        <v>0.62353829072479583</v>
      </c>
    </row>
    <row r="4798" spans="44:45" x14ac:dyDescent="0.25">
      <c r="AR4798" s="11">
        <v>0.43000000000000022</v>
      </c>
      <c r="AS4798" s="7">
        <v>0.62353829072479583</v>
      </c>
    </row>
    <row r="4799" spans="44:45" x14ac:dyDescent="0.25">
      <c r="AR4799" s="11">
        <v>0.44000000000000022</v>
      </c>
      <c r="AS4799" s="7">
        <v>0.62353829072479583</v>
      </c>
    </row>
    <row r="4800" spans="44:45" x14ac:dyDescent="0.25">
      <c r="AR4800" s="11">
        <v>0.45000000000000023</v>
      </c>
      <c r="AS4800" s="7">
        <v>0.62353829072479583</v>
      </c>
    </row>
    <row r="4801" spans="44:45" x14ac:dyDescent="0.25">
      <c r="AR4801" s="11">
        <v>0.46000000000000024</v>
      </c>
      <c r="AS4801" s="7">
        <v>0.62353829072479583</v>
      </c>
    </row>
    <row r="4802" spans="44:45" x14ac:dyDescent="0.25">
      <c r="AR4802" s="11">
        <v>0.47000000000000025</v>
      </c>
      <c r="AS4802" s="7">
        <v>0.62353829072479583</v>
      </c>
    </row>
    <row r="4803" spans="44:45" x14ac:dyDescent="0.25">
      <c r="AR4803" s="11">
        <v>0.48000000000000026</v>
      </c>
      <c r="AS4803" s="7">
        <v>0.62353829072479583</v>
      </c>
    </row>
    <row r="4804" spans="44:45" x14ac:dyDescent="0.25">
      <c r="AR4804" s="11">
        <v>0.49000000000000027</v>
      </c>
      <c r="AS4804" s="7">
        <v>0.62353829072479583</v>
      </c>
    </row>
    <row r="4805" spans="44:45" x14ac:dyDescent="0.25">
      <c r="AR4805" s="11">
        <v>0.50000000000000022</v>
      </c>
      <c r="AS4805" s="7">
        <v>0.62353829072479583</v>
      </c>
    </row>
    <row r="4806" spans="44:45" x14ac:dyDescent="0.25">
      <c r="AR4806" s="11">
        <v>0.51000000000000023</v>
      </c>
      <c r="AS4806" s="7">
        <v>0.62353829072479583</v>
      </c>
    </row>
    <row r="4807" spans="44:45" x14ac:dyDescent="0.25">
      <c r="AR4807" s="11">
        <v>0.52000000000000024</v>
      </c>
      <c r="AS4807" s="7">
        <v>0.62353829072479583</v>
      </c>
    </row>
    <row r="4808" spans="44:45" x14ac:dyDescent="0.25">
      <c r="AR4808" s="11">
        <v>0.53000000000000025</v>
      </c>
      <c r="AS4808" s="7">
        <v>0.62353829072479583</v>
      </c>
    </row>
    <row r="4809" spans="44:45" x14ac:dyDescent="0.25">
      <c r="AR4809" s="11">
        <v>0.54000000000000026</v>
      </c>
      <c r="AS4809" s="7">
        <v>0.62353829072479583</v>
      </c>
    </row>
    <row r="4810" spans="44:45" x14ac:dyDescent="0.25">
      <c r="AR4810" s="11">
        <v>0.55000000000000027</v>
      </c>
      <c r="AS4810" s="7">
        <v>0.62353829072479583</v>
      </c>
    </row>
    <row r="4811" spans="44:45" x14ac:dyDescent="0.25">
      <c r="AR4811" s="11">
        <v>0.56000000000000028</v>
      </c>
      <c r="AS4811" s="7">
        <v>0.62353829072479583</v>
      </c>
    </row>
    <row r="4812" spans="44:45" x14ac:dyDescent="0.25">
      <c r="AR4812" s="11">
        <v>0.57000000000000028</v>
      </c>
      <c r="AS4812" s="7">
        <v>0.62353829072479583</v>
      </c>
    </row>
    <row r="4813" spans="44:45" x14ac:dyDescent="0.25">
      <c r="AR4813" s="11">
        <v>0.58000000000000029</v>
      </c>
      <c r="AS4813" s="7">
        <v>0.62353829072479583</v>
      </c>
    </row>
    <row r="4814" spans="44:45" x14ac:dyDescent="0.25">
      <c r="AR4814" s="11">
        <v>0.5900000000000003</v>
      </c>
      <c r="AS4814" s="7">
        <v>0.62353829072479583</v>
      </c>
    </row>
    <row r="4815" spans="44:45" x14ac:dyDescent="0.25">
      <c r="AR4815" s="11">
        <v>0.60000000000000031</v>
      </c>
      <c r="AS4815" s="7">
        <v>0.62353829072479583</v>
      </c>
    </row>
    <row r="4816" spans="44:45" x14ac:dyDescent="0.25">
      <c r="AR4816" s="11">
        <v>0.61000000000000032</v>
      </c>
      <c r="AS4816" s="7">
        <v>0.62353829072479583</v>
      </c>
    </row>
    <row r="4817" spans="44:45" x14ac:dyDescent="0.25">
      <c r="AR4817" s="11">
        <v>0.62000000000000033</v>
      </c>
      <c r="AS4817" s="7">
        <v>0.62353829072479583</v>
      </c>
    </row>
    <row r="4818" spans="44:45" x14ac:dyDescent="0.25">
      <c r="AR4818" s="11">
        <v>0.63000000000000034</v>
      </c>
      <c r="AS4818" s="7">
        <v>0.62353829072479583</v>
      </c>
    </row>
    <row r="4819" spans="44:45" x14ac:dyDescent="0.25">
      <c r="AR4819" s="11">
        <v>0.64000000000000035</v>
      </c>
      <c r="AS4819" s="7">
        <v>0.62353829072479583</v>
      </c>
    </row>
    <row r="4820" spans="44:45" x14ac:dyDescent="0.25">
      <c r="AR4820" s="11"/>
      <c r="AS4820" s="7"/>
    </row>
    <row r="4821" spans="44:45" x14ac:dyDescent="0.25">
      <c r="AR4821" s="11">
        <v>0.36500000000000016</v>
      </c>
      <c r="AS4821" s="7">
        <v>0.63219854476264015</v>
      </c>
    </row>
    <row r="4822" spans="44:45" x14ac:dyDescent="0.25">
      <c r="AR4822" s="11">
        <v>0.37500000000000017</v>
      </c>
      <c r="AS4822" s="7">
        <v>0.63219854476264015</v>
      </c>
    </row>
    <row r="4823" spans="44:45" x14ac:dyDescent="0.25">
      <c r="AR4823" s="11">
        <v>0.38500000000000018</v>
      </c>
      <c r="AS4823" s="7">
        <v>0.63219854476264015</v>
      </c>
    </row>
    <row r="4824" spans="44:45" x14ac:dyDescent="0.25">
      <c r="AR4824" s="11">
        <v>0.39500000000000018</v>
      </c>
      <c r="AS4824" s="7">
        <v>0.63219854476264015</v>
      </c>
    </row>
    <row r="4825" spans="44:45" x14ac:dyDescent="0.25">
      <c r="AR4825" s="11">
        <v>0.40500000000000019</v>
      </c>
      <c r="AS4825" s="7">
        <v>0.63219854476264015</v>
      </c>
    </row>
    <row r="4826" spans="44:45" x14ac:dyDescent="0.25">
      <c r="AR4826" s="11">
        <v>0.4150000000000002</v>
      </c>
      <c r="AS4826" s="7">
        <v>0.63219854476264015</v>
      </c>
    </row>
    <row r="4827" spans="44:45" x14ac:dyDescent="0.25">
      <c r="AR4827" s="11">
        <v>0.42500000000000021</v>
      </c>
      <c r="AS4827" s="7">
        <v>0.63219854476264015</v>
      </c>
    </row>
    <row r="4828" spans="44:45" x14ac:dyDescent="0.25">
      <c r="AR4828" s="11">
        <v>0.43500000000000022</v>
      </c>
      <c r="AS4828" s="7">
        <v>0.63219854476264015</v>
      </c>
    </row>
    <row r="4829" spans="44:45" x14ac:dyDescent="0.25">
      <c r="AR4829" s="11">
        <v>0.44500000000000023</v>
      </c>
      <c r="AS4829" s="7">
        <v>0.63219854476264015</v>
      </c>
    </row>
    <row r="4830" spans="44:45" x14ac:dyDescent="0.25">
      <c r="AR4830" s="11">
        <v>0.45500000000000024</v>
      </c>
      <c r="AS4830" s="7">
        <v>0.63219854476264015</v>
      </c>
    </row>
    <row r="4831" spans="44:45" x14ac:dyDescent="0.25">
      <c r="AR4831" s="11">
        <v>0.46500000000000025</v>
      </c>
      <c r="AS4831" s="7">
        <v>0.63219854476264015</v>
      </c>
    </row>
    <row r="4832" spans="44:45" x14ac:dyDescent="0.25">
      <c r="AR4832" s="11">
        <v>0.47500000000000026</v>
      </c>
      <c r="AS4832" s="7">
        <v>0.63219854476264015</v>
      </c>
    </row>
    <row r="4833" spans="44:45" x14ac:dyDescent="0.25">
      <c r="AR4833" s="11">
        <v>0.48500000000000026</v>
      </c>
      <c r="AS4833" s="7">
        <v>0.63219854476264015</v>
      </c>
    </row>
    <row r="4834" spans="44:45" x14ac:dyDescent="0.25">
      <c r="AR4834" s="11">
        <v>0.49500000000000027</v>
      </c>
      <c r="AS4834" s="7">
        <v>0.63219854476264015</v>
      </c>
    </row>
    <row r="4835" spans="44:45" x14ac:dyDescent="0.25">
      <c r="AR4835" s="11">
        <v>0.50500000000000023</v>
      </c>
      <c r="AS4835" s="7">
        <v>0.63219854476264015</v>
      </c>
    </row>
    <row r="4836" spans="44:45" x14ac:dyDescent="0.25">
      <c r="AR4836" s="11">
        <v>0.51500000000000024</v>
      </c>
      <c r="AS4836" s="7">
        <v>0.63219854476264015</v>
      </c>
    </row>
    <row r="4837" spans="44:45" x14ac:dyDescent="0.25">
      <c r="AR4837" s="11">
        <v>0.52500000000000024</v>
      </c>
      <c r="AS4837" s="7">
        <v>0.63219854476264015</v>
      </c>
    </row>
    <row r="4838" spans="44:45" x14ac:dyDescent="0.25">
      <c r="AR4838" s="11">
        <v>0.53500000000000025</v>
      </c>
      <c r="AS4838" s="7">
        <v>0.63219854476264015</v>
      </c>
    </row>
    <row r="4839" spans="44:45" x14ac:dyDescent="0.25">
      <c r="AR4839" s="11">
        <v>0.54500000000000026</v>
      </c>
      <c r="AS4839" s="7">
        <v>0.63219854476264015</v>
      </c>
    </row>
    <row r="4840" spans="44:45" x14ac:dyDescent="0.25">
      <c r="AR4840" s="11">
        <v>0.55500000000000027</v>
      </c>
      <c r="AS4840" s="7">
        <v>0.63219854476264015</v>
      </c>
    </row>
    <row r="4841" spans="44:45" x14ac:dyDescent="0.25">
      <c r="AR4841" s="11">
        <v>0.56500000000000028</v>
      </c>
      <c r="AS4841" s="7">
        <v>0.63219854476264015</v>
      </c>
    </row>
    <row r="4842" spans="44:45" x14ac:dyDescent="0.25">
      <c r="AR4842" s="11">
        <v>0.57500000000000029</v>
      </c>
      <c r="AS4842" s="7">
        <v>0.63219854476264015</v>
      </c>
    </row>
    <row r="4843" spans="44:45" x14ac:dyDescent="0.25">
      <c r="AR4843" s="11">
        <v>0.5850000000000003</v>
      </c>
      <c r="AS4843" s="7">
        <v>0.63219854476264015</v>
      </c>
    </row>
    <row r="4844" spans="44:45" x14ac:dyDescent="0.25">
      <c r="AR4844" s="11">
        <v>0.59500000000000031</v>
      </c>
      <c r="AS4844" s="7">
        <v>0.63219854476264015</v>
      </c>
    </row>
    <row r="4845" spans="44:45" x14ac:dyDescent="0.25">
      <c r="AR4845" s="11">
        <v>0.60500000000000032</v>
      </c>
      <c r="AS4845" s="7">
        <v>0.63219854476264015</v>
      </c>
    </row>
    <row r="4846" spans="44:45" x14ac:dyDescent="0.25">
      <c r="AR4846" s="11">
        <v>0.61500000000000032</v>
      </c>
      <c r="AS4846" s="7">
        <v>0.63219854476264015</v>
      </c>
    </row>
    <row r="4847" spans="44:45" x14ac:dyDescent="0.25">
      <c r="AR4847" s="11">
        <v>0.62500000000000033</v>
      </c>
      <c r="AS4847" s="7">
        <v>0.63219854476264015</v>
      </c>
    </row>
    <row r="4848" spans="44:45" x14ac:dyDescent="0.25">
      <c r="AR4848" s="11">
        <v>0.63500000000000034</v>
      </c>
      <c r="AS4848" s="7">
        <v>0.63219854476264015</v>
      </c>
    </row>
    <row r="4849" spans="44:45" x14ac:dyDescent="0.25">
      <c r="AR4849" s="11"/>
      <c r="AS4849" s="7"/>
    </row>
    <row r="4850" spans="44:45" x14ac:dyDescent="0.25">
      <c r="AR4850" s="11">
        <v>0.37000000000000016</v>
      </c>
      <c r="AS4850" s="7">
        <v>0.64085879880048457</v>
      </c>
    </row>
    <row r="4851" spans="44:45" x14ac:dyDescent="0.25">
      <c r="AR4851" s="11">
        <v>0.38000000000000017</v>
      </c>
      <c r="AS4851" s="7">
        <v>0.64085879880048457</v>
      </c>
    </row>
    <row r="4852" spans="44:45" x14ac:dyDescent="0.25">
      <c r="AR4852" s="11">
        <v>0.39000000000000018</v>
      </c>
      <c r="AS4852" s="7">
        <v>0.64085879880048457</v>
      </c>
    </row>
    <row r="4853" spans="44:45" x14ac:dyDescent="0.25">
      <c r="AR4853" s="11">
        <v>0.40000000000000019</v>
      </c>
      <c r="AS4853" s="7">
        <v>0.64085879880048457</v>
      </c>
    </row>
    <row r="4854" spans="44:45" x14ac:dyDescent="0.25">
      <c r="AR4854" s="11">
        <v>0.4100000000000002</v>
      </c>
      <c r="AS4854" s="7">
        <v>0.64085879880048457</v>
      </c>
    </row>
    <row r="4855" spans="44:45" x14ac:dyDescent="0.25">
      <c r="AR4855" s="11">
        <v>0.42000000000000021</v>
      </c>
      <c r="AS4855" s="7">
        <v>0.64085879880048457</v>
      </c>
    </row>
    <row r="4856" spans="44:45" x14ac:dyDescent="0.25">
      <c r="AR4856" s="11">
        <v>0.43000000000000022</v>
      </c>
      <c r="AS4856" s="7">
        <v>0.64085879880048457</v>
      </c>
    </row>
    <row r="4857" spans="44:45" x14ac:dyDescent="0.25">
      <c r="AR4857" s="11">
        <v>0.44000000000000022</v>
      </c>
      <c r="AS4857" s="7">
        <v>0.64085879880048457</v>
      </c>
    </row>
    <row r="4858" spans="44:45" x14ac:dyDescent="0.25">
      <c r="AR4858" s="11">
        <v>0.45000000000000023</v>
      </c>
      <c r="AS4858" s="7">
        <v>0.64085879880048457</v>
      </c>
    </row>
    <row r="4859" spans="44:45" x14ac:dyDescent="0.25">
      <c r="AR4859" s="11">
        <v>0.46000000000000024</v>
      </c>
      <c r="AS4859" s="7">
        <v>0.64085879880048457</v>
      </c>
    </row>
    <row r="4860" spans="44:45" x14ac:dyDescent="0.25">
      <c r="AR4860" s="11">
        <v>0.47000000000000025</v>
      </c>
      <c r="AS4860" s="7">
        <v>0.64085879880048457</v>
      </c>
    </row>
    <row r="4861" spans="44:45" x14ac:dyDescent="0.25">
      <c r="AR4861" s="11">
        <v>0.48000000000000026</v>
      </c>
      <c r="AS4861" s="7">
        <v>0.64085879880048457</v>
      </c>
    </row>
    <row r="4862" spans="44:45" x14ac:dyDescent="0.25">
      <c r="AR4862" s="11">
        <v>0.49000000000000027</v>
      </c>
      <c r="AS4862" s="7">
        <v>0.64085879880048457</v>
      </c>
    </row>
    <row r="4863" spans="44:45" x14ac:dyDescent="0.25">
      <c r="AR4863" s="11">
        <v>0.50000000000000022</v>
      </c>
      <c r="AS4863" s="7">
        <v>0.64085879880048457</v>
      </c>
    </row>
    <row r="4864" spans="44:45" x14ac:dyDescent="0.25">
      <c r="AR4864" s="11">
        <v>0.51000000000000023</v>
      </c>
      <c r="AS4864" s="7">
        <v>0.64085879880048457</v>
      </c>
    </row>
    <row r="4865" spans="44:45" x14ac:dyDescent="0.25">
      <c r="AR4865" s="11">
        <v>0.52000000000000024</v>
      </c>
      <c r="AS4865" s="7">
        <v>0.64085879880048457</v>
      </c>
    </row>
    <row r="4866" spans="44:45" x14ac:dyDescent="0.25">
      <c r="AR4866" s="11">
        <v>0.53000000000000025</v>
      </c>
      <c r="AS4866" s="7">
        <v>0.64085879880048457</v>
      </c>
    </row>
    <row r="4867" spans="44:45" x14ac:dyDescent="0.25">
      <c r="AR4867" s="11">
        <v>0.54000000000000026</v>
      </c>
      <c r="AS4867" s="7">
        <v>0.64085879880048457</v>
      </c>
    </row>
    <row r="4868" spans="44:45" x14ac:dyDescent="0.25">
      <c r="AR4868" s="11">
        <v>0.55000000000000027</v>
      </c>
      <c r="AS4868" s="7">
        <v>0.64085879880048457</v>
      </c>
    </row>
    <row r="4869" spans="44:45" x14ac:dyDescent="0.25">
      <c r="AR4869" s="11">
        <v>0.56000000000000028</v>
      </c>
      <c r="AS4869" s="7">
        <v>0.64085879880048457</v>
      </c>
    </row>
    <row r="4870" spans="44:45" x14ac:dyDescent="0.25">
      <c r="AR4870" s="11">
        <v>0.57000000000000028</v>
      </c>
      <c r="AS4870" s="7">
        <v>0.64085879880048457</v>
      </c>
    </row>
    <row r="4871" spans="44:45" x14ac:dyDescent="0.25">
      <c r="AR4871" s="11">
        <v>0.58000000000000029</v>
      </c>
      <c r="AS4871" s="7">
        <v>0.64085879880048457</v>
      </c>
    </row>
    <row r="4872" spans="44:45" x14ac:dyDescent="0.25">
      <c r="AR4872" s="11">
        <v>0.5900000000000003</v>
      </c>
      <c r="AS4872" s="7">
        <v>0.64085879880048457</v>
      </c>
    </row>
    <row r="4873" spans="44:45" x14ac:dyDescent="0.25">
      <c r="AR4873" s="11">
        <v>0.60000000000000031</v>
      </c>
      <c r="AS4873" s="7">
        <v>0.64085879880048457</v>
      </c>
    </row>
    <row r="4874" spans="44:45" x14ac:dyDescent="0.25">
      <c r="AR4874" s="11">
        <v>0.61000000000000032</v>
      </c>
      <c r="AS4874" s="7">
        <v>0.64085879880048457</v>
      </c>
    </row>
    <row r="4875" spans="44:45" x14ac:dyDescent="0.25">
      <c r="AR4875" s="11">
        <v>0.62000000000000033</v>
      </c>
      <c r="AS4875" s="7">
        <v>0.64085879880048457</v>
      </c>
    </row>
    <row r="4876" spans="44:45" x14ac:dyDescent="0.25">
      <c r="AR4876" s="11">
        <v>0.63000000000000034</v>
      </c>
      <c r="AS4876" s="7">
        <v>0.64085879880048457</v>
      </c>
    </row>
    <row r="4877" spans="44:45" x14ac:dyDescent="0.25">
      <c r="AR4877" s="11"/>
      <c r="AS4877" s="7"/>
    </row>
    <row r="4878" spans="44:45" x14ac:dyDescent="0.25">
      <c r="AR4878" s="11">
        <v>0.37500000000000017</v>
      </c>
      <c r="AS4878" s="7">
        <v>0.649519052838329</v>
      </c>
    </row>
    <row r="4879" spans="44:45" x14ac:dyDescent="0.25">
      <c r="AR4879" s="11">
        <v>0.38500000000000018</v>
      </c>
      <c r="AS4879" s="7">
        <v>0.649519052838329</v>
      </c>
    </row>
    <row r="4880" spans="44:45" x14ac:dyDescent="0.25">
      <c r="AR4880" s="11">
        <v>0.39500000000000018</v>
      </c>
      <c r="AS4880" s="7">
        <v>0.649519052838329</v>
      </c>
    </row>
    <row r="4881" spans="44:45" x14ac:dyDescent="0.25">
      <c r="AR4881" s="11">
        <v>0.40500000000000019</v>
      </c>
      <c r="AS4881" s="7">
        <v>0.649519052838329</v>
      </c>
    </row>
    <row r="4882" spans="44:45" x14ac:dyDescent="0.25">
      <c r="AR4882" s="11">
        <v>0.4150000000000002</v>
      </c>
      <c r="AS4882" s="7">
        <v>0.649519052838329</v>
      </c>
    </row>
    <row r="4883" spans="44:45" x14ac:dyDescent="0.25">
      <c r="AR4883" s="11">
        <v>0.42500000000000021</v>
      </c>
      <c r="AS4883" s="7">
        <v>0.649519052838329</v>
      </c>
    </row>
    <row r="4884" spans="44:45" x14ac:dyDescent="0.25">
      <c r="AR4884" s="11">
        <v>0.43500000000000022</v>
      </c>
      <c r="AS4884" s="7">
        <v>0.649519052838329</v>
      </c>
    </row>
    <row r="4885" spans="44:45" x14ac:dyDescent="0.25">
      <c r="AR4885" s="11">
        <v>0.44500000000000023</v>
      </c>
      <c r="AS4885" s="7">
        <v>0.649519052838329</v>
      </c>
    </row>
    <row r="4886" spans="44:45" x14ac:dyDescent="0.25">
      <c r="AR4886" s="11">
        <v>0.45500000000000024</v>
      </c>
      <c r="AS4886" s="7">
        <v>0.649519052838329</v>
      </c>
    </row>
    <row r="4887" spans="44:45" x14ac:dyDescent="0.25">
      <c r="AR4887" s="11">
        <v>0.46500000000000025</v>
      </c>
      <c r="AS4887" s="7">
        <v>0.649519052838329</v>
      </c>
    </row>
    <row r="4888" spans="44:45" x14ac:dyDescent="0.25">
      <c r="AR4888" s="11">
        <v>0.47500000000000026</v>
      </c>
      <c r="AS4888" s="7">
        <v>0.649519052838329</v>
      </c>
    </row>
    <row r="4889" spans="44:45" x14ac:dyDescent="0.25">
      <c r="AR4889" s="11">
        <v>0.48500000000000026</v>
      </c>
      <c r="AS4889" s="7">
        <v>0.649519052838329</v>
      </c>
    </row>
    <row r="4890" spans="44:45" x14ac:dyDescent="0.25">
      <c r="AR4890" s="11">
        <v>0.49500000000000027</v>
      </c>
      <c r="AS4890" s="7">
        <v>0.649519052838329</v>
      </c>
    </row>
    <row r="4891" spans="44:45" x14ac:dyDescent="0.25">
      <c r="AR4891" s="11">
        <v>0.50500000000000023</v>
      </c>
      <c r="AS4891" s="7">
        <v>0.649519052838329</v>
      </c>
    </row>
    <row r="4892" spans="44:45" x14ac:dyDescent="0.25">
      <c r="AR4892" s="11">
        <v>0.51500000000000024</v>
      </c>
      <c r="AS4892" s="7">
        <v>0.649519052838329</v>
      </c>
    </row>
    <row r="4893" spans="44:45" x14ac:dyDescent="0.25">
      <c r="AR4893" s="11">
        <v>0.52500000000000024</v>
      </c>
      <c r="AS4893" s="7">
        <v>0.649519052838329</v>
      </c>
    </row>
    <row r="4894" spans="44:45" x14ac:dyDescent="0.25">
      <c r="AR4894" s="11">
        <v>0.53500000000000025</v>
      </c>
      <c r="AS4894" s="7">
        <v>0.649519052838329</v>
      </c>
    </row>
    <row r="4895" spans="44:45" x14ac:dyDescent="0.25">
      <c r="AR4895" s="11">
        <v>0.54500000000000026</v>
      </c>
      <c r="AS4895" s="7">
        <v>0.649519052838329</v>
      </c>
    </row>
    <row r="4896" spans="44:45" x14ac:dyDescent="0.25">
      <c r="AR4896" s="11">
        <v>0.55500000000000027</v>
      </c>
      <c r="AS4896" s="7">
        <v>0.649519052838329</v>
      </c>
    </row>
    <row r="4897" spans="44:45" x14ac:dyDescent="0.25">
      <c r="AR4897" s="11">
        <v>0.56500000000000028</v>
      </c>
      <c r="AS4897" s="7">
        <v>0.649519052838329</v>
      </c>
    </row>
    <row r="4898" spans="44:45" x14ac:dyDescent="0.25">
      <c r="AR4898" s="11">
        <v>0.57500000000000029</v>
      </c>
      <c r="AS4898" s="7">
        <v>0.649519052838329</v>
      </c>
    </row>
    <row r="4899" spans="44:45" x14ac:dyDescent="0.25">
      <c r="AR4899" s="11">
        <v>0.5850000000000003</v>
      </c>
      <c r="AS4899" s="7">
        <v>0.649519052838329</v>
      </c>
    </row>
    <row r="4900" spans="44:45" x14ac:dyDescent="0.25">
      <c r="AR4900" s="11">
        <v>0.59500000000000031</v>
      </c>
      <c r="AS4900" s="7">
        <v>0.649519052838329</v>
      </c>
    </row>
    <row r="4901" spans="44:45" x14ac:dyDescent="0.25">
      <c r="AR4901" s="11">
        <v>0.60500000000000032</v>
      </c>
      <c r="AS4901" s="7">
        <v>0.649519052838329</v>
      </c>
    </row>
    <row r="4902" spans="44:45" x14ac:dyDescent="0.25">
      <c r="AR4902" s="11">
        <v>0.61500000000000032</v>
      </c>
      <c r="AS4902" s="7">
        <v>0.649519052838329</v>
      </c>
    </row>
    <row r="4903" spans="44:45" x14ac:dyDescent="0.25">
      <c r="AR4903" s="11">
        <v>0.62500000000000033</v>
      </c>
      <c r="AS4903" s="7">
        <v>0.649519052838329</v>
      </c>
    </row>
    <row r="4904" spans="44:45" x14ac:dyDescent="0.25">
      <c r="AR4904" s="11"/>
      <c r="AS4904" s="7"/>
    </row>
    <row r="4905" spans="44:45" x14ac:dyDescent="0.25">
      <c r="AR4905" s="11">
        <v>0.38000000000000017</v>
      </c>
      <c r="AS4905" s="7">
        <v>0.65817930687617343</v>
      </c>
    </row>
    <row r="4906" spans="44:45" x14ac:dyDescent="0.25">
      <c r="AR4906" s="11">
        <v>0.39000000000000018</v>
      </c>
      <c r="AS4906" s="7">
        <v>0.65817930687617343</v>
      </c>
    </row>
    <row r="4907" spans="44:45" x14ac:dyDescent="0.25">
      <c r="AR4907" s="11">
        <v>0.40000000000000019</v>
      </c>
      <c r="AS4907" s="7">
        <v>0.65817930687617343</v>
      </c>
    </row>
    <row r="4908" spans="44:45" x14ac:dyDescent="0.25">
      <c r="AR4908" s="11">
        <v>0.4100000000000002</v>
      </c>
      <c r="AS4908" s="7">
        <v>0.65817930687617343</v>
      </c>
    </row>
    <row r="4909" spans="44:45" x14ac:dyDescent="0.25">
      <c r="AR4909" s="11">
        <v>0.42000000000000021</v>
      </c>
      <c r="AS4909" s="7">
        <v>0.65817930687617343</v>
      </c>
    </row>
    <row r="4910" spans="44:45" x14ac:dyDescent="0.25">
      <c r="AR4910" s="11">
        <v>0.43000000000000022</v>
      </c>
      <c r="AS4910" s="7">
        <v>0.65817930687617343</v>
      </c>
    </row>
    <row r="4911" spans="44:45" x14ac:dyDescent="0.25">
      <c r="AR4911" s="11">
        <v>0.44000000000000022</v>
      </c>
      <c r="AS4911" s="7">
        <v>0.65817930687617343</v>
      </c>
    </row>
    <row r="4912" spans="44:45" x14ac:dyDescent="0.25">
      <c r="AR4912" s="11">
        <v>0.45000000000000023</v>
      </c>
      <c r="AS4912" s="7">
        <v>0.65817930687617343</v>
      </c>
    </row>
    <row r="4913" spans="44:45" x14ac:dyDescent="0.25">
      <c r="AR4913" s="11">
        <v>0.46000000000000024</v>
      </c>
      <c r="AS4913" s="7">
        <v>0.65817930687617343</v>
      </c>
    </row>
    <row r="4914" spans="44:45" x14ac:dyDescent="0.25">
      <c r="AR4914" s="11">
        <v>0.47000000000000025</v>
      </c>
      <c r="AS4914" s="7">
        <v>0.65817930687617343</v>
      </c>
    </row>
    <row r="4915" spans="44:45" x14ac:dyDescent="0.25">
      <c r="AR4915" s="11">
        <v>0.48000000000000026</v>
      </c>
      <c r="AS4915" s="7">
        <v>0.65817930687617343</v>
      </c>
    </row>
    <row r="4916" spans="44:45" x14ac:dyDescent="0.25">
      <c r="AR4916" s="11">
        <v>0.49000000000000027</v>
      </c>
      <c r="AS4916" s="7">
        <v>0.65817930687617343</v>
      </c>
    </row>
    <row r="4917" spans="44:45" x14ac:dyDescent="0.25">
      <c r="AR4917" s="11">
        <v>0.50000000000000022</v>
      </c>
      <c r="AS4917" s="7">
        <v>0.65817930687617343</v>
      </c>
    </row>
    <row r="4918" spans="44:45" x14ac:dyDescent="0.25">
      <c r="AR4918" s="11">
        <v>0.51000000000000023</v>
      </c>
      <c r="AS4918" s="7">
        <v>0.65817930687617343</v>
      </c>
    </row>
    <row r="4919" spans="44:45" x14ac:dyDescent="0.25">
      <c r="AR4919" s="11">
        <v>0.52000000000000024</v>
      </c>
      <c r="AS4919" s="7">
        <v>0.65817930687617343</v>
      </c>
    </row>
    <row r="4920" spans="44:45" x14ac:dyDescent="0.25">
      <c r="AR4920" s="11">
        <v>0.53000000000000025</v>
      </c>
      <c r="AS4920" s="7">
        <v>0.65817930687617343</v>
      </c>
    </row>
    <row r="4921" spans="44:45" x14ac:dyDescent="0.25">
      <c r="AR4921" s="11">
        <v>0.54000000000000026</v>
      </c>
      <c r="AS4921" s="7">
        <v>0.65817930687617343</v>
      </c>
    </row>
    <row r="4922" spans="44:45" x14ac:dyDescent="0.25">
      <c r="AR4922" s="11">
        <v>0.55000000000000027</v>
      </c>
      <c r="AS4922" s="7">
        <v>0.65817930687617343</v>
      </c>
    </row>
    <row r="4923" spans="44:45" x14ac:dyDescent="0.25">
      <c r="AR4923" s="11">
        <v>0.56000000000000028</v>
      </c>
      <c r="AS4923" s="7">
        <v>0.65817930687617343</v>
      </c>
    </row>
    <row r="4924" spans="44:45" x14ac:dyDescent="0.25">
      <c r="AR4924" s="11">
        <v>0.57000000000000028</v>
      </c>
      <c r="AS4924" s="7">
        <v>0.65817930687617343</v>
      </c>
    </row>
    <row r="4925" spans="44:45" x14ac:dyDescent="0.25">
      <c r="AR4925" s="11">
        <v>0.58000000000000029</v>
      </c>
      <c r="AS4925" s="7">
        <v>0.65817930687617343</v>
      </c>
    </row>
    <row r="4926" spans="44:45" x14ac:dyDescent="0.25">
      <c r="AR4926" s="11">
        <v>0.5900000000000003</v>
      </c>
      <c r="AS4926" s="7">
        <v>0.65817930687617343</v>
      </c>
    </row>
    <row r="4927" spans="44:45" x14ac:dyDescent="0.25">
      <c r="AR4927" s="11">
        <v>0.60000000000000031</v>
      </c>
      <c r="AS4927" s="7">
        <v>0.65817930687617343</v>
      </c>
    </row>
    <row r="4928" spans="44:45" x14ac:dyDescent="0.25">
      <c r="AR4928" s="11">
        <v>0.61000000000000032</v>
      </c>
      <c r="AS4928" s="7">
        <v>0.65817930687617343</v>
      </c>
    </row>
    <row r="4929" spans="44:45" x14ac:dyDescent="0.25">
      <c r="AR4929" s="11">
        <v>0.62000000000000033</v>
      </c>
      <c r="AS4929" s="7">
        <v>0.65817930687617343</v>
      </c>
    </row>
    <row r="4930" spans="44:45" x14ac:dyDescent="0.25">
      <c r="AR4930" s="11"/>
      <c r="AS4930" s="7"/>
    </row>
    <row r="4931" spans="44:45" x14ac:dyDescent="0.25">
      <c r="AR4931" s="11">
        <v>0.38500000000000018</v>
      </c>
      <c r="AS4931" s="7">
        <v>0.66683956091401775</v>
      </c>
    </row>
    <row r="4932" spans="44:45" x14ac:dyDescent="0.25">
      <c r="AR4932" s="11">
        <v>0.39500000000000018</v>
      </c>
      <c r="AS4932" s="7">
        <v>0.66683956091401775</v>
      </c>
    </row>
    <row r="4933" spans="44:45" x14ac:dyDescent="0.25">
      <c r="AR4933" s="11">
        <v>0.40500000000000019</v>
      </c>
      <c r="AS4933" s="7">
        <v>0.66683956091401775</v>
      </c>
    </row>
    <row r="4934" spans="44:45" x14ac:dyDescent="0.25">
      <c r="AR4934" s="11">
        <v>0.4150000000000002</v>
      </c>
      <c r="AS4934" s="7">
        <v>0.66683956091401775</v>
      </c>
    </row>
    <row r="4935" spans="44:45" x14ac:dyDescent="0.25">
      <c r="AR4935" s="11">
        <v>0.42500000000000021</v>
      </c>
      <c r="AS4935" s="7">
        <v>0.66683956091401775</v>
      </c>
    </row>
    <row r="4936" spans="44:45" x14ac:dyDescent="0.25">
      <c r="AR4936" s="11">
        <v>0.43500000000000022</v>
      </c>
      <c r="AS4936" s="7">
        <v>0.66683956091401775</v>
      </c>
    </row>
    <row r="4937" spans="44:45" x14ac:dyDescent="0.25">
      <c r="AR4937" s="11">
        <v>0.44500000000000023</v>
      </c>
      <c r="AS4937" s="7">
        <v>0.66683956091401775</v>
      </c>
    </row>
    <row r="4938" spans="44:45" x14ac:dyDescent="0.25">
      <c r="AR4938" s="11">
        <v>0.45500000000000024</v>
      </c>
      <c r="AS4938" s="7">
        <v>0.66683956091401775</v>
      </c>
    </row>
    <row r="4939" spans="44:45" x14ac:dyDescent="0.25">
      <c r="AR4939" s="11">
        <v>0.46500000000000025</v>
      </c>
      <c r="AS4939" s="7">
        <v>0.66683956091401775</v>
      </c>
    </row>
    <row r="4940" spans="44:45" x14ac:dyDescent="0.25">
      <c r="AR4940" s="11">
        <v>0.47500000000000026</v>
      </c>
      <c r="AS4940" s="7">
        <v>0.66683956091401775</v>
      </c>
    </row>
    <row r="4941" spans="44:45" x14ac:dyDescent="0.25">
      <c r="AR4941" s="11">
        <v>0.48500000000000026</v>
      </c>
      <c r="AS4941" s="7">
        <v>0.66683956091401775</v>
      </c>
    </row>
    <row r="4942" spans="44:45" x14ac:dyDescent="0.25">
      <c r="AR4942" s="11">
        <v>0.49500000000000027</v>
      </c>
      <c r="AS4942" s="7">
        <v>0.66683956091401775</v>
      </c>
    </row>
    <row r="4943" spans="44:45" x14ac:dyDescent="0.25">
      <c r="AR4943" s="11">
        <v>0.50500000000000023</v>
      </c>
      <c r="AS4943" s="7">
        <v>0.66683956091401775</v>
      </c>
    </row>
    <row r="4944" spans="44:45" x14ac:dyDescent="0.25">
      <c r="AR4944" s="11">
        <v>0.51500000000000024</v>
      </c>
      <c r="AS4944" s="7">
        <v>0.66683956091401775</v>
      </c>
    </row>
    <row r="4945" spans="44:45" x14ac:dyDescent="0.25">
      <c r="AR4945" s="11">
        <v>0.52500000000000024</v>
      </c>
      <c r="AS4945" s="7">
        <v>0.66683956091401775</v>
      </c>
    </row>
    <row r="4946" spans="44:45" x14ac:dyDescent="0.25">
      <c r="AR4946" s="11">
        <v>0.53500000000000025</v>
      </c>
      <c r="AS4946" s="7">
        <v>0.66683956091401775</v>
      </c>
    </row>
    <row r="4947" spans="44:45" x14ac:dyDescent="0.25">
      <c r="AR4947" s="11">
        <v>0.54500000000000026</v>
      </c>
      <c r="AS4947" s="7">
        <v>0.66683956091401775</v>
      </c>
    </row>
    <row r="4948" spans="44:45" x14ac:dyDescent="0.25">
      <c r="AR4948" s="11">
        <v>0.55500000000000027</v>
      </c>
      <c r="AS4948" s="7">
        <v>0.66683956091401775</v>
      </c>
    </row>
    <row r="4949" spans="44:45" x14ac:dyDescent="0.25">
      <c r="AR4949" s="11">
        <v>0.56500000000000028</v>
      </c>
      <c r="AS4949" s="7">
        <v>0.66683956091401775</v>
      </c>
    </row>
    <row r="4950" spans="44:45" x14ac:dyDescent="0.25">
      <c r="AR4950" s="11">
        <v>0.57500000000000029</v>
      </c>
      <c r="AS4950" s="7">
        <v>0.66683956091401775</v>
      </c>
    </row>
    <row r="4951" spans="44:45" x14ac:dyDescent="0.25">
      <c r="AR4951" s="11">
        <v>0.5850000000000003</v>
      </c>
      <c r="AS4951" s="7">
        <v>0.66683956091401775</v>
      </c>
    </row>
    <row r="4952" spans="44:45" x14ac:dyDescent="0.25">
      <c r="AR4952" s="11">
        <v>0.59500000000000031</v>
      </c>
      <c r="AS4952" s="7">
        <v>0.66683956091401775</v>
      </c>
    </row>
    <row r="4953" spans="44:45" x14ac:dyDescent="0.25">
      <c r="AR4953" s="11">
        <v>0.60500000000000032</v>
      </c>
      <c r="AS4953" s="7">
        <v>0.66683956091401775</v>
      </c>
    </row>
    <row r="4954" spans="44:45" x14ac:dyDescent="0.25">
      <c r="AR4954" s="11">
        <v>0.61500000000000032</v>
      </c>
      <c r="AS4954" s="7">
        <v>0.66683956091401775</v>
      </c>
    </row>
    <row r="4955" spans="44:45" x14ac:dyDescent="0.25">
      <c r="AR4955" s="11"/>
      <c r="AS4955" s="7"/>
    </row>
    <row r="4956" spans="44:45" x14ac:dyDescent="0.25">
      <c r="AR4956" s="11">
        <v>0.39000000000000018</v>
      </c>
      <c r="AS4956" s="7">
        <v>0.67549981495186218</v>
      </c>
    </row>
    <row r="4957" spans="44:45" x14ac:dyDescent="0.25">
      <c r="AR4957" s="11">
        <v>0.40000000000000019</v>
      </c>
      <c r="AS4957" s="7">
        <v>0.67549981495186218</v>
      </c>
    </row>
    <row r="4958" spans="44:45" x14ac:dyDescent="0.25">
      <c r="AR4958" s="11">
        <v>0.4100000000000002</v>
      </c>
      <c r="AS4958" s="7">
        <v>0.67549981495186218</v>
      </c>
    </row>
    <row r="4959" spans="44:45" x14ac:dyDescent="0.25">
      <c r="AR4959" s="11">
        <v>0.42000000000000021</v>
      </c>
      <c r="AS4959" s="7">
        <v>0.67549981495186218</v>
      </c>
    </row>
    <row r="4960" spans="44:45" x14ac:dyDescent="0.25">
      <c r="AR4960" s="11">
        <v>0.43000000000000022</v>
      </c>
      <c r="AS4960" s="7">
        <v>0.67549981495186218</v>
      </c>
    </row>
    <row r="4961" spans="44:45" x14ac:dyDescent="0.25">
      <c r="AR4961" s="11">
        <v>0.44000000000000022</v>
      </c>
      <c r="AS4961" s="7">
        <v>0.67549981495186218</v>
      </c>
    </row>
    <row r="4962" spans="44:45" x14ac:dyDescent="0.25">
      <c r="AR4962" s="11">
        <v>0.45000000000000023</v>
      </c>
      <c r="AS4962" s="7">
        <v>0.67549981495186218</v>
      </c>
    </row>
    <row r="4963" spans="44:45" x14ac:dyDescent="0.25">
      <c r="AR4963" s="11">
        <v>0.46000000000000024</v>
      </c>
      <c r="AS4963" s="7">
        <v>0.67549981495186218</v>
      </c>
    </row>
    <row r="4964" spans="44:45" x14ac:dyDescent="0.25">
      <c r="AR4964" s="11">
        <v>0.47000000000000025</v>
      </c>
      <c r="AS4964" s="7">
        <v>0.67549981495186218</v>
      </c>
    </row>
    <row r="4965" spans="44:45" x14ac:dyDescent="0.25">
      <c r="AR4965" s="11">
        <v>0.48000000000000026</v>
      </c>
      <c r="AS4965" s="7">
        <v>0.67549981495186218</v>
      </c>
    </row>
    <row r="4966" spans="44:45" x14ac:dyDescent="0.25">
      <c r="AR4966" s="11">
        <v>0.49000000000000027</v>
      </c>
      <c r="AS4966" s="7">
        <v>0.67549981495186218</v>
      </c>
    </row>
    <row r="4967" spans="44:45" x14ac:dyDescent="0.25">
      <c r="AR4967" s="11">
        <v>0.50000000000000022</v>
      </c>
      <c r="AS4967" s="7">
        <v>0.67549981495186218</v>
      </c>
    </row>
    <row r="4968" spans="44:45" x14ac:dyDescent="0.25">
      <c r="AR4968" s="11">
        <v>0.51000000000000023</v>
      </c>
      <c r="AS4968" s="7">
        <v>0.67549981495186218</v>
      </c>
    </row>
    <row r="4969" spans="44:45" x14ac:dyDescent="0.25">
      <c r="AR4969" s="11">
        <v>0.52000000000000024</v>
      </c>
      <c r="AS4969" s="7">
        <v>0.67549981495186218</v>
      </c>
    </row>
    <row r="4970" spans="44:45" x14ac:dyDescent="0.25">
      <c r="AR4970" s="11">
        <v>0.53000000000000025</v>
      </c>
      <c r="AS4970" s="7">
        <v>0.67549981495186218</v>
      </c>
    </row>
    <row r="4971" spans="44:45" x14ac:dyDescent="0.25">
      <c r="AR4971" s="11">
        <v>0.54000000000000026</v>
      </c>
      <c r="AS4971" s="7">
        <v>0.67549981495186218</v>
      </c>
    </row>
    <row r="4972" spans="44:45" x14ac:dyDescent="0.25">
      <c r="AR4972" s="11">
        <v>0.55000000000000027</v>
      </c>
      <c r="AS4972" s="7">
        <v>0.67549981495186218</v>
      </c>
    </row>
    <row r="4973" spans="44:45" x14ac:dyDescent="0.25">
      <c r="AR4973" s="11">
        <v>0.56000000000000028</v>
      </c>
      <c r="AS4973" s="7">
        <v>0.67549981495186218</v>
      </c>
    </row>
    <row r="4974" spans="44:45" x14ac:dyDescent="0.25">
      <c r="AR4974" s="11">
        <v>0.57000000000000028</v>
      </c>
      <c r="AS4974" s="7">
        <v>0.67549981495186218</v>
      </c>
    </row>
    <row r="4975" spans="44:45" x14ac:dyDescent="0.25">
      <c r="AR4975" s="11">
        <v>0.58000000000000029</v>
      </c>
      <c r="AS4975" s="7">
        <v>0.67549981495186218</v>
      </c>
    </row>
    <row r="4976" spans="44:45" x14ac:dyDescent="0.25">
      <c r="AR4976" s="11">
        <v>0.5900000000000003</v>
      </c>
      <c r="AS4976" s="7">
        <v>0.67549981495186218</v>
      </c>
    </row>
    <row r="4977" spans="44:45" x14ac:dyDescent="0.25">
      <c r="AR4977" s="11">
        <v>0.60000000000000031</v>
      </c>
      <c r="AS4977" s="7">
        <v>0.67549981495186218</v>
      </c>
    </row>
    <row r="4978" spans="44:45" x14ac:dyDescent="0.25">
      <c r="AR4978" s="11">
        <v>0.61000000000000032</v>
      </c>
      <c r="AS4978" s="7">
        <v>0.67549981495186218</v>
      </c>
    </row>
    <row r="4979" spans="44:45" x14ac:dyDescent="0.25">
      <c r="AR4979" s="11"/>
      <c r="AS4979" s="7"/>
    </row>
    <row r="4980" spans="44:45" x14ac:dyDescent="0.25">
      <c r="AR4980" s="11">
        <v>0.39500000000000018</v>
      </c>
      <c r="AS4980" s="7">
        <v>0.6841600689897066</v>
      </c>
    </row>
    <row r="4981" spans="44:45" x14ac:dyDescent="0.25">
      <c r="AR4981" s="11">
        <v>0.40500000000000019</v>
      </c>
      <c r="AS4981" s="7">
        <v>0.6841600689897066</v>
      </c>
    </row>
    <row r="4982" spans="44:45" x14ac:dyDescent="0.25">
      <c r="AR4982" s="11">
        <v>0.4150000000000002</v>
      </c>
      <c r="AS4982" s="7">
        <v>0.6841600689897066</v>
      </c>
    </row>
    <row r="4983" spans="44:45" x14ac:dyDescent="0.25">
      <c r="AR4983" s="11">
        <v>0.42500000000000021</v>
      </c>
      <c r="AS4983" s="7">
        <v>0.6841600689897066</v>
      </c>
    </row>
    <row r="4984" spans="44:45" x14ac:dyDescent="0.25">
      <c r="AR4984" s="11">
        <v>0.43500000000000022</v>
      </c>
      <c r="AS4984" s="7">
        <v>0.6841600689897066</v>
      </c>
    </row>
    <row r="4985" spans="44:45" x14ac:dyDescent="0.25">
      <c r="AR4985" s="11">
        <v>0.44500000000000023</v>
      </c>
      <c r="AS4985" s="7">
        <v>0.6841600689897066</v>
      </c>
    </row>
    <row r="4986" spans="44:45" x14ac:dyDescent="0.25">
      <c r="AR4986" s="11">
        <v>0.45500000000000024</v>
      </c>
      <c r="AS4986" s="7">
        <v>0.6841600689897066</v>
      </c>
    </row>
    <row r="4987" spans="44:45" x14ac:dyDescent="0.25">
      <c r="AR4987" s="11">
        <v>0.46500000000000025</v>
      </c>
      <c r="AS4987" s="7">
        <v>0.6841600689897066</v>
      </c>
    </row>
    <row r="4988" spans="44:45" x14ac:dyDescent="0.25">
      <c r="AR4988" s="11">
        <v>0.47500000000000026</v>
      </c>
      <c r="AS4988" s="7">
        <v>0.6841600689897066</v>
      </c>
    </row>
    <row r="4989" spans="44:45" x14ac:dyDescent="0.25">
      <c r="AR4989" s="11">
        <v>0.48500000000000026</v>
      </c>
      <c r="AS4989" s="7">
        <v>0.6841600689897066</v>
      </c>
    </row>
    <row r="4990" spans="44:45" x14ac:dyDescent="0.25">
      <c r="AR4990" s="11">
        <v>0.49500000000000027</v>
      </c>
      <c r="AS4990" s="7">
        <v>0.6841600689897066</v>
      </c>
    </row>
    <row r="4991" spans="44:45" x14ac:dyDescent="0.25">
      <c r="AR4991" s="11">
        <v>0.50500000000000023</v>
      </c>
      <c r="AS4991" s="7">
        <v>0.6841600689897066</v>
      </c>
    </row>
    <row r="4992" spans="44:45" x14ac:dyDescent="0.25">
      <c r="AR4992" s="11">
        <v>0.51500000000000024</v>
      </c>
      <c r="AS4992" s="7">
        <v>0.6841600689897066</v>
      </c>
    </row>
    <row r="4993" spans="44:45" x14ac:dyDescent="0.25">
      <c r="AR4993" s="11">
        <v>0.52500000000000024</v>
      </c>
      <c r="AS4993" s="7">
        <v>0.6841600689897066</v>
      </c>
    </row>
    <row r="4994" spans="44:45" x14ac:dyDescent="0.25">
      <c r="AR4994" s="11">
        <v>0.53500000000000025</v>
      </c>
      <c r="AS4994" s="7">
        <v>0.6841600689897066</v>
      </c>
    </row>
    <row r="4995" spans="44:45" x14ac:dyDescent="0.25">
      <c r="AR4995" s="11">
        <v>0.54500000000000026</v>
      </c>
      <c r="AS4995" s="7">
        <v>0.6841600689897066</v>
      </c>
    </row>
    <row r="4996" spans="44:45" x14ac:dyDescent="0.25">
      <c r="AR4996" s="11">
        <v>0.55500000000000027</v>
      </c>
      <c r="AS4996" s="7">
        <v>0.6841600689897066</v>
      </c>
    </row>
    <row r="4997" spans="44:45" x14ac:dyDescent="0.25">
      <c r="AR4997" s="11">
        <v>0.56500000000000028</v>
      </c>
      <c r="AS4997" s="7">
        <v>0.6841600689897066</v>
      </c>
    </row>
    <row r="4998" spans="44:45" x14ac:dyDescent="0.25">
      <c r="AR4998" s="11">
        <v>0.57500000000000029</v>
      </c>
      <c r="AS4998" s="7">
        <v>0.6841600689897066</v>
      </c>
    </row>
    <row r="4999" spans="44:45" x14ac:dyDescent="0.25">
      <c r="AR4999" s="11">
        <v>0.5850000000000003</v>
      </c>
      <c r="AS4999" s="7">
        <v>0.6841600689897066</v>
      </c>
    </row>
    <row r="5000" spans="44:45" x14ac:dyDescent="0.25">
      <c r="AR5000" s="11">
        <v>0.59500000000000031</v>
      </c>
      <c r="AS5000" s="7">
        <v>0.6841600689897066</v>
      </c>
    </row>
    <row r="5001" spans="44:45" x14ac:dyDescent="0.25">
      <c r="AR5001" s="11">
        <v>0.60500000000000032</v>
      </c>
      <c r="AS5001" s="7">
        <v>0.6841600689897066</v>
      </c>
    </row>
    <row r="5002" spans="44:45" x14ac:dyDescent="0.25">
      <c r="AR5002" s="11"/>
      <c r="AS5002" s="7"/>
    </row>
    <row r="5003" spans="44:45" x14ac:dyDescent="0.25">
      <c r="AR5003" s="11">
        <v>0.40000000000000019</v>
      </c>
      <c r="AS5003" s="7">
        <v>0.69282032302755103</v>
      </c>
    </row>
    <row r="5004" spans="44:45" x14ac:dyDescent="0.25">
      <c r="AR5004" s="11">
        <v>0.4100000000000002</v>
      </c>
      <c r="AS5004" s="7">
        <v>0.69282032302755103</v>
      </c>
    </row>
    <row r="5005" spans="44:45" x14ac:dyDescent="0.25">
      <c r="AR5005" s="11">
        <v>0.42000000000000021</v>
      </c>
      <c r="AS5005" s="7">
        <v>0.69282032302755103</v>
      </c>
    </row>
    <row r="5006" spans="44:45" x14ac:dyDescent="0.25">
      <c r="AR5006" s="11">
        <v>0.43000000000000022</v>
      </c>
      <c r="AS5006" s="7">
        <v>0.69282032302755103</v>
      </c>
    </row>
    <row r="5007" spans="44:45" x14ac:dyDescent="0.25">
      <c r="AR5007" s="11">
        <v>0.44000000000000022</v>
      </c>
      <c r="AS5007" s="7">
        <v>0.69282032302755103</v>
      </c>
    </row>
    <row r="5008" spans="44:45" x14ac:dyDescent="0.25">
      <c r="AR5008" s="11">
        <v>0.45000000000000023</v>
      </c>
      <c r="AS5008" s="7">
        <v>0.69282032302755103</v>
      </c>
    </row>
    <row r="5009" spans="44:45" x14ac:dyDescent="0.25">
      <c r="AR5009" s="11">
        <v>0.46000000000000024</v>
      </c>
      <c r="AS5009" s="7">
        <v>0.69282032302755103</v>
      </c>
    </row>
    <row r="5010" spans="44:45" x14ac:dyDescent="0.25">
      <c r="AR5010" s="11">
        <v>0.47000000000000025</v>
      </c>
      <c r="AS5010" s="7">
        <v>0.69282032302755103</v>
      </c>
    </row>
    <row r="5011" spans="44:45" x14ac:dyDescent="0.25">
      <c r="AR5011" s="11">
        <v>0.48000000000000026</v>
      </c>
      <c r="AS5011" s="7">
        <v>0.69282032302755103</v>
      </c>
    </row>
    <row r="5012" spans="44:45" x14ac:dyDescent="0.25">
      <c r="AR5012" s="11">
        <v>0.49000000000000027</v>
      </c>
      <c r="AS5012" s="7">
        <v>0.69282032302755103</v>
      </c>
    </row>
    <row r="5013" spans="44:45" x14ac:dyDescent="0.25">
      <c r="AR5013" s="11">
        <v>0.50000000000000022</v>
      </c>
      <c r="AS5013" s="7">
        <v>0.69282032302755103</v>
      </c>
    </row>
    <row r="5014" spans="44:45" x14ac:dyDescent="0.25">
      <c r="AR5014" s="11">
        <v>0.51000000000000023</v>
      </c>
      <c r="AS5014" s="7">
        <v>0.69282032302755103</v>
      </c>
    </row>
    <row r="5015" spans="44:45" x14ac:dyDescent="0.25">
      <c r="AR5015" s="11">
        <v>0.52000000000000024</v>
      </c>
      <c r="AS5015" s="7">
        <v>0.69282032302755103</v>
      </c>
    </row>
    <row r="5016" spans="44:45" x14ac:dyDescent="0.25">
      <c r="AR5016" s="11">
        <v>0.53000000000000025</v>
      </c>
      <c r="AS5016" s="7">
        <v>0.69282032302755103</v>
      </c>
    </row>
    <row r="5017" spans="44:45" x14ac:dyDescent="0.25">
      <c r="AR5017" s="11">
        <v>0.54000000000000026</v>
      </c>
      <c r="AS5017" s="7">
        <v>0.69282032302755103</v>
      </c>
    </row>
    <row r="5018" spans="44:45" x14ac:dyDescent="0.25">
      <c r="AR5018" s="11">
        <v>0.55000000000000027</v>
      </c>
      <c r="AS5018" s="7">
        <v>0.69282032302755103</v>
      </c>
    </row>
    <row r="5019" spans="44:45" x14ac:dyDescent="0.25">
      <c r="AR5019" s="11">
        <v>0.56000000000000028</v>
      </c>
      <c r="AS5019" s="7">
        <v>0.69282032302755103</v>
      </c>
    </row>
    <row r="5020" spans="44:45" x14ac:dyDescent="0.25">
      <c r="AR5020" s="11">
        <v>0.57000000000000028</v>
      </c>
      <c r="AS5020" s="7">
        <v>0.69282032302755103</v>
      </c>
    </row>
    <row r="5021" spans="44:45" x14ac:dyDescent="0.25">
      <c r="AR5021" s="11">
        <v>0.58000000000000029</v>
      </c>
      <c r="AS5021" s="7">
        <v>0.69282032302755103</v>
      </c>
    </row>
    <row r="5022" spans="44:45" x14ac:dyDescent="0.25">
      <c r="AR5022" s="11">
        <v>0.5900000000000003</v>
      </c>
      <c r="AS5022" s="7">
        <v>0.69282032302755103</v>
      </c>
    </row>
    <row r="5023" spans="44:45" x14ac:dyDescent="0.25">
      <c r="AR5023" s="11">
        <v>0.60000000000000031</v>
      </c>
      <c r="AS5023" s="7">
        <v>0.69282032302755103</v>
      </c>
    </row>
    <row r="5024" spans="44:45" x14ac:dyDescent="0.25">
      <c r="AR5024" s="11"/>
      <c r="AS5024" s="7"/>
    </row>
    <row r="5025" spans="44:45" x14ac:dyDescent="0.25">
      <c r="AR5025" s="11">
        <v>0.40500000000000019</v>
      </c>
      <c r="AS5025" s="7">
        <v>0.70148057706539535</v>
      </c>
    </row>
    <row r="5026" spans="44:45" x14ac:dyDescent="0.25">
      <c r="AR5026" s="11">
        <v>0.4150000000000002</v>
      </c>
      <c r="AS5026" s="7">
        <v>0.70148057706539535</v>
      </c>
    </row>
    <row r="5027" spans="44:45" x14ac:dyDescent="0.25">
      <c r="AR5027" s="11">
        <v>0.42500000000000021</v>
      </c>
      <c r="AS5027" s="7">
        <v>0.70148057706539535</v>
      </c>
    </row>
    <row r="5028" spans="44:45" x14ac:dyDescent="0.25">
      <c r="AR5028" s="11">
        <v>0.43500000000000022</v>
      </c>
      <c r="AS5028" s="7">
        <v>0.70148057706539535</v>
      </c>
    </row>
    <row r="5029" spans="44:45" x14ac:dyDescent="0.25">
      <c r="AR5029" s="11">
        <v>0.44500000000000023</v>
      </c>
      <c r="AS5029" s="7">
        <v>0.70148057706539535</v>
      </c>
    </row>
    <row r="5030" spans="44:45" x14ac:dyDescent="0.25">
      <c r="AR5030" s="11">
        <v>0.45500000000000024</v>
      </c>
      <c r="AS5030" s="7">
        <v>0.70148057706539535</v>
      </c>
    </row>
    <row r="5031" spans="44:45" x14ac:dyDescent="0.25">
      <c r="AR5031" s="11">
        <v>0.46500000000000025</v>
      </c>
      <c r="AS5031" s="7">
        <v>0.70148057706539535</v>
      </c>
    </row>
    <row r="5032" spans="44:45" x14ac:dyDescent="0.25">
      <c r="AR5032" s="11">
        <v>0.47500000000000026</v>
      </c>
      <c r="AS5032" s="7">
        <v>0.70148057706539535</v>
      </c>
    </row>
    <row r="5033" spans="44:45" x14ac:dyDescent="0.25">
      <c r="AR5033" s="11">
        <v>0.48500000000000026</v>
      </c>
      <c r="AS5033" s="7">
        <v>0.70148057706539535</v>
      </c>
    </row>
    <row r="5034" spans="44:45" x14ac:dyDescent="0.25">
      <c r="AR5034" s="11">
        <v>0.49500000000000027</v>
      </c>
      <c r="AS5034" s="7">
        <v>0.70148057706539535</v>
      </c>
    </row>
    <row r="5035" spans="44:45" x14ac:dyDescent="0.25">
      <c r="AR5035" s="11">
        <v>0.50500000000000023</v>
      </c>
      <c r="AS5035" s="7">
        <v>0.70148057706539535</v>
      </c>
    </row>
    <row r="5036" spans="44:45" x14ac:dyDescent="0.25">
      <c r="AR5036" s="11">
        <v>0.51500000000000024</v>
      </c>
      <c r="AS5036" s="7">
        <v>0.70148057706539535</v>
      </c>
    </row>
    <row r="5037" spans="44:45" x14ac:dyDescent="0.25">
      <c r="AR5037" s="11">
        <v>0.52500000000000024</v>
      </c>
      <c r="AS5037" s="7">
        <v>0.70148057706539535</v>
      </c>
    </row>
    <row r="5038" spans="44:45" x14ac:dyDescent="0.25">
      <c r="AR5038" s="11">
        <v>0.53500000000000025</v>
      </c>
      <c r="AS5038" s="7">
        <v>0.70148057706539535</v>
      </c>
    </row>
    <row r="5039" spans="44:45" x14ac:dyDescent="0.25">
      <c r="AR5039" s="11">
        <v>0.54500000000000026</v>
      </c>
      <c r="AS5039" s="7">
        <v>0.70148057706539535</v>
      </c>
    </row>
    <row r="5040" spans="44:45" x14ac:dyDescent="0.25">
      <c r="AR5040" s="11">
        <v>0.55500000000000027</v>
      </c>
      <c r="AS5040" s="7">
        <v>0.70148057706539535</v>
      </c>
    </row>
    <row r="5041" spans="44:45" x14ac:dyDescent="0.25">
      <c r="AR5041" s="11">
        <v>0.56500000000000028</v>
      </c>
      <c r="AS5041" s="7">
        <v>0.70148057706539535</v>
      </c>
    </row>
    <row r="5042" spans="44:45" x14ac:dyDescent="0.25">
      <c r="AR5042" s="11">
        <v>0.57500000000000029</v>
      </c>
      <c r="AS5042" s="7">
        <v>0.70148057706539535</v>
      </c>
    </row>
    <row r="5043" spans="44:45" x14ac:dyDescent="0.25">
      <c r="AR5043" s="11">
        <v>0.5850000000000003</v>
      </c>
      <c r="AS5043" s="7">
        <v>0.70148057706539535</v>
      </c>
    </row>
    <row r="5044" spans="44:45" x14ac:dyDescent="0.25">
      <c r="AR5044" s="11">
        <v>0.59500000000000031</v>
      </c>
      <c r="AS5044" s="7">
        <v>0.70148057706539535</v>
      </c>
    </row>
    <row r="5045" spans="44:45" x14ac:dyDescent="0.25">
      <c r="AR5045" s="11"/>
      <c r="AS5045" s="7"/>
    </row>
    <row r="5046" spans="44:45" x14ac:dyDescent="0.25">
      <c r="AR5046" s="11">
        <v>0.4100000000000002</v>
      </c>
      <c r="AS5046" s="7">
        <v>0.71014083110323967</v>
      </c>
    </row>
    <row r="5047" spans="44:45" x14ac:dyDescent="0.25">
      <c r="AR5047" s="11">
        <v>0.42000000000000021</v>
      </c>
      <c r="AS5047" s="7">
        <v>0.71014083110323967</v>
      </c>
    </row>
    <row r="5048" spans="44:45" x14ac:dyDescent="0.25">
      <c r="AR5048" s="11">
        <v>0.43000000000000022</v>
      </c>
      <c r="AS5048" s="7">
        <v>0.71014083110323967</v>
      </c>
    </row>
    <row r="5049" spans="44:45" x14ac:dyDescent="0.25">
      <c r="AR5049" s="11">
        <v>0.44000000000000022</v>
      </c>
      <c r="AS5049" s="7">
        <v>0.71014083110323967</v>
      </c>
    </row>
    <row r="5050" spans="44:45" x14ac:dyDescent="0.25">
      <c r="AR5050" s="11">
        <v>0.45000000000000023</v>
      </c>
      <c r="AS5050" s="7">
        <v>0.71014083110323967</v>
      </c>
    </row>
    <row r="5051" spans="44:45" x14ac:dyDescent="0.25">
      <c r="AR5051" s="11">
        <v>0.46000000000000024</v>
      </c>
      <c r="AS5051" s="7">
        <v>0.71014083110323967</v>
      </c>
    </row>
    <row r="5052" spans="44:45" x14ac:dyDescent="0.25">
      <c r="AR5052" s="11">
        <v>0.47000000000000025</v>
      </c>
      <c r="AS5052" s="7">
        <v>0.71014083110323967</v>
      </c>
    </row>
    <row r="5053" spans="44:45" x14ac:dyDescent="0.25">
      <c r="AR5053" s="11">
        <v>0.48000000000000026</v>
      </c>
      <c r="AS5053" s="7">
        <v>0.71014083110323967</v>
      </c>
    </row>
    <row r="5054" spans="44:45" x14ac:dyDescent="0.25">
      <c r="AR5054" s="11">
        <v>0.49000000000000027</v>
      </c>
      <c r="AS5054" s="7">
        <v>0.71014083110323967</v>
      </c>
    </row>
    <row r="5055" spans="44:45" x14ac:dyDescent="0.25">
      <c r="AR5055" s="11">
        <v>0.50000000000000022</v>
      </c>
      <c r="AS5055" s="7">
        <v>0.71014083110323967</v>
      </c>
    </row>
    <row r="5056" spans="44:45" x14ac:dyDescent="0.25">
      <c r="AR5056" s="11">
        <v>0.51000000000000023</v>
      </c>
      <c r="AS5056" s="7">
        <v>0.71014083110323967</v>
      </c>
    </row>
    <row r="5057" spans="44:45" x14ac:dyDescent="0.25">
      <c r="AR5057" s="11">
        <v>0.52000000000000024</v>
      </c>
      <c r="AS5057" s="7">
        <v>0.71014083110323967</v>
      </c>
    </row>
    <row r="5058" spans="44:45" x14ac:dyDescent="0.25">
      <c r="AR5058" s="11">
        <v>0.53000000000000025</v>
      </c>
      <c r="AS5058" s="7">
        <v>0.71014083110323967</v>
      </c>
    </row>
    <row r="5059" spans="44:45" x14ac:dyDescent="0.25">
      <c r="AR5059" s="11">
        <v>0.54000000000000026</v>
      </c>
      <c r="AS5059" s="7">
        <v>0.71014083110323967</v>
      </c>
    </row>
    <row r="5060" spans="44:45" x14ac:dyDescent="0.25">
      <c r="AR5060" s="11">
        <v>0.55000000000000027</v>
      </c>
      <c r="AS5060" s="7">
        <v>0.71014083110323967</v>
      </c>
    </row>
    <row r="5061" spans="44:45" x14ac:dyDescent="0.25">
      <c r="AR5061" s="11">
        <v>0.56000000000000028</v>
      </c>
      <c r="AS5061" s="7">
        <v>0.71014083110323967</v>
      </c>
    </row>
    <row r="5062" spans="44:45" x14ac:dyDescent="0.25">
      <c r="AR5062" s="11">
        <v>0.57000000000000028</v>
      </c>
      <c r="AS5062" s="7">
        <v>0.71014083110323967</v>
      </c>
    </row>
    <row r="5063" spans="44:45" x14ac:dyDescent="0.25">
      <c r="AR5063" s="11">
        <v>0.58000000000000029</v>
      </c>
      <c r="AS5063" s="7">
        <v>0.71014083110323967</v>
      </c>
    </row>
    <row r="5064" spans="44:45" x14ac:dyDescent="0.25">
      <c r="AR5064" s="11">
        <v>0.5900000000000003</v>
      </c>
      <c r="AS5064" s="7">
        <v>0.71014083110323967</v>
      </c>
    </row>
    <row r="5065" spans="44:45" x14ac:dyDescent="0.25">
      <c r="AR5065" s="11"/>
      <c r="AS5065" s="7"/>
    </row>
    <row r="5066" spans="44:45" x14ac:dyDescent="0.25">
      <c r="AR5066" s="11">
        <v>0.4150000000000002</v>
      </c>
      <c r="AS5066" s="7">
        <v>0.7188010851410841</v>
      </c>
    </row>
    <row r="5067" spans="44:45" x14ac:dyDescent="0.25">
      <c r="AR5067" s="11">
        <v>0.42500000000000021</v>
      </c>
      <c r="AS5067" s="7">
        <v>0.7188010851410841</v>
      </c>
    </row>
    <row r="5068" spans="44:45" x14ac:dyDescent="0.25">
      <c r="AR5068" s="11">
        <v>0.43500000000000022</v>
      </c>
      <c r="AS5068" s="7">
        <v>0.7188010851410841</v>
      </c>
    </row>
    <row r="5069" spans="44:45" x14ac:dyDescent="0.25">
      <c r="AR5069" s="11">
        <v>0.44500000000000023</v>
      </c>
      <c r="AS5069" s="7">
        <v>0.7188010851410841</v>
      </c>
    </row>
    <row r="5070" spans="44:45" x14ac:dyDescent="0.25">
      <c r="AR5070" s="11">
        <v>0.45500000000000024</v>
      </c>
      <c r="AS5070" s="7">
        <v>0.7188010851410841</v>
      </c>
    </row>
    <row r="5071" spans="44:45" x14ac:dyDescent="0.25">
      <c r="AR5071" s="11">
        <v>0.46500000000000025</v>
      </c>
      <c r="AS5071" s="7">
        <v>0.7188010851410841</v>
      </c>
    </row>
    <row r="5072" spans="44:45" x14ac:dyDescent="0.25">
      <c r="AR5072" s="11">
        <v>0.47500000000000026</v>
      </c>
      <c r="AS5072" s="7">
        <v>0.7188010851410841</v>
      </c>
    </row>
    <row r="5073" spans="44:45" x14ac:dyDescent="0.25">
      <c r="AR5073" s="11">
        <v>0.48500000000000026</v>
      </c>
      <c r="AS5073" s="7">
        <v>0.7188010851410841</v>
      </c>
    </row>
    <row r="5074" spans="44:45" x14ac:dyDescent="0.25">
      <c r="AR5074" s="11">
        <v>0.49500000000000027</v>
      </c>
      <c r="AS5074" s="7">
        <v>0.7188010851410841</v>
      </c>
    </row>
    <row r="5075" spans="44:45" x14ac:dyDescent="0.25">
      <c r="AR5075" s="11">
        <v>0.50500000000000023</v>
      </c>
      <c r="AS5075" s="7">
        <v>0.7188010851410841</v>
      </c>
    </row>
    <row r="5076" spans="44:45" x14ac:dyDescent="0.25">
      <c r="AR5076" s="11">
        <v>0.51500000000000024</v>
      </c>
      <c r="AS5076" s="7">
        <v>0.7188010851410841</v>
      </c>
    </row>
    <row r="5077" spans="44:45" x14ac:dyDescent="0.25">
      <c r="AR5077" s="11">
        <v>0.52500000000000024</v>
      </c>
      <c r="AS5077" s="7">
        <v>0.7188010851410841</v>
      </c>
    </row>
    <row r="5078" spans="44:45" x14ac:dyDescent="0.25">
      <c r="AR5078" s="11">
        <v>0.53500000000000025</v>
      </c>
      <c r="AS5078" s="7">
        <v>0.7188010851410841</v>
      </c>
    </row>
    <row r="5079" spans="44:45" x14ac:dyDescent="0.25">
      <c r="AR5079" s="11">
        <v>0.54500000000000026</v>
      </c>
      <c r="AS5079" s="7">
        <v>0.7188010851410841</v>
      </c>
    </row>
    <row r="5080" spans="44:45" x14ac:dyDescent="0.25">
      <c r="AR5080" s="11">
        <v>0.55500000000000027</v>
      </c>
      <c r="AS5080" s="7">
        <v>0.7188010851410841</v>
      </c>
    </row>
    <row r="5081" spans="44:45" x14ac:dyDescent="0.25">
      <c r="AR5081" s="11">
        <v>0.56500000000000028</v>
      </c>
      <c r="AS5081" s="7">
        <v>0.7188010851410841</v>
      </c>
    </row>
    <row r="5082" spans="44:45" x14ac:dyDescent="0.25">
      <c r="AR5082" s="11">
        <v>0.57500000000000029</v>
      </c>
      <c r="AS5082" s="7">
        <v>0.7188010851410841</v>
      </c>
    </row>
    <row r="5083" spans="44:45" x14ac:dyDescent="0.25">
      <c r="AR5083" s="11">
        <v>0.5850000000000003</v>
      </c>
      <c r="AS5083" s="7">
        <v>0.7188010851410841</v>
      </c>
    </row>
    <row r="5084" spans="44:45" x14ac:dyDescent="0.25">
      <c r="AR5084" s="11"/>
      <c r="AS5084" s="7"/>
    </row>
    <row r="5085" spans="44:45" x14ac:dyDescent="0.25">
      <c r="AR5085" s="11">
        <v>0.42000000000000021</v>
      </c>
      <c r="AS5085" s="7">
        <v>0.72746133917892841</v>
      </c>
    </row>
    <row r="5086" spans="44:45" x14ac:dyDescent="0.25">
      <c r="AR5086" s="11">
        <v>0.43000000000000022</v>
      </c>
      <c r="AS5086" s="7">
        <v>0.72746133917892841</v>
      </c>
    </row>
    <row r="5087" spans="44:45" x14ac:dyDescent="0.25">
      <c r="AR5087" s="11">
        <v>0.44000000000000022</v>
      </c>
      <c r="AS5087" s="7">
        <v>0.72746133917892841</v>
      </c>
    </row>
    <row r="5088" spans="44:45" x14ac:dyDescent="0.25">
      <c r="AR5088" s="11">
        <v>0.45000000000000023</v>
      </c>
      <c r="AS5088" s="7">
        <v>0.72746133917892841</v>
      </c>
    </row>
    <row r="5089" spans="44:45" x14ac:dyDescent="0.25">
      <c r="AR5089" s="11">
        <v>0.46000000000000024</v>
      </c>
      <c r="AS5089" s="7">
        <v>0.72746133917892841</v>
      </c>
    </row>
    <row r="5090" spans="44:45" x14ac:dyDescent="0.25">
      <c r="AR5090" s="11">
        <v>0.47000000000000025</v>
      </c>
      <c r="AS5090" s="7">
        <v>0.72746133917892841</v>
      </c>
    </row>
    <row r="5091" spans="44:45" x14ac:dyDescent="0.25">
      <c r="AR5091" s="11">
        <v>0.48000000000000026</v>
      </c>
      <c r="AS5091" s="7">
        <v>0.72746133917892841</v>
      </c>
    </row>
    <row r="5092" spans="44:45" x14ac:dyDescent="0.25">
      <c r="AR5092" s="11">
        <v>0.49000000000000027</v>
      </c>
      <c r="AS5092" s="7">
        <v>0.72746133917892841</v>
      </c>
    </row>
    <row r="5093" spans="44:45" x14ac:dyDescent="0.25">
      <c r="AR5093" s="11">
        <v>0.50000000000000022</v>
      </c>
      <c r="AS5093" s="7">
        <v>0.72746133917892841</v>
      </c>
    </row>
    <row r="5094" spans="44:45" x14ac:dyDescent="0.25">
      <c r="AR5094" s="11">
        <v>0.51000000000000023</v>
      </c>
      <c r="AS5094" s="7">
        <v>0.72746133917892841</v>
      </c>
    </row>
    <row r="5095" spans="44:45" x14ac:dyDescent="0.25">
      <c r="AR5095" s="11">
        <v>0.52000000000000024</v>
      </c>
      <c r="AS5095" s="7">
        <v>0.72746133917892841</v>
      </c>
    </row>
    <row r="5096" spans="44:45" x14ac:dyDescent="0.25">
      <c r="AR5096" s="11">
        <v>0.53000000000000025</v>
      </c>
      <c r="AS5096" s="7">
        <v>0.72746133917892841</v>
      </c>
    </row>
    <row r="5097" spans="44:45" x14ac:dyDescent="0.25">
      <c r="AR5097" s="11">
        <v>0.54000000000000026</v>
      </c>
      <c r="AS5097" s="7">
        <v>0.72746133917892841</v>
      </c>
    </row>
    <row r="5098" spans="44:45" x14ac:dyDescent="0.25">
      <c r="AR5098" s="11">
        <v>0.55000000000000027</v>
      </c>
      <c r="AS5098" s="7">
        <v>0.72746133917892841</v>
      </c>
    </row>
    <row r="5099" spans="44:45" x14ac:dyDescent="0.25">
      <c r="AR5099" s="11">
        <v>0.56000000000000028</v>
      </c>
      <c r="AS5099" s="7">
        <v>0.72746133917892841</v>
      </c>
    </row>
    <row r="5100" spans="44:45" x14ac:dyDescent="0.25">
      <c r="AR5100" s="11">
        <v>0.57000000000000028</v>
      </c>
      <c r="AS5100" s="7">
        <v>0.72746133917892841</v>
      </c>
    </row>
    <row r="5101" spans="44:45" x14ac:dyDescent="0.25">
      <c r="AR5101" s="11">
        <v>0.58000000000000029</v>
      </c>
      <c r="AS5101" s="7">
        <v>0.72746133917892841</v>
      </c>
    </row>
    <row r="5102" spans="44:45" x14ac:dyDescent="0.25">
      <c r="AR5102" s="11"/>
      <c r="AS5102" s="7"/>
    </row>
    <row r="5103" spans="44:45" x14ac:dyDescent="0.25">
      <c r="AR5103" s="11">
        <v>0.42500000000000021</v>
      </c>
      <c r="AS5103" s="7">
        <v>0.73612159321677273</v>
      </c>
    </row>
    <row r="5104" spans="44:45" x14ac:dyDescent="0.25">
      <c r="AR5104" s="11">
        <v>0.43500000000000022</v>
      </c>
      <c r="AS5104" s="7">
        <v>0.73612159321677273</v>
      </c>
    </row>
    <row r="5105" spans="44:45" x14ac:dyDescent="0.25">
      <c r="AR5105" s="11">
        <v>0.44500000000000023</v>
      </c>
      <c r="AS5105" s="7">
        <v>0.73612159321677273</v>
      </c>
    </row>
    <row r="5106" spans="44:45" x14ac:dyDescent="0.25">
      <c r="AR5106" s="11">
        <v>0.45500000000000024</v>
      </c>
      <c r="AS5106" s="7">
        <v>0.73612159321677273</v>
      </c>
    </row>
    <row r="5107" spans="44:45" x14ac:dyDescent="0.25">
      <c r="AR5107" s="11">
        <v>0.46500000000000025</v>
      </c>
      <c r="AS5107" s="7">
        <v>0.73612159321677273</v>
      </c>
    </row>
    <row r="5108" spans="44:45" x14ac:dyDescent="0.25">
      <c r="AR5108" s="11">
        <v>0.47500000000000026</v>
      </c>
      <c r="AS5108" s="7">
        <v>0.73612159321677273</v>
      </c>
    </row>
    <row r="5109" spans="44:45" x14ac:dyDescent="0.25">
      <c r="AR5109" s="11">
        <v>0.48500000000000026</v>
      </c>
      <c r="AS5109" s="7">
        <v>0.73612159321677273</v>
      </c>
    </row>
    <row r="5110" spans="44:45" x14ac:dyDescent="0.25">
      <c r="AR5110" s="11">
        <v>0.49500000000000027</v>
      </c>
      <c r="AS5110" s="7">
        <v>0.73612159321677273</v>
      </c>
    </row>
    <row r="5111" spans="44:45" x14ac:dyDescent="0.25">
      <c r="AR5111" s="11">
        <v>0.50500000000000023</v>
      </c>
      <c r="AS5111" s="7">
        <v>0.73612159321677273</v>
      </c>
    </row>
    <row r="5112" spans="44:45" x14ac:dyDescent="0.25">
      <c r="AR5112" s="11">
        <v>0.51500000000000024</v>
      </c>
      <c r="AS5112" s="7">
        <v>0.73612159321677273</v>
      </c>
    </row>
    <row r="5113" spans="44:45" x14ac:dyDescent="0.25">
      <c r="AR5113" s="11">
        <v>0.52500000000000024</v>
      </c>
      <c r="AS5113" s="7">
        <v>0.73612159321677273</v>
      </c>
    </row>
    <row r="5114" spans="44:45" x14ac:dyDescent="0.25">
      <c r="AR5114" s="11">
        <v>0.53500000000000025</v>
      </c>
      <c r="AS5114" s="7">
        <v>0.73612159321677273</v>
      </c>
    </row>
    <row r="5115" spans="44:45" x14ac:dyDescent="0.25">
      <c r="AR5115" s="11">
        <v>0.54500000000000026</v>
      </c>
      <c r="AS5115" s="7">
        <v>0.73612159321677273</v>
      </c>
    </row>
    <row r="5116" spans="44:45" x14ac:dyDescent="0.25">
      <c r="AR5116" s="11">
        <v>0.55500000000000027</v>
      </c>
      <c r="AS5116" s="7">
        <v>0.73612159321677273</v>
      </c>
    </row>
    <row r="5117" spans="44:45" x14ac:dyDescent="0.25">
      <c r="AR5117" s="11">
        <v>0.56500000000000028</v>
      </c>
      <c r="AS5117" s="7">
        <v>0.73612159321677273</v>
      </c>
    </row>
    <row r="5118" spans="44:45" x14ac:dyDescent="0.25">
      <c r="AR5118" s="11">
        <v>0.57500000000000029</v>
      </c>
      <c r="AS5118" s="7">
        <v>0.73612159321677273</v>
      </c>
    </row>
    <row r="5119" spans="44:45" x14ac:dyDescent="0.25">
      <c r="AR5119" s="11"/>
      <c r="AS5119" s="7"/>
    </row>
    <row r="5120" spans="44:45" x14ac:dyDescent="0.25">
      <c r="AR5120" s="11">
        <v>0.43000000000000022</v>
      </c>
      <c r="AS5120" s="7">
        <v>0.74478184725461727</v>
      </c>
    </row>
    <row r="5121" spans="44:45" x14ac:dyDescent="0.25">
      <c r="AR5121" s="11">
        <v>0.44000000000000022</v>
      </c>
      <c r="AS5121" s="7">
        <v>0.74478184725461727</v>
      </c>
    </row>
    <row r="5122" spans="44:45" x14ac:dyDescent="0.25">
      <c r="AR5122" s="11">
        <v>0.45000000000000023</v>
      </c>
      <c r="AS5122" s="7">
        <v>0.74478184725461727</v>
      </c>
    </row>
    <row r="5123" spans="44:45" x14ac:dyDescent="0.25">
      <c r="AR5123" s="11">
        <v>0.46000000000000024</v>
      </c>
      <c r="AS5123" s="7">
        <v>0.74478184725461727</v>
      </c>
    </row>
    <row r="5124" spans="44:45" x14ac:dyDescent="0.25">
      <c r="AR5124" s="11">
        <v>0.47000000000000025</v>
      </c>
      <c r="AS5124" s="7">
        <v>0.74478184725461727</v>
      </c>
    </row>
    <row r="5125" spans="44:45" x14ac:dyDescent="0.25">
      <c r="AR5125" s="11">
        <v>0.48000000000000026</v>
      </c>
      <c r="AS5125" s="7">
        <v>0.74478184725461727</v>
      </c>
    </row>
    <row r="5126" spans="44:45" x14ac:dyDescent="0.25">
      <c r="AR5126" s="11">
        <v>0.49000000000000027</v>
      </c>
      <c r="AS5126" s="7">
        <v>0.74478184725461727</v>
      </c>
    </row>
    <row r="5127" spans="44:45" x14ac:dyDescent="0.25">
      <c r="AR5127" s="11">
        <v>0.50000000000000022</v>
      </c>
      <c r="AS5127" s="7">
        <v>0.74478184725461727</v>
      </c>
    </row>
    <row r="5128" spans="44:45" x14ac:dyDescent="0.25">
      <c r="AR5128" s="11">
        <v>0.51000000000000023</v>
      </c>
      <c r="AS5128" s="7">
        <v>0.74478184725461727</v>
      </c>
    </row>
    <row r="5129" spans="44:45" x14ac:dyDescent="0.25">
      <c r="AR5129" s="11">
        <v>0.52000000000000024</v>
      </c>
      <c r="AS5129" s="7">
        <v>0.74478184725461727</v>
      </c>
    </row>
    <row r="5130" spans="44:45" x14ac:dyDescent="0.25">
      <c r="AR5130" s="11">
        <v>0.53000000000000025</v>
      </c>
      <c r="AS5130" s="7">
        <v>0.74478184725461727</v>
      </c>
    </row>
    <row r="5131" spans="44:45" x14ac:dyDescent="0.25">
      <c r="AR5131" s="11">
        <v>0.54000000000000026</v>
      </c>
      <c r="AS5131" s="7">
        <v>0.74478184725461727</v>
      </c>
    </row>
    <row r="5132" spans="44:45" x14ac:dyDescent="0.25">
      <c r="AR5132" s="11">
        <v>0.55000000000000027</v>
      </c>
      <c r="AS5132" s="7">
        <v>0.74478184725461727</v>
      </c>
    </row>
    <row r="5133" spans="44:45" x14ac:dyDescent="0.25">
      <c r="AR5133" s="11">
        <v>0.56000000000000028</v>
      </c>
      <c r="AS5133" s="7">
        <v>0.74478184725461727</v>
      </c>
    </row>
    <row r="5134" spans="44:45" x14ac:dyDescent="0.25">
      <c r="AR5134" s="11">
        <v>0.57000000000000028</v>
      </c>
      <c r="AS5134" s="7">
        <v>0.74478184725461727</v>
      </c>
    </row>
    <row r="5135" spans="44:45" x14ac:dyDescent="0.25">
      <c r="AR5135" s="11"/>
      <c r="AS5135" s="7"/>
    </row>
    <row r="5136" spans="44:45" x14ac:dyDescent="0.25">
      <c r="AR5136" s="11">
        <v>0.43500000000000022</v>
      </c>
      <c r="AS5136" s="7">
        <v>0.7534421012924617</v>
      </c>
    </row>
    <row r="5137" spans="44:45" x14ac:dyDescent="0.25">
      <c r="AR5137" s="11">
        <v>0.44500000000000023</v>
      </c>
      <c r="AS5137" s="7">
        <v>0.7534421012924617</v>
      </c>
    </row>
    <row r="5138" spans="44:45" x14ac:dyDescent="0.25">
      <c r="AR5138" s="11">
        <v>0.45500000000000024</v>
      </c>
      <c r="AS5138" s="7">
        <v>0.7534421012924617</v>
      </c>
    </row>
    <row r="5139" spans="44:45" x14ac:dyDescent="0.25">
      <c r="AR5139" s="11">
        <v>0.46500000000000025</v>
      </c>
      <c r="AS5139" s="7">
        <v>0.7534421012924617</v>
      </c>
    </row>
    <row r="5140" spans="44:45" x14ac:dyDescent="0.25">
      <c r="AR5140" s="11">
        <v>0.47500000000000026</v>
      </c>
      <c r="AS5140" s="7">
        <v>0.7534421012924617</v>
      </c>
    </row>
    <row r="5141" spans="44:45" x14ac:dyDescent="0.25">
      <c r="AR5141" s="11">
        <v>0.48500000000000026</v>
      </c>
      <c r="AS5141" s="7">
        <v>0.7534421012924617</v>
      </c>
    </row>
    <row r="5142" spans="44:45" x14ac:dyDescent="0.25">
      <c r="AR5142" s="11">
        <v>0.49500000000000027</v>
      </c>
      <c r="AS5142" s="7">
        <v>0.7534421012924617</v>
      </c>
    </row>
    <row r="5143" spans="44:45" x14ac:dyDescent="0.25">
      <c r="AR5143" s="11">
        <v>0.50500000000000023</v>
      </c>
      <c r="AS5143" s="7">
        <v>0.7534421012924617</v>
      </c>
    </row>
    <row r="5144" spans="44:45" x14ac:dyDescent="0.25">
      <c r="AR5144" s="11">
        <v>0.51500000000000024</v>
      </c>
      <c r="AS5144" s="7">
        <v>0.7534421012924617</v>
      </c>
    </row>
    <row r="5145" spans="44:45" x14ac:dyDescent="0.25">
      <c r="AR5145" s="11">
        <v>0.52500000000000024</v>
      </c>
      <c r="AS5145" s="7">
        <v>0.7534421012924617</v>
      </c>
    </row>
    <row r="5146" spans="44:45" x14ac:dyDescent="0.25">
      <c r="AR5146" s="11">
        <v>0.53500000000000025</v>
      </c>
      <c r="AS5146" s="7">
        <v>0.7534421012924617</v>
      </c>
    </row>
    <row r="5147" spans="44:45" x14ac:dyDescent="0.25">
      <c r="AR5147" s="11">
        <v>0.54500000000000026</v>
      </c>
      <c r="AS5147" s="7">
        <v>0.7534421012924617</v>
      </c>
    </row>
    <row r="5148" spans="44:45" x14ac:dyDescent="0.25">
      <c r="AR5148" s="11">
        <v>0.55500000000000027</v>
      </c>
      <c r="AS5148" s="7">
        <v>0.7534421012924617</v>
      </c>
    </row>
    <row r="5149" spans="44:45" x14ac:dyDescent="0.25">
      <c r="AR5149" s="11">
        <v>0.56500000000000028</v>
      </c>
      <c r="AS5149" s="7">
        <v>0.7534421012924617</v>
      </c>
    </row>
    <row r="5150" spans="44:45" x14ac:dyDescent="0.25">
      <c r="AR5150" s="11"/>
      <c r="AS5150" s="7"/>
    </row>
    <row r="5151" spans="44:45" x14ac:dyDescent="0.25">
      <c r="AR5151" s="11">
        <v>0.44000000000000022</v>
      </c>
      <c r="AS5151" s="7">
        <v>0.76210235533030601</v>
      </c>
    </row>
    <row r="5152" spans="44:45" x14ac:dyDescent="0.25">
      <c r="AR5152" s="11">
        <v>0.45000000000000023</v>
      </c>
      <c r="AS5152" s="7">
        <v>0.76210235533030601</v>
      </c>
    </row>
    <row r="5153" spans="44:45" x14ac:dyDescent="0.25">
      <c r="AR5153" s="11">
        <v>0.46000000000000024</v>
      </c>
      <c r="AS5153" s="7">
        <v>0.76210235533030601</v>
      </c>
    </row>
    <row r="5154" spans="44:45" x14ac:dyDescent="0.25">
      <c r="AR5154" s="11">
        <v>0.47000000000000025</v>
      </c>
      <c r="AS5154" s="7">
        <v>0.76210235533030601</v>
      </c>
    </row>
    <row r="5155" spans="44:45" x14ac:dyDescent="0.25">
      <c r="AR5155" s="11">
        <v>0.48000000000000026</v>
      </c>
      <c r="AS5155" s="7">
        <v>0.76210235533030601</v>
      </c>
    </row>
    <row r="5156" spans="44:45" x14ac:dyDescent="0.25">
      <c r="AR5156" s="11">
        <v>0.49000000000000027</v>
      </c>
      <c r="AS5156" s="7">
        <v>0.76210235533030601</v>
      </c>
    </row>
    <row r="5157" spans="44:45" x14ac:dyDescent="0.25">
      <c r="AR5157" s="11">
        <v>0.50000000000000022</v>
      </c>
      <c r="AS5157" s="7">
        <v>0.76210235533030601</v>
      </c>
    </row>
    <row r="5158" spans="44:45" x14ac:dyDescent="0.25">
      <c r="AR5158" s="11">
        <v>0.51000000000000023</v>
      </c>
      <c r="AS5158" s="7">
        <v>0.76210235533030601</v>
      </c>
    </row>
    <row r="5159" spans="44:45" x14ac:dyDescent="0.25">
      <c r="AR5159" s="11">
        <v>0.52000000000000024</v>
      </c>
      <c r="AS5159" s="7">
        <v>0.76210235533030601</v>
      </c>
    </row>
    <row r="5160" spans="44:45" x14ac:dyDescent="0.25">
      <c r="AR5160" s="11">
        <v>0.53000000000000025</v>
      </c>
      <c r="AS5160" s="7">
        <v>0.76210235533030601</v>
      </c>
    </row>
    <row r="5161" spans="44:45" x14ac:dyDescent="0.25">
      <c r="AR5161" s="11">
        <v>0.54000000000000026</v>
      </c>
      <c r="AS5161" s="7">
        <v>0.76210235533030601</v>
      </c>
    </row>
    <row r="5162" spans="44:45" x14ac:dyDescent="0.25">
      <c r="AR5162" s="11">
        <v>0.55000000000000027</v>
      </c>
      <c r="AS5162" s="7">
        <v>0.76210235533030601</v>
      </c>
    </row>
    <row r="5163" spans="44:45" x14ac:dyDescent="0.25">
      <c r="AR5163" s="11">
        <v>0.56000000000000028</v>
      </c>
      <c r="AS5163" s="7">
        <v>0.76210235533030601</v>
      </c>
    </row>
    <row r="5164" spans="44:45" x14ac:dyDescent="0.25">
      <c r="AR5164" s="11"/>
      <c r="AS5164" s="7"/>
    </row>
    <row r="5165" spans="44:45" x14ac:dyDescent="0.25">
      <c r="AR5165" s="11">
        <v>0.44500000000000023</v>
      </c>
      <c r="AS5165" s="7">
        <v>0.77076260936815044</v>
      </c>
    </row>
    <row r="5166" spans="44:45" x14ac:dyDescent="0.25">
      <c r="AR5166" s="11">
        <v>0.45500000000000024</v>
      </c>
      <c r="AS5166" s="7">
        <v>0.77076260936815044</v>
      </c>
    </row>
    <row r="5167" spans="44:45" x14ac:dyDescent="0.25">
      <c r="AR5167" s="11">
        <v>0.46500000000000025</v>
      </c>
      <c r="AS5167" s="7">
        <v>0.77076260936815044</v>
      </c>
    </row>
    <row r="5168" spans="44:45" x14ac:dyDescent="0.25">
      <c r="AR5168" s="11">
        <v>0.47500000000000026</v>
      </c>
      <c r="AS5168" s="7">
        <v>0.77076260936815044</v>
      </c>
    </row>
    <row r="5169" spans="44:45" x14ac:dyDescent="0.25">
      <c r="AR5169" s="11">
        <v>0.48500000000000026</v>
      </c>
      <c r="AS5169" s="7">
        <v>0.77076260936815044</v>
      </c>
    </row>
    <row r="5170" spans="44:45" x14ac:dyDescent="0.25">
      <c r="AR5170" s="11">
        <v>0.49500000000000027</v>
      </c>
      <c r="AS5170" s="7">
        <v>0.77076260936815044</v>
      </c>
    </row>
    <row r="5171" spans="44:45" x14ac:dyDescent="0.25">
      <c r="AR5171" s="11">
        <v>0.50500000000000023</v>
      </c>
      <c r="AS5171" s="7">
        <v>0.77076260936815044</v>
      </c>
    </row>
    <row r="5172" spans="44:45" x14ac:dyDescent="0.25">
      <c r="AR5172" s="11">
        <v>0.51500000000000024</v>
      </c>
      <c r="AS5172" s="7">
        <v>0.77076260936815044</v>
      </c>
    </row>
    <row r="5173" spans="44:45" x14ac:dyDescent="0.25">
      <c r="AR5173" s="11">
        <v>0.52500000000000024</v>
      </c>
      <c r="AS5173" s="7">
        <v>0.77076260936815044</v>
      </c>
    </row>
    <row r="5174" spans="44:45" x14ac:dyDescent="0.25">
      <c r="AR5174" s="11">
        <v>0.53500000000000025</v>
      </c>
      <c r="AS5174" s="7">
        <v>0.77076260936815044</v>
      </c>
    </row>
    <row r="5175" spans="44:45" x14ac:dyDescent="0.25">
      <c r="AR5175" s="11">
        <v>0.54500000000000026</v>
      </c>
      <c r="AS5175" s="7">
        <v>0.77076260936815044</v>
      </c>
    </row>
    <row r="5176" spans="44:45" x14ac:dyDescent="0.25">
      <c r="AR5176" s="11">
        <v>0.55500000000000027</v>
      </c>
      <c r="AS5176" s="7">
        <v>0.77076260936815044</v>
      </c>
    </row>
    <row r="5177" spans="44:45" x14ac:dyDescent="0.25">
      <c r="AR5177" s="11"/>
      <c r="AS5177" s="7"/>
    </row>
    <row r="5178" spans="44:45" x14ac:dyDescent="0.25">
      <c r="AR5178" s="11">
        <v>0.45000000000000023</v>
      </c>
      <c r="AS5178" s="7">
        <v>0.77942286340599476</v>
      </c>
    </row>
    <row r="5179" spans="44:45" x14ac:dyDescent="0.25">
      <c r="AR5179" s="11">
        <v>0.46000000000000024</v>
      </c>
      <c r="AS5179" s="7">
        <v>0.77942286340599476</v>
      </c>
    </row>
    <row r="5180" spans="44:45" x14ac:dyDescent="0.25">
      <c r="AR5180" s="11">
        <v>0.47000000000000025</v>
      </c>
      <c r="AS5180" s="7">
        <v>0.77942286340599476</v>
      </c>
    </row>
    <row r="5181" spans="44:45" x14ac:dyDescent="0.25">
      <c r="AR5181" s="11">
        <v>0.48000000000000026</v>
      </c>
      <c r="AS5181" s="7">
        <v>0.77942286340599476</v>
      </c>
    </row>
    <row r="5182" spans="44:45" x14ac:dyDescent="0.25">
      <c r="AR5182" s="11">
        <v>0.49000000000000027</v>
      </c>
      <c r="AS5182" s="7">
        <v>0.77942286340599476</v>
      </c>
    </row>
    <row r="5183" spans="44:45" x14ac:dyDescent="0.25">
      <c r="AR5183" s="11">
        <v>0.50000000000000022</v>
      </c>
      <c r="AS5183" s="7">
        <v>0.77942286340599476</v>
      </c>
    </row>
    <row r="5184" spans="44:45" x14ac:dyDescent="0.25">
      <c r="AR5184" s="11">
        <v>0.51000000000000023</v>
      </c>
      <c r="AS5184" s="7">
        <v>0.77942286340599476</v>
      </c>
    </row>
    <row r="5185" spans="44:45" x14ac:dyDescent="0.25">
      <c r="AR5185" s="11">
        <v>0.52000000000000024</v>
      </c>
      <c r="AS5185" s="7">
        <v>0.77942286340599476</v>
      </c>
    </row>
    <row r="5186" spans="44:45" x14ac:dyDescent="0.25">
      <c r="AR5186" s="11">
        <v>0.53000000000000025</v>
      </c>
      <c r="AS5186" s="7">
        <v>0.77942286340599476</v>
      </c>
    </row>
    <row r="5187" spans="44:45" x14ac:dyDescent="0.25">
      <c r="AR5187" s="11">
        <v>0.54000000000000026</v>
      </c>
      <c r="AS5187" s="7">
        <v>0.77942286340599476</v>
      </c>
    </row>
    <row r="5188" spans="44:45" x14ac:dyDescent="0.25">
      <c r="AR5188" s="11">
        <v>0.55000000000000027</v>
      </c>
      <c r="AS5188" s="7">
        <v>0.77942286340599476</v>
      </c>
    </row>
    <row r="5189" spans="44:45" x14ac:dyDescent="0.25">
      <c r="AR5189" s="11"/>
      <c r="AS5189" s="7"/>
    </row>
    <row r="5190" spans="44:45" x14ac:dyDescent="0.25">
      <c r="AR5190" s="11">
        <v>0.45500000000000024</v>
      </c>
      <c r="AS5190" s="7">
        <v>0.78808311744383919</v>
      </c>
    </row>
    <row r="5191" spans="44:45" x14ac:dyDescent="0.25">
      <c r="AR5191" s="11">
        <v>0.46500000000000025</v>
      </c>
      <c r="AS5191" s="7">
        <v>0.78808311744383919</v>
      </c>
    </row>
    <row r="5192" spans="44:45" x14ac:dyDescent="0.25">
      <c r="AR5192" s="11">
        <v>0.47500000000000026</v>
      </c>
      <c r="AS5192" s="7">
        <v>0.78808311744383919</v>
      </c>
    </row>
    <row r="5193" spans="44:45" x14ac:dyDescent="0.25">
      <c r="AR5193" s="11">
        <v>0.48500000000000026</v>
      </c>
      <c r="AS5193" s="7">
        <v>0.78808311744383919</v>
      </c>
    </row>
    <row r="5194" spans="44:45" x14ac:dyDescent="0.25">
      <c r="AR5194" s="11">
        <v>0.49500000000000027</v>
      </c>
      <c r="AS5194" s="7">
        <v>0.78808311744383919</v>
      </c>
    </row>
    <row r="5195" spans="44:45" x14ac:dyDescent="0.25">
      <c r="AR5195" s="11">
        <v>0.50500000000000023</v>
      </c>
      <c r="AS5195" s="7">
        <v>0.78808311744383919</v>
      </c>
    </row>
    <row r="5196" spans="44:45" x14ac:dyDescent="0.25">
      <c r="AR5196" s="11">
        <v>0.51500000000000024</v>
      </c>
      <c r="AS5196" s="7">
        <v>0.78808311744383919</v>
      </c>
    </row>
    <row r="5197" spans="44:45" x14ac:dyDescent="0.25">
      <c r="AR5197" s="11">
        <v>0.52500000000000024</v>
      </c>
      <c r="AS5197" s="7">
        <v>0.78808311744383919</v>
      </c>
    </row>
    <row r="5198" spans="44:45" x14ac:dyDescent="0.25">
      <c r="AR5198" s="11">
        <v>0.53500000000000025</v>
      </c>
      <c r="AS5198" s="7">
        <v>0.78808311744383919</v>
      </c>
    </row>
    <row r="5199" spans="44:45" x14ac:dyDescent="0.25">
      <c r="AR5199" s="11">
        <v>0.54500000000000026</v>
      </c>
      <c r="AS5199" s="7">
        <v>0.78808311744383919</v>
      </c>
    </row>
    <row r="5200" spans="44:45" x14ac:dyDescent="0.25">
      <c r="AR5200" s="11"/>
      <c r="AS5200" s="7"/>
    </row>
    <row r="5201" spans="44:45" x14ac:dyDescent="0.25">
      <c r="AR5201" s="11">
        <v>0.46000000000000024</v>
      </c>
      <c r="AS5201" s="7">
        <v>0.79674337148168362</v>
      </c>
    </row>
    <row r="5202" spans="44:45" x14ac:dyDescent="0.25">
      <c r="AR5202" s="11">
        <v>0.47000000000000025</v>
      </c>
      <c r="AS5202" s="7">
        <v>0.79674337148168362</v>
      </c>
    </row>
    <row r="5203" spans="44:45" x14ac:dyDescent="0.25">
      <c r="AR5203" s="11">
        <v>0.48000000000000026</v>
      </c>
      <c r="AS5203" s="7">
        <v>0.79674337148168362</v>
      </c>
    </row>
    <row r="5204" spans="44:45" x14ac:dyDescent="0.25">
      <c r="AR5204" s="11">
        <v>0.49000000000000027</v>
      </c>
      <c r="AS5204" s="7">
        <v>0.79674337148168362</v>
      </c>
    </row>
    <row r="5205" spans="44:45" x14ac:dyDescent="0.25">
      <c r="AR5205" s="11">
        <v>0.50000000000000022</v>
      </c>
      <c r="AS5205" s="7">
        <v>0.79674337148168362</v>
      </c>
    </row>
    <row r="5206" spans="44:45" x14ac:dyDescent="0.25">
      <c r="AR5206" s="11">
        <v>0.51000000000000023</v>
      </c>
      <c r="AS5206" s="7">
        <v>0.79674337148168362</v>
      </c>
    </row>
    <row r="5207" spans="44:45" x14ac:dyDescent="0.25">
      <c r="AR5207" s="11">
        <v>0.52000000000000024</v>
      </c>
      <c r="AS5207" s="7">
        <v>0.79674337148168362</v>
      </c>
    </row>
    <row r="5208" spans="44:45" x14ac:dyDescent="0.25">
      <c r="AR5208" s="11">
        <v>0.53000000000000025</v>
      </c>
      <c r="AS5208" s="7">
        <v>0.79674337148168362</v>
      </c>
    </row>
    <row r="5209" spans="44:45" x14ac:dyDescent="0.25">
      <c r="AR5209" s="11">
        <v>0.54000000000000026</v>
      </c>
      <c r="AS5209" s="7">
        <v>0.79674337148168362</v>
      </c>
    </row>
    <row r="5210" spans="44:45" x14ac:dyDescent="0.25">
      <c r="AR5210" s="11"/>
      <c r="AS5210" s="7"/>
    </row>
    <row r="5211" spans="44:45" x14ac:dyDescent="0.25">
      <c r="AR5211" s="11">
        <v>0.46500000000000025</v>
      </c>
      <c r="AS5211" s="7">
        <v>0.80540362551952804</v>
      </c>
    </row>
    <row r="5212" spans="44:45" x14ac:dyDescent="0.25">
      <c r="AR5212" s="11">
        <v>0.47500000000000026</v>
      </c>
      <c r="AS5212" s="7">
        <v>0.80540362551952804</v>
      </c>
    </row>
    <row r="5213" spans="44:45" x14ac:dyDescent="0.25">
      <c r="AR5213" s="11">
        <v>0.48500000000000026</v>
      </c>
      <c r="AS5213" s="7">
        <v>0.80540362551952804</v>
      </c>
    </row>
    <row r="5214" spans="44:45" x14ac:dyDescent="0.25">
      <c r="AR5214" s="11">
        <v>0.49500000000000027</v>
      </c>
      <c r="AS5214" s="7">
        <v>0.80540362551952804</v>
      </c>
    </row>
    <row r="5215" spans="44:45" x14ac:dyDescent="0.25">
      <c r="AR5215" s="11">
        <v>0.50500000000000023</v>
      </c>
      <c r="AS5215" s="7">
        <v>0.80540362551952804</v>
      </c>
    </row>
    <row r="5216" spans="44:45" x14ac:dyDescent="0.25">
      <c r="AR5216" s="11">
        <v>0.51500000000000024</v>
      </c>
      <c r="AS5216" s="7">
        <v>0.80540362551952804</v>
      </c>
    </row>
    <row r="5217" spans="44:45" x14ac:dyDescent="0.25">
      <c r="AR5217" s="11">
        <v>0.52500000000000024</v>
      </c>
      <c r="AS5217" s="7">
        <v>0.80540362551952804</v>
      </c>
    </row>
    <row r="5218" spans="44:45" x14ac:dyDescent="0.25">
      <c r="AR5218" s="11">
        <v>0.53500000000000025</v>
      </c>
      <c r="AS5218" s="7">
        <v>0.80540362551952804</v>
      </c>
    </row>
    <row r="5219" spans="44:45" x14ac:dyDescent="0.25">
      <c r="AR5219" s="11"/>
      <c r="AS5219" s="7"/>
    </row>
    <row r="5220" spans="44:45" x14ac:dyDescent="0.25">
      <c r="AR5220" s="11">
        <v>0.47000000000000025</v>
      </c>
      <c r="AS5220" s="7">
        <v>0.81406387955737225</v>
      </c>
    </row>
    <row r="5221" spans="44:45" x14ac:dyDescent="0.25">
      <c r="AR5221" s="11">
        <v>0.48000000000000026</v>
      </c>
      <c r="AS5221" s="7">
        <v>0.81406387955737225</v>
      </c>
    </row>
    <row r="5222" spans="44:45" x14ac:dyDescent="0.25">
      <c r="AR5222" s="11">
        <v>0.49000000000000027</v>
      </c>
      <c r="AS5222" s="7">
        <v>0.81406387955737225</v>
      </c>
    </row>
    <row r="5223" spans="44:45" x14ac:dyDescent="0.25">
      <c r="AR5223" s="11">
        <v>0.50000000000000022</v>
      </c>
      <c r="AS5223" s="7">
        <v>0.81406387955737225</v>
      </c>
    </row>
    <row r="5224" spans="44:45" x14ac:dyDescent="0.25">
      <c r="AR5224" s="11">
        <v>0.51000000000000023</v>
      </c>
      <c r="AS5224" s="7">
        <v>0.81406387955737225</v>
      </c>
    </row>
    <row r="5225" spans="44:45" x14ac:dyDescent="0.25">
      <c r="AR5225" s="11">
        <v>0.52000000000000024</v>
      </c>
      <c r="AS5225" s="7">
        <v>0.81406387955737225</v>
      </c>
    </row>
    <row r="5226" spans="44:45" x14ac:dyDescent="0.25">
      <c r="AR5226" s="11">
        <v>0.53000000000000025</v>
      </c>
      <c r="AS5226" s="7">
        <v>0.81406387955737225</v>
      </c>
    </row>
    <row r="5227" spans="44:45" x14ac:dyDescent="0.25">
      <c r="AR5227" s="11"/>
      <c r="AS5227" s="7"/>
    </row>
    <row r="5228" spans="44:45" x14ac:dyDescent="0.25">
      <c r="AR5228" s="11">
        <v>0.47500000000000026</v>
      </c>
      <c r="AS5228" s="7">
        <v>0.82272413359521668</v>
      </c>
    </row>
    <row r="5229" spans="44:45" x14ac:dyDescent="0.25">
      <c r="AR5229" s="11">
        <v>0.48500000000000026</v>
      </c>
      <c r="AS5229" s="7">
        <v>0.82272413359521668</v>
      </c>
    </row>
    <row r="5230" spans="44:45" x14ac:dyDescent="0.25">
      <c r="AR5230" s="11">
        <v>0.49500000000000027</v>
      </c>
      <c r="AS5230" s="7">
        <v>0.82272413359521668</v>
      </c>
    </row>
    <row r="5231" spans="44:45" x14ac:dyDescent="0.25">
      <c r="AR5231" s="11">
        <v>0.50500000000000023</v>
      </c>
      <c r="AS5231" s="7">
        <v>0.82272413359521668</v>
      </c>
    </row>
    <row r="5232" spans="44:45" x14ac:dyDescent="0.25">
      <c r="AR5232" s="11">
        <v>0.51500000000000024</v>
      </c>
      <c r="AS5232" s="7">
        <v>0.82272413359521668</v>
      </c>
    </row>
    <row r="5233" spans="44:45" x14ac:dyDescent="0.25">
      <c r="AR5233" s="11">
        <v>0.52500000000000024</v>
      </c>
      <c r="AS5233" s="7">
        <v>0.82272413359521668</v>
      </c>
    </row>
    <row r="5234" spans="44:45" x14ac:dyDescent="0.25">
      <c r="AR5234" s="11"/>
      <c r="AS5234" s="7"/>
    </row>
    <row r="5235" spans="44:45" x14ac:dyDescent="0.25">
      <c r="AR5235" s="11">
        <v>0.48000000000000026</v>
      </c>
      <c r="AS5235" s="7">
        <v>0.83138438763306111</v>
      </c>
    </row>
    <row r="5236" spans="44:45" x14ac:dyDescent="0.25">
      <c r="AR5236" s="11">
        <v>0.49000000000000027</v>
      </c>
      <c r="AS5236" s="7">
        <v>0.83138438763306111</v>
      </c>
    </row>
    <row r="5237" spans="44:45" x14ac:dyDescent="0.25">
      <c r="AR5237" s="11">
        <v>0.50000000000000022</v>
      </c>
      <c r="AS5237" s="7">
        <v>0.83138438763306111</v>
      </c>
    </row>
    <row r="5238" spans="44:45" x14ac:dyDescent="0.25">
      <c r="AR5238" s="11">
        <v>0.51000000000000023</v>
      </c>
      <c r="AS5238" s="7">
        <v>0.83138438763306111</v>
      </c>
    </row>
    <row r="5239" spans="44:45" x14ac:dyDescent="0.25">
      <c r="AR5239" s="11">
        <v>0.52000000000000024</v>
      </c>
      <c r="AS5239" s="7">
        <v>0.83138438763306111</v>
      </c>
    </row>
    <row r="5240" spans="44:45" x14ac:dyDescent="0.25">
      <c r="AR5240" s="11"/>
      <c r="AS5240" s="7"/>
    </row>
    <row r="5241" spans="44:45" x14ac:dyDescent="0.25">
      <c r="AR5241" s="11">
        <v>0.48500000000000026</v>
      </c>
      <c r="AS5241" s="7">
        <v>0.84004464167090542</v>
      </c>
    </row>
    <row r="5242" spans="44:45" x14ac:dyDescent="0.25">
      <c r="AR5242" s="11">
        <v>0.49500000000000027</v>
      </c>
      <c r="AS5242" s="7">
        <v>0.84004464167090542</v>
      </c>
    </row>
    <row r="5243" spans="44:45" x14ac:dyDescent="0.25">
      <c r="AR5243" s="11">
        <v>0.50500000000000023</v>
      </c>
      <c r="AS5243" s="7">
        <v>0.84004464167090542</v>
      </c>
    </row>
    <row r="5244" spans="44:45" x14ac:dyDescent="0.25">
      <c r="AR5244" s="11">
        <v>0.51500000000000024</v>
      </c>
      <c r="AS5244" s="7">
        <v>0.84004464167090542</v>
      </c>
    </row>
    <row r="5245" spans="44:45" x14ac:dyDescent="0.25">
      <c r="AR5245" s="11"/>
      <c r="AS5245" s="7"/>
    </row>
    <row r="5246" spans="44:45" x14ac:dyDescent="0.25">
      <c r="AR5246" s="11">
        <v>0.49000000000000027</v>
      </c>
      <c r="AS5246" s="7">
        <v>0.84870489570874985</v>
      </c>
    </row>
    <row r="5247" spans="44:45" x14ac:dyDescent="0.25">
      <c r="AR5247" s="11">
        <v>0.50000000000000022</v>
      </c>
      <c r="AS5247" s="7">
        <v>0.84870489570874985</v>
      </c>
    </row>
    <row r="5248" spans="44:45" x14ac:dyDescent="0.25">
      <c r="AR5248" s="11">
        <v>0.51000000000000023</v>
      </c>
      <c r="AS5248" s="7">
        <v>0.84870489570874985</v>
      </c>
    </row>
    <row r="5249" spans="44:45" x14ac:dyDescent="0.25">
      <c r="AR5249" s="11"/>
      <c r="AS5249" s="7"/>
    </row>
    <row r="5250" spans="44:45" x14ac:dyDescent="0.25">
      <c r="AR5250" s="11">
        <v>0.49500000000000027</v>
      </c>
      <c r="AS5250" s="7">
        <v>0.85736514974659417</v>
      </c>
    </row>
    <row r="5251" spans="44:45" x14ac:dyDescent="0.25">
      <c r="AR5251" s="11">
        <v>0.50500000000000023</v>
      </c>
      <c r="AS5251" s="7">
        <v>0.85736514974659417</v>
      </c>
    </row>
    <row r="5252" spans="44:45" x14ac:dyDescent="0.25">
      <c r="AR5252" s="11"/>
      <c r="AS5252" s="7"/>
    </row>
    <row r="5253" spans="44:45" x14ac:dyDescent="0.25">
      <c r="AR5253" s="12">
        <v>0.5</v>
      </c>
      <c r="AS5253" s="9">
        <v>0.8660254037844386</v>
      </c>
    </row>
  </sheetData>
  <sheetProtection algorithmName="SHA-512" hashValue="9qN3d1+AZ0qSiK3WeSNFtdQvD17cPXypEKvIRp89+3IdnwgwYKUfVnmO+B5Mv/vJzCAXxOoxqlIsIMmk/mMgQw==" saltValue="0FIPOYY0gB+sdrroMuXwOw==" spinCount="100000" sheet="1" objects="1" scenarios="1"/>
  <mergeCells count="37">
    <mergeCell ref="BM1:BN1"/>
    <mergeCell ref="BJ1:BK1"/>
    <mergeCell ref="BF1:BH1"/>
    <mergeCell ref="BA40:BB40"/>
    <mergeCell ref="BA49:BB49"/>
    <mergeCell ref="BA1:BB1"/>
    <mergeCell ref="BA8:BB8"/>
    <mergeCell ref="BA16:BB16"/>
    <mergeCell ref="BA24:BB24"/>
    <mergeCell ref="BA32:BB32"/>
    <mergeCell ref="Q1:R1"/>
    <mergeCell ref="T1:U1"/>
    <mergeCell ref="W1:X1"/>
    <mergeCell ref="Z1:AA1"/>
    <mergeCell ref="AC1:AD1"/>
    <mergeCell ref="D1:F1"/>
    <mergeCell ref="A1:B1"/>
    <mergeCell ref="H1:I1"/>
    <mergeCell ref="K1:L1"/>
    <mergeCell ref="N1:O1"/>
    <mergeCell ref="AO1:AP1"/>
    <mergeCell ref="AR1:AS1"/>
    <mergeCell ref="AF1:AG1"/>
    <mergeCell ref="AI1:AJ1"/>
    <mergeCell ref="AL1:AM1"/>
    <mergeCell ref="AX41:AY41"/>
    <mergeCell ref="AU45:AV45"/>
    <mergeCell ref="AU27:AV27"/>
    <mergeCell ref="AU36:AV36"/>
    <mergeCell ref="AX1:AY1"/>
    <mergeCell ref="AX8:AY8"/>
    <mergeCell ref="AX16:AY16"/>
    <mergeCell ref="AX23:AY23"/>
    <mergeCell ref="AX31:AY31"/>
    <mergeCell ref="AU1:AV1"/>
    <mergeCell ref="AU8:AV8"/>
    <mergeCell ref="AU16:AV1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BE7EB-30F0-417F-A6DF-C90D3C00481E}">
  <sheetPr codeName="Sheet4"/>
  <dimension ref="A1:C50"/>
  <sheetViews>
    <sheetView workbookViewId="0">
      <selection activeCell="A2" sqref="A2"/>
    </sheetView>
  </sheetViews>
  <sheetFormatPr defaultRowHeight="15" x14ac:dyDescent="0.25"/>
  <cols>
    <col min="1" max="1" width="24.42578125" customWidth="1"/>
    <col min="2" max="2" width="102.85546875" customWidth="1"/>
    <col min="3" max="3" width="30.42578125" customWidth="1"/>
  </cols>
  <sheetData>
    <row r="1" spans="1:3" x14ac:dyDescent="0.25">
      <c r="A1" s="43" t="s">
        <v>65</v>
      </c>
      <c r="B1" s="43"/>
      <c r="C1" s="43"/>
    </row>
    <row r="2" spans="1:3" x14ac:dyDescent="0.25">
      <c r="A2" s="44">
        <f>IF(Triangle!H13+1.5*Triangle!H11&lt;0.15,1,0)</f>
        <v>0</v>
      </c>
      <c r="B2" s="43" t="s">
        <v>66</v>
      </c>
      <c r="C2" s="43" t="s">
        <v>67</v>
      </c>
    </row>
    <row r="3" spans="1:3" x14ac:dyDescent="0.25">
      <c r="A3" s="44">
        <f>IF(AND(Triangle!H13+1.5*Triangle!H11&gt;=0.15, Triangle!H13+2*Triangle!H11&lt;0.3), 2, 0)</f>
        <v>0</v>
      </c>
      <c r="B3" s="43" t="s">
        <v>68</v>
      </c>
      <c r="C3" s="43" t="s">
        <v>69</v>
      </c>
    </row>
    <row r="4" spans="1:3" x14ac:dyDescent="0.25">
      <c r="A4" s="44">
        <f>IF(OR(AND(Triangle!H11&gt;=0.07, Triangle!H11&lt;0.2,Triangle!H9&gt;0.52,Triangle!H13+2*Triangle!H11&gt;=0.3), AND(Triangle!H11&lt;0.07, Triangle!H13&lt;0.5, Triangle!H13+2*Triangle!H11&gt;=0.3)), 3,0)</f>
        <v>0</v>
      </c>
      <c r="B4" s="43" t="s">
        <v>70</v>
      </c>
      <c r="C4" s="43" t="s">
        <v>71</v>
      </c>
    </row>
    <row r="5" spans="1:3" x14ac:dyDescent="0.25">
      <c r="A5" s="44">
        <f>IF(AND(Triangle!H11&gt;=0.07, Triangle!H11&lt;0.27, Triangle!H13&gt;=0.28, Triangle!H13&lt;0.5, Triangle!H9&lt;=0.52), 4, 0)</f>
        <v>0</v>
      </c>
      <c r="B5" s="43" t="s">
        <v>72</v>
      </c>
      <c r="C5" s="43" t="s">
        <v>73</v>
      </c>
    </row>
    <row r="6" spans="1:3" x14ac:dyDescent="0.25">
      <c r="A6" s="44">
        <f>IF(OR(AND(Triangle!H13&gt;=0.5, Triangle!H11&gt;=0.12,Triangle!H11&lt;0.27), AND(Triangle!H13&gt;=0.5,Triangle!H13&lt;0.8,Triangle!H11&lt;0.12)), 5,0)</f>
        <v>5</v>
      </c>
      <c r="B6" s="43" t="s">
        <v>74</v>
      </c>
      <c r="C6" s="43" t="s">
        <v>75</v>
      </c>
    </row>
    <row r="7" spans="1:3" x14ac:dyDescent="0.25">
      <c r="A7" s="44">
        <f>IF(AND(Triangle!H13&gt;=0.8, Triangle!H11&lt;0.12), 6, 0)</f>
        <v>0</v>
      </c>
      <c r="B7" s="43" t="s">
        <v>76</v>
      </c>
      <c r="C7" s="43" t="s">
        <v>77</v>
      </c>
    </row>
    <row r="8" spans="1:3" x14ac:dyDescent="0.25">
      <c r="A8" s="44">
        <f>IF(AND(Triangle!H11&gt;=0.2, Triangle!H11&lt;0.35, Triangle!H13&lt;0.28, Triangle!H9&gt;0.45), 7, 0)</f>
        <v>0</v>
      </c>
      <c r="B8" s="43" t="s">
        <v>78</v>
      </c>
      <c r="C8" s="43" t="s">
        <v>79</v>
      </c>
    </row>
    <row r="9" spans="1:3" x14ac:dyDescent="0.25">
      <c r="A9" s="44">
        <f>IF(AND(Triangle!H11&gt;=0.27, Triangle!H11&lt;0.4, Triangle!H9&gt;0.2, Triangle!H9&lt;=0.45), 8, 0)</f>
        <v>0</v>
      </c>
      <c r="B9" s="43" t="s">
        <v>80</v>
      </c>
      <c r="C9" s="43" t="s">
        <v>81</v>
      </c>
    </row>
    <row r="10" spans="1:3" x14ac:dyDescent="0.25">
      <c r="A10" s="44">
        <f>IF(AND(Triangle!H11&gt;=0.27, Triangle!H11&lt;0.4, Triangle!H9&lt;=0.2), 9, 0)</f>
        <v>0</v>
      </c>
      <c r="B10" s="43" t="s">
        <v>82</v>
      </c>
      <c r="C10" s="43" t="s">
        <v>83</v>
      </c>
    </row>
    <row r="11" spans="1:3" x14ac:dyDescent="0.25">
      <c r="A11" s="44">
        <f>IF(AND(Triangle!H11&gt;=0.35, Triangle!H9&gt;0.45), 10, 0)</f>
        <v>0</v>
      </c>
      <c r="B11" s="43" t="s">
        <v>84</v>
      </c>
      <c r="C11" s="43" t="s">
        <v>85</v>
      </c>
    </row>
    <row r="12" spans="1:3" x14ac:dyDescent="0.25">
      <c r="A12" s="44">
        <f>IF(AND(Triangle!H11&gt;=0.4, Triangle!H13&gt;=0.4), 11, 0)</f>
        <v>0</v>
      </c>
      <c r="B12" s="43" t="s">
        <v>86</v>
      </c>
      <c r="C12" s="43" t="s">
        <v>87</v>
      </c>
    </row>
    <row r="13" spans="1:3" x14ac:dyDescent="0.25">
      <c r="A13" s="44">
        <f>IF(AND(Triangle!H11&gt;=0.4, Triangle!H9&lt;=0.45,Triangle!H13&lt;0.4), 12, 0)</f>
        <v>0</v>
      </c>
      <c r="B13" s="43" t="s">
        <v>88</v>
      </c>
      <c r="C13" s="43" t="s">
        <v>89</v>
      </c>
    </row>
    <row r="14" spans="1:3" x14ac:dyDescent="0.25">
      <c r="A14" s="44">
        <f>SUM(A2:A13)</f>
        <v>5</v>
      </c>
      <c r="B14" s="43"/>
      <c r="C14" s="43"/>
    </row>
    <row r="15" spans="1:3" x14ac:dyDescent="0.25">
      <c r="A15" s="43"/>
      <c r="B15" s="43"/>
      <c r="C15" s="43"/>
    </row>
    <row r="16" spans="1:3" x14ac:dyDescent="0.25">
      <c r="A16" s="43"/>
      <c r="B16" s="43"/>
      <c r="C16" s="43"/>
    </row>
    <row r="17" spans="1:3" x14ac:dyDescent="0.25">
      <c r="A17" s="43" t="s">
        <v>20</v>
      </c>
      <c r="B17" s="43"/>
      <c r="C17" s="43"/>
    </row>
    <row r="18" spans="1:3" x14ac:dyDescent="0.25">
      <c r="A18" s="44">
        <f>IF(AND(SUM(Triangle!H17:H25)=Triangle!H9, Triangle!H17+Triangle!H19&gt;=0.25, Triangle!H21&lt;0.5, Triangle!H23&lt;0.5, Triangle!H25&lt;0.5), 1, 0)</f>
        <v>0</v>
      </c>
      <c r="B18" s="43" t="s">
        <v>90</v>
      </c>
      <c r="C18" s="43" t="s">
        <v>91</v>
      </c>
    </row>
    <row r="19" spans="1:3" x14ac:dyDescent="0.25">
      <c r="A19" s="44">
        <f>IF(AND(SUM(Triangle!H17:H25)=Triangle!H9,SUM($A$18) = 0, Triangle!H17+Triangle!H19+Triangle!H21&gt;=0.25, Triangle!H17+Triangle!H19&lt;0.25, Triangle!H23&lt;0.5,Triangle!H25&lt;0.5), 2, 0)</f>
        <v>0</v>
      </c>
      <c r="B19" s="43" t="s">
        <v>92</v>
      </c>
      <c r="C19" s="43" t="s">
        <v>67</v>
      </c>
    </row>
    <row r="20" spans="1:3" x14ac:dyDescent="0.25">
      <c r="A20" s="44">
        <f>IF(AND(SUM(Triangle!H17:H25)=Triangle!H9,SUM($A$18:$A$19) = 0, Triangle!H21&gt;=0.5, Triangle!H17+Triangle!H19&gt;=0.25), 3, 0)</f>
        <v>0</v>
      </c>
      <c r="B20" s="43" t="s">
        <v>93</v>
      </c>
      <c r="C20" s="43" t="s">
        <v>67</v>
      </c>
    </row>
    <row r="21" spans="1:3" x14ac:dyDescent="0.25">
      <c r="A21" s="44">
        <f>IF(AND(SUM(Triangle!H17:H25)=Triangle!H9,SUM($A$18:$A$20) = 0, Triangle!H23&gt;=0.5, Triangle!H23&gt;Triangle!H25), 4, 0)</f>
        <v>0</v>
      </c>
      <c r="B21" s="43" t="s">
        <v>94</v>
      </c>
      <c r="C21" s="43" t="s">
        <v>95</v>
      </c>
    </row>
    <row r="22" spans="1:3" x14ac:dyDescent="0.25">
      <c r="A22" s="44">
        <f>IF(AND(SUM(Triangle!H17:H25)=Triangle!H9,SUM($A$18:$A$21) = 0, Triangle!H17+Triangle!H19+Triangle!H21&lt;0.25, Triangle!H25&lt;0.5), 5, 0)</f>
        <v>0</v>
      </c>
      <c r="B22" s="43" t="s">
        <v>96</v>
      </c>
      <c r="C22" s="43" t="s">
        <v>95</v>
      </c>
    </row>
    <row r="23" spans="1:3" x14ac:dyDescent="0.25">
      <c r="A23" s="44">
        <f>IF(AND(SUM(Triangle!H17:H25)=Triangle!H9,SUM($A$18:$A$22) = 0, Triangle!H25&gt;=0.5), 6, 0)</f>
        <v>0</v>
      </c>
      <c r="B23" s="43" t="s">
        <v>97</v>
      </c>
      <c r="C23" s="43" t="s">
        <v>98</v>
      </c>
    </row>
    <row r="24" spans="1:3" x14ac:dyDescent="0.25">
      <c r="A24" s="45">
        <f>SUM(A18:A23)+1</f>
        <v>1</v>
      </c>
      <c r="B24" s="43"/>
      <c r="C24" s="43"/>
    </row>
    <row r="25" spans="1:3" x14ac:dyDescent="0.25">
      <c r="A25" s="43"/>
      <c r="B25" s="43"/>
      <c r="C25" s="43"/>
    </row>
    <row r="26" spans="1:3" x14ac:dyDescent="0.25">
      <c r="A26" s="43"/>
      <c r="B26" s="43"/>
      <c r="C26" s="43"/>
    </row>
    <row r="27" spans="1:3" x14ac:dyDescent="0.25">
      <c r="A27" s="43" t="s">
        <v>99</v>
      </c>
      <c r="B27" s="43"/>
      <c r="C27" s="43"/>
    </row>
    <row r="28" spans="1:3" x14ac:dyDescent="0.25">
      <c r="A28" s="44">
        <f>IF(AND(SUM(Triangle!H17:H25)=Triangle!H9, Triangle!H17+Triangle!H19&gt;=0.25, Triangle!H21&lt;0.5, Triangle!H23&lt;0.5, Triangle!H25&lt;0.5), 1, 0)</f>
        <v>0</v>
      </c>
      <c r="B28" s="43" t="s">
        <v>90</v>
      </c>
      <c r="C28" s="43" t="s">
        <v>100</v>
      </c>
    </row>
    <row r="29" spans="1:3" x14ac:dyDescent="0.25">
      <c r="A29" s="44">
        <f>IF(AND(SUM(Triangle!H17:H25)=Triangle!H9,SUM($A$28) = 0, Triangle!H17+Triangle!H19+Triangle!H21&gt;=0.25, Triangle!H17+Triangle!H19&lt;0.25, Triangle!H23&lt;0.5,Triangle!H25&lt;0.5), 2, 0)</f>
        <v>0</v>
      </c>
      <c r="B29" s="43" t="s">
        <v>92</v>
      </c>
      <c r="C29" s="43" t="s">
        <v>69</v>
      </c>
    </row>
    <row r="30" spans="1:3" x14ac:dyDescent="0.25">
      <c r="A30" s="44">
        <f>IF(AND(SUM(Triangle!H17:H25)=Triangle!H9,SUM($A$28:$A$29) = 0, Triangle!H21&gt;=0.5, Triangle!H17+Triangle!H19&gt;=0.25),3, 0)</f>
        <v>0</v>
      </c>
      <c r="B30" s="43" t="s">
        <v>93</v>
      </c>
      <c r="C30" s="43" t="s">
        <v>69</v>
      </c>
    </row>
    <row r="31" spans="1:3" x14ac:dyDescent="0.25">
      <c r="A31" s="44">
        <f>IF(AND(SUM(Triangle!H17:H25)=Triangle!H9,SUM($A$28:$A$30) = 0, Triangle!H23&gt;=0.5), 4, 0)</f>
        <v>0</v>
      </c>
      <c r="B31" s="43" t="s">
        <v>101</v>
      </c>
      <c r="C31" s="43" t="s">
        <v>102</v>
      </c>
    </row>
    <row r="32" spans="1:3" x14ac:dyDescent="0.25">
      <c r="A32" s="44">
        <f>IF(AND(SUM(Triangle!H17:H25)=Triangle!H9,SUM($A$28:$A$31) = 0, Triangle!H17+Triangle!H19+Triangle!H21&lt;0.25, Triangle!H25&lt;0.5), 5, 0)</f>
        <v>0</v>
      </c>
      <c r="B32" s="43" t="s">
        <v>96</v>
      </c>
      <c r="C32" s="43" t="s">
        <v>102</v>
      </c>
    </row>
    <row r="33" spans="1:3" x14ac:dyDescent="0.25">
      <c r="A33" s="44">
        <f>IF(AND(SUM(Triangle!H17:H25)=Triangle!H9,SUM($A$28:$A$32) = 0, Triangle!H25&gt;=0.5), 6, 0)</f>
        <v>0</v>
      </c>
      <c r="B33" s="43" t="s">
        <v>97</v>
      </c>
      <c r="C33" s="43" t="s">
        <v>103</v>
      </c>
    </row>
    <row r="34" spans="1:3" x14ac:dyDescent="0.25">
      <c r="A34" s="45">
        <f>SUM(A28:A33)+1</f>
        <v>1</v>
      </c>
      <c r="B34" s="43"/>
      <c r="C34" s="43"/>
    </row>
    <row r="35" spans="1:3" x14ac:dyDescent="0.25">
      <c r="A35" s="43"/>
      <c r="B35" s="43"/>
      <c r="C35" s="43"/>
    </row>
    <row r="36" spans="1:3" x14ac:dyDescent="0.25">
      <c r="A36" s="43" t="s">
        <v>104</v>
      </c>
      <c r="B36" s="43"/>
      <c r="C36" s="43"/>
    </row>
    <row r="37" spans="1:3" x14ac:dyDescent="0.25">
      <c r="A37" s="44">
        <f>IF(AND(SUM(Triangle!H17:H25)=Triangle!H9, Triangle!H17+Triangle!H19&gt;=0.25, Triangle!H21&lt;0.5, Triangle!H23&lt;0.5, Triangle!H25&lt;0.5), 1, 0)</f>
        <v>0</v>
      </c>
      <c r="B37" s="43" t="s">
        <v>90</v>
      </c>
      <c r="C37" s="43" t="s">
        <v>105</v>
      </c>
    </row>
    <row r="38" spans="1:3" x14ac:dyDescent="0.25">
      <c r="A38" s="44">
        <f>IF(AND(SUM(Triangle!H17:H25)=Triangle!H9,SUM($A$37) = 0,Triangle!H17+Triangle!H19+Triangle!H21&gt;=0.3, Triangle!H25&gt;=0.3, Triangle!H25&lt;0.5), 2,0)</f>
        <v>0</v>
      </c>
      <c r="B38" s="43" t="s">
        <v>106</v>
      </c>
      <c r="C38" s="43" t="s">
        <v>105</v>
      </c>
    </row>
    <row r="39" spans="1:3" x14ac:dyDescent="0.25">
      <c r="A39" s="44">
        <f>IF(AND(SUM(Triangle!H17:H25)=Triangle!H9,SUM($A$37:$A$38) = 0, Triangle!H17+Triangle!H19+Triangle!H21&gt;=0.3, Triangle!H17+Triangle!H19&lt;0.25, Triangle!H23&lt;0.3,Triangle!H25&lt;0.3), 3, 0)</f>
        <v>0</v>
      </c>
      <c r="B39" s="43" t="s">
        <v>107</v>
      </c>
      <c r="C39" s="43" t="s">
        <v>71</v>
      </c>
    </row>
    <row r="40" spans="1:3" x14ac:dyDescent="0.25">
      <c r="A40" s="44">
        <f>IF(AND(SUM(Triangle!H17:H25)=Triangle!H9,SUM($A$37:$A$39) = 0,Triangle!H17+Triangle!H19+Triangle!H21&lt;=0.15,Triangle!H23&lt;0.3,Triangle!H25&lt;0.3,Triangle!H23+Triangle!H25&lt;0.4), 4, 0)</f>
        <v>0</v>
      </c>
      <c r="B40" s="43" t="s">
        <v>108</v>
      </c>
      <c r="C40" s="43" t="s">
        <v>71</v>
      </c>
    </row>
    <row r="41" spans="1:3" x14ac:dyDescent="0.25">
      <c r="A41" s="44">
        <f>IF(AND(SUM(Triangle!H17:H25)=Triangle!H9,SUM($A$37:$A$40) = 0,Triangle!H17+Triangle!H19&gt;=0.25, Triangle!H21&gt;=0.5), 5, 0)</f>
        <v>0</v>
      </c>
      <c r="B41" s="43" t="s">
        <v>109</v>
      </c>
      <c r="C41" s="43" t="s">
        <v>71</v>
      </c>
    </row>
    <row r="42" spans="1:3" x14ac:dyDescent="0.25">
      <c r="A42" s="44">
        <f>IF(AND(SUM(Triangle!H17:H25)=Triangle!H9,SUM($A$37:$A$41) = 0,Triangle!H23&gt;=0.3,Triangle!H25&lt;0.3, Triangle!H17+Triangle!H19&lt;0.25), 6, 0)</f>
        <v>0</v>
      </c>
      <c r="B42" s="43" t="s">
        <v>110</v>
      </c>
      <c r="C42" s="43" t="s">
        <v>111</v>
      </c>
    </row>
    <row r="43" spans="1:3" x14ac:dyDescent="0.25">
      <c r="A43" s="44">
        <f>IF(AND(SUM(Triangle!H17:H25)=Triangle!H9,SUM($A$37:$A$42) = 0,Triangle!H17+Triangle!H19+Triangle!H21&gt;=0.15, Triangle!H17+Triangle!H19+Triangle!H21&lt;0.3, Triangle!H17+Triangle!H19&lt;0.25), 7, 0)</f>
        <v>0</v>
      </c>
      <c r="B43" s="43" t="s">
        <v>112</v>
      </c>
      <c r="C43" s="43" t="s">
        <v>111</v>
      </c>
    </row>
    <row r="44" spans="1:3" x14ac:dyDescent="0.25">
      <c r="A44" s="44">
        <f>IF(AND(SUM(Triangle!H17:H25)=Triangle!H9,SUM($A$37:$A$43) = 0,Triangle!H23+Triangle!H25&gt;=0.4, Triangle!H23&gt;=Triangle!H25, Triangle!H17+Triangle!H19+Triangle!H21&lt;=0.15), 8, 0)</f>
        <v>0</v>
      </c>
      <c r="B44" s="43" t="s">
        <v>113</v>
      </c>
      <c r="C44" s="43" t="s">
        <v>111</v>
      </c>
    </row>
    <row r="45" spans="1:3" x14ac:dyDescent="0.25">
      <c r="A45" s="44">
        <f>IF(AND(SUM(Triangle!H17:H25)=Triangle!H9,SUM($A$37:$A$44) = 0,Triangle!H17+Triangle!H19&gt;=0.25, Triangle!H23&gt;=0.5), 9, 0)</f>
        <v>0</v>
      </c>
      <c r="B45" s="43" t="s">
        <v>114</v>
      </c>
      <c r="C45" s="43" t="s">
        <v>111</v>
      </c>
    </row>
    <row r="46" spans="1:3" x14ac:dyDescent="0.25">
      <c r="A46" s="44">
        <f>IF(AND(SUM(Triangle!H17:H25)=Triangle!H9,SUM($A$37:$A$45) = 0,Triangle!H25&gt;=0.3, Triangle!H17+Triangle!H19+Triangle!H21&lt;0.15, Triangle!H25&gt;Triangle!H23), 10, 0)</f>
        <v>0</v>
      </c>
      <c r="B46" s="43" t="s">
        <v>115</v>
      </c>
      <c r="C46" s="43" t="s">
        <v>116</v>
      </c>
    </row>
    <row r="47" spans="1:3" x14ac:dyDescent="0.25">
      <c r="A47" s="44">
        <f>IF(AND(SUM(Triangle!H17:H25)=Triangle!H9,SUM($A$37:$A$46) = 0,Triangle!H23+Triangle!H25&gt;=0.4, Triangle!H25&gt;Triangle!H23, Triangle!H17+Triangle!H19+Triangle!H21&lt;15), 11, 0)</f>
        <v>0</v>
      </c>
      <c r="B47" s="43" t="s">
        <v>117</v>
      </c>
      <c r="C47" s="43" t="s">
        <v>116</v>
      </c>
    </row>
    <row r="48" spans="1:3" x14ac:dyDescent="0.25">
      <c r="A48" s="44">
        <f>IF(AND(SUM(Triangle!H17:H25)=Triangle!H9,SUM($A$37:$A$47) = 0,Triangle!H17+Triangle!H19&gt;=0.25, Triangle!H25&gt;=0.5), 12, 0)</f>
        <v>0</v>
      </c>
      <c r="B48" s="43" t="s">
        <v>118</v>
      </c>
      <c r="C48" s="43" t="s">
        <v>116</v>
      </c>
    </row>
    <row r="49" spans="1:3" x14ac:dyDescent="0.25">
      <c r="A49" s="44">
        <f>IF(AND(SUM(Triangle!H17:H25)=Triangle!H9,SUM($A$37:$A$48) = 0,Triangle!H17+Triangle!H19+Triangle!H21&gt;=0.3, Triangle!H25&gt;=0.5), 13,0)</f>
        <v>0</v>
      </c>
      <c r="B49" s="43" t="s">
        <v>119</v>
      </c>
      <c r="C49" s="43" t="s">
        <v>116</v>
      </c>
    </row>
    <row r="50" spans="1:3" x14ac:dyDescent="0.25">
      <c r="A50" s="44">
        <f>SUM(A37:A49)+1</f>
        <v>1</v>
      </c>
    </row>
  </sheetData>
  <sheetProtection algorithmName="SHA-512" hashValue="hluXBQftWHTuXsv6rLGg69+zG3/k5lbv9U08ycHVSrTlBLQ05sc2V4A77KG7thwpUOgCDwSR2Z81GXDjL5FAcw==" saltValue="xc6fsbRuROhu1NF2Amn06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Triangle</vt:lpstr>
      <vt:lpstr>Texture Definitions</vt:lpstr>
      <vt:lpstr>ChartData</vt:lpstr>
      <vt:lpstr>Calc</vt:lpstr>
    </vt:vector>
  </TitlesOfParts>
  <Company>USDA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 Lear, Mark - NRCS, Roanoke, VA</dc:creator>
  <cp:lastModifiedBy>Katoria Lesaalon Lekarkar</cp:lastModifiedBy>
  <cp:lastPrinted>2016-06-29T11:29:18Z</cp:lastPrinted>
  <dcterms:created xsi:type="dcterms:W3CDTF">2016-05-04T13:18:06Z</dcterms:created>
  <dcterms:modified xsi:type="dcterms:W3CDTF">2024-04-05T17:48:11Z</dcterms:modified>
</cp:coreProperties>
</file>