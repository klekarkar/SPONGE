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OLO\Downloads\"/>
    </mc:Choice>
  </mc:AlternateContent>
  <xr:revisionPtr revIDLastSave="0" documentId="13_ncr:1_{AF38AD41-0365-4EC4-A908-BB7448454318}" xr6:coauthVersionLast="47" xr6:coauthVersionMax="47" xr10:uidLastSave="{00000000-0000-0000-0000-000000000000}"/>
  <bookViews>
    <workbookView xWindow="-108" yWindow="-108" windowWidth="23256" windowHeight="12456" xr2:uid="{DD5E552A-F7BE-4A0C-88AD-B4C0C912FD16}"/>
  </bookViews>
  <sheets>
    <sheet name="Saxton and Rawls (2006)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1" l="1"/>
  <c r="D6" i="11" s="1"/>
  <c r="A6" i="11"/>
  <c r="C4" i="11"/>
  <c r="D4" i="11"/>
  <c r="E4" i="11"/>
  <c r="E6" i="11"/>
  <c r="F6" i="11"/>
  <c r="B6" i="11"/>
  <c r="J3" i="11"/>
  <c r="H3" i="11"/>
  <c r="G6" i="11" l="1"/>
  <c r="H6" i="11"/>
  <c r="I6" i="11"/>
  <c r="B9" i="11"/>
  <c r="A9" i="11" l="1"/>
  <c r="C9" i="11"/>
  <c r="D9" i="11" s="1"/>
  <c r="B32" i="11" l="1"/>
  <c r="B16" i="11"/>
  <c r="B33" i="11"/>
  <c r="B17" i="11"/>
  <c r="B34" i="11"/>
  <c r="B18" i="11"/>
  <c r="B23" i="11"/>
  <c r="B19" i="11"/>
  <c r="B36" i="11"/>
  <c r="B37" i="11"/>
  <c r="B38" i="11"/>
  <c r="B39" i="11"/>
  <c r="B41" i="11"/>
  <c r="B30" i="11"/>
  <c r="B35" i="11"/>
  <c r="B24" i="11"/>
  <c r="B20" i="11"/>
  <c r="B25" i="11"/>
  <c r="B21" i="11"/>
  <c r="B26" i="11"/>
  <c r="B22" i="11"/>
  <c r="B27" i="11"/>
  <c r="B28" i="11"/>
  <c r="B40" i="11"/>
  <c r="B29" i="11"/>
  <c r="B42" i="11"/>
  <c r="B31" i="11"/>
  <c r="B15" i="11"/>
</calcChain>
</file>

<file path=xl/sharedStrings.xml><?xml version="1.0" encoding="utf-8"?>
<sst xmlns="http://schemas.openxmlformats.org/spreadsheetml/2006/main" count="37" uniqueCount="37">
  <si>
    <t>P1</t>
  </si>
  <si>
    <t>0-15</t>
  </si>
  <si>
    <t xml:space="preserve">     sandy loam</t>
  </si>
  <si>
    <t>USDA</t>
  </si>
  <si>
    <t>Sand</t>
  </si>
  <si>
    <t>Silt</t>
  </si>
  <si>
    <t>Clay</t>
  </si>
  <si>
    <t>Class</t>
  </si>
  <si>
    <t>ID</t>
  </si>
  <si>
    <t>Soil depth</t>
  </si>
  <si>
    <t>OM</t>
  </si>
  <si>
    <t>topsoil</t>
  </si>
  <si>
    <t>Ks (cm/d)</t>
  </si>
  <si>
    <t>BD (g/cm³)</t>
  </si>
  <si>
    <t>depth (cm)</t>
  </si>
  <si>
    <t>SOC</t>
  </si>
  <si>
    <t>Water retention equation is Brooks and Corey (1964)</t>
  </si>
  <si>
    <t>l</t>
  </si>
  <si>
    <t>POR</t>
  </si>
  <si>
    <t>pH</t>
  </si>
  <si>
    <t>Elevation</t>
  </si>
  <si>
    <t>h (cm)</t>
  </si>
  <si>
    <t>theta</t>
  </si>
  <si>
    <t>Data for plotting the WRF</t>
  </si>
  <si>
    <t>Saxton and Rawls (2006)</t>
  </si>
  <si>
    <t>t1500</t>
  </si>
  <si>
    <t>t1500t</t>
  </si>
  <si>
    <t>t33t</t>
  </si>
  <si>
    <t>t33</t>
  </si>
  <si>
    <t>ts33t</t>
  </si>
  <si>
    <t>ts33</t>
  </si>
  <si>
    <t>ts</t>
  </si>
  <si>
    <t>pet</t>
  </si>
  <si>
    <t>pe</t>
  </si>
  <si>
    <t>A</t>
  </si>
  <si>
    <t>B</t>
  </si>
  <si>
    <t>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</si>
</sst>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color indexed="8"/>
      <name val="Calibri"/>
      <family val="2"/>
    </font>
    <font>
      <b/>
      <sz val="12"/>
      <color theme="1"/>
      <name val="Aptos Narrow"/>
      <family val="2"/>
      <scheme val="minor"/>
    </font>
    <font>
      <b/>
      <sz val="11"/>
      <color theme="1"/>
      <name val="Symbol"/>
      <family val="1"/>
      <charset val="2"/>
    </font>
    <font>
      <sz val="11"/>
      <color rgb="FFFFC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color rgb="FFFF0000"/>
      <name val="Calibri"/>
      <family val="2"/>
    </font>
    <font>
      <b/>
      <sz val="12"/>
      <color rgb="FFFF0000"/>
      <name val="Aptos Narrow"/>
      <family val="2"/>
      <scheme val="minor"/>
    </font>
    <font>
      <b/>
      <sz val="18"/>
      <color rgb="FFFFC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3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6" fillId="0" borderId="0" xfId="0" applyFont="1"/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0" fillId="3" borderId="0" xfId="0" applyNumberFormat="1" applyFill="1" applyAlignment="1">
      <alignment horizontal="center"/>
    </xf>
    <xf numFmtId="11" fontId="0" fillId="0" borderId="0" xfId="0" applyNumberFormat="1"/>
    <xf numFmtId="0" fontId="10" fillId="0" borderId="0" xfId="0" applyFont="1"/>
    <xf numFmtId="164" fontId="0" fillId="2" borderId="0" xfId="0" applyNumberFormat="1" applyFill="1"/>
    <xf numFmtId="2" fontId="0" fillId="2" borderId="0" xfId="0" applyNumberFormat="1" applyFill="1"/>
    <xf numFmtId="0" fontId="3" fillId="0" borderId="0" xfId="1" applyFont="1" applyAlignment="1">
      <alignment horizontal="center" vertical="center"/>
    </xf>
    <xf numFmtId="0" fontId="1" fillId="3" borderId="0" xfId="0" applyFont="1" applyFill="1" applyAlignment="1">
      <alignment horizontal="center"/>
    </xf>
  </cellXfs>
  <cellStyles count="2">
    <cellStyle name="Normale" xfId="0" builtinId="0"/>
    <cellStyle name="Normale 6" xfId="1" xr:uid="{19D523C9-F334-42A8-BCA0-2F77A945CC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'Saxton and Rawls (2006)'!$B$14:$B$42</c:f>
              <c:numCache>
                <c:formatCode>General</c:formatCode>
                <c:ptCount val="29"/>
                <c:pt idx="1">
                  <c:v>38203.060137921937</c:v>
                </c:pt>
                <c:pt idx="2">
                  <c:v>30554.028327941396</c:v>
                </c:pt>
                <c:pt idx="3">
                  <c:v>24669.991418005709</c:v>
                </c:pt>
                <c:pt idx="4">
                  <c:v>20093.815531961525</c:v>
                </c:pt>
                <c:pt idx="5">
                  <c:v>16498.752730684206</c:v>
                </c:pt>
                <c:pt idx="6">
                  <c:v>13648.069127413335</c:v>
                </c:pt>
                <c:pt idx="7">
                  <c:v>11368.093028392888</c:v>
                </c:pt>
                <c:pt idx="8">
                  <c:v>9529.9362537140914</c:v>
                </c:pt>
                <c:pt idx="9">
                  <c:v>682.58013695452053</c:v>
                </c:pt>
                <c:pt idx="10">
                  <c:v>682.58013695452053</c:v>
                </c:pt>
                <c:pt idx="11">
                  <c:v>682.58013695452053</c:v>
                </c:pt>
                <c:pt idx="12">
                  <c:v>682.58013695452053</c:v>
                </c:pt>
                <c:pt idx="13">
                  <c:v>682.58013695452053</c:v>
                </c:pt>
                <c:pt idx="14">
                  <c:v>682.58013695452053</c:v>
                </c:pt>
                <c:pt idx="15">
                  <c:v>682.58013695452053</c:v>
                </c:pt>
                <c:pt idx="16">
                  <c:v>682.58013695452053</c:v>
                </c:pt>
                <c:pt idx="17">
                  <c:v>682.58013695452053</c:v>
                </c:pt>
                <c:pt idx="18">
                  <c:v>682.58013695452053</c:v>
                </c:pt>
                <c:pt idx="19">
                  <c:v>682.58013695452053</c:v>
                </c:pt>
                <c:pt idx="20">
                  <c:v>682.58013695452053</c:v>
                </c:pt>
                <c:pt idx="21">
                  <c:v>682.58013695452053</c:v>
                </c:pt>
                <c:pt idx="22">
                  <c:v>682.58013695452053</c:v>
                </c:pt>
                <c:pt idx="23">
                  <c:v>682.58013695452053</c:v>
                </c:pt>
                <c:pt idx="24">
                  <c:v>682.58013695452053</c:v>
                </c:pt>
                <c:pt idx="25">
                  <c:v>682.58013695452053</c:v>
                </c:pt>
                <c:pt idx="26">
                  <c:v>682.58013695452053</c:v>
                </c:pt>
                <c:pt idx="27">
                  <c:v>682.58013695452053</c:v>
                </c:pt>
                <c:pt idx="28">
                  <c:v>682.58013695452053</c:v>
                </c:pt>
              </c:numCache>
            </c:numRef>
          </c:xVal>
          <c:yVal>
            <c:numRef>
              <c:f>'Saxton and Rawls (2006)'!$C$14:$C$42</c:f>
              <c:numCache>
                <c:formatCode>General</c:formatCode>
                <c:ptCount val="29"/>
                <c:pt idx="1">
                  <c:v>0.17436634776844101</c:v>
                </c:pt>
                <c:pt idx="2">
                  <c:v>0.182292090848824</c:v>
                </c:pt>
                <c:pt idx="3">
                  <c:v>0.19021783392920799</c:v>
                </c:pt>
                <c:pt idx="4">
                  <c:v>0.19814357700959201</c:v>
                </c:pt>
                <c:pt idx="5">
                  <c:v>0.206069320089975</c:v>
                </c:pt>
                <c:pt idx="6">
                  <c:v>0.21399506317035899</c:v>
                </c:pt>
                <c:pt idx="7">
                  <c:v>0.22192080625074301</c:v>
                </c:pt>
                <c:pt idx="8">
                  <c:v>0.229846549331126</c:v>
                </c:pt>
                <c:pt idx="9">
                  <c:v>0.3883614109388</c:v>
                </c:pt>
                <c:pt idx="10">
                  <c:v>0.3883614109388</c:v>
                </c:pt>
                <c:pt idx="11">
                  <c:v>0.3883614109388</c:v>
                </c:pt>
                <c:pt idx="12">
                  <c:v>0.3883614109388</c:v>
                </c:pt>
                <c:pt idx="13">
                  <c:v>0.3883614109388</c:v>
                </c:pt>
                <c:pt idx="14">
                  <c:v>0.3883614109388</c:v>
                </c:pt>
                <c:pt idx="15">
                  <c:v>0.3883614109388</c:v>
                </c:pt>
                <c:pt idx="16">
                  <c:v>0.3883614109388</c:v>
                </c:pt>
                <c:pt idx="17">
                  <c:v>0.3883614109388</c:v>
                </c:pt>
                <c:pt idx="18">
                  <c:v>0.3883614109388</c:v>
                </c:pt>
                <c:pt idx="19">
                  <c:v>0.3883614109388</c:v>
                </c:pt>
                <c:pt idx="20">
                  <c:v>0.3883614109388</c:v>
                </c:pt>
                <c:pt idx="21">
                  <c:v>0.3883614109388</c:v>
                </c:pt>
                <c:pt idx="22">
                  <c:v>0.3883614109388</c:v>
                </c:pt>
                <c:pt idx="23">
                  <c:v>0.3883614109388</c:v>
                </c:pt>
                <c:pt idx="24">
                  <c:v>0.3883614109388</c:v>
                </c:pt>
                <c:pt idx="25">
                  <c:v>0.3883614109388</c:v>
                </c:pt>
                <c:pt idx="26">
                  <c:v>0.3883614109388</c:v>
                </c:pt>
                <c:pt idx="27">
                  <c:v>0.3883614109388</c:v>
                </c:pt>
                <c:pt idx="28">
                  <c:v>0.3883614109388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89-41D8-BFC3-8B91FA811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6247232"/>
        <c:axId val="1306249632"/>
      </c:scatterChart>
      <c:valAx>
        <c:axId val="130624723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06249632"/>
        <c:crosses val="autoZero"/>
        <c:crossBetween val="midCat"/>
      </c:valAx>
      <c:valAx>
        <c:axId val="130624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theta (cm3/cm3)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06247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419528</xdr:colOff>
      <xdr:row>6</xdr:row>
      <xdr:rowOff>291315</xdr:rowOff>
    </xdr:from>
    <xdr:to>
      <xdr:col>11</xdr:col>
      <xdr:colOff>736315</xdr:colOff>
      <xdr:row>15</xdr:row>
      <xdr:rowOff>57150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8AFC2320-44DE-4384-AE88-73D192A2A3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5524" t="21517" r="25390" b="63545"/>
        <a:stretch>
          <a:fillRect/>
        </a:stretch>
      </xdr:blipFill>
      <xdr:spPr>
        <a:xfrm>
          <a:off x="6210728" y="1266675"/>
          <a:ext cx="3486707" cy="1523230"/>
        </a:xfrm>
        <a:prstGeom prst="rect">
          <a:avLst/>
        </a:prstGeom>
      </xdr:spPr>
    </xdr:pic>
    <xdr:clientData/>
  </xdr:twoCellAnchor>
  <xdr:twoCellAnchor>
    <xdr:from>
      <xdr:col>3</xdr:col>
      <xdr:colOff>475180</xdr:colOff>
      <xdr:row>15</xdr:row>
      <xdr:rowOff>118152</xdr:rowOff>
    </xdr:from>
    <xdr:to>
      <xdr:col>9</xdr:col>
      <xdr:colOff>132708</xdr:colOff>
      <xdr:row>30</xdr:row>
      <xdr:rowOff>164386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24AF8A3C-8205-4A51-B342-9E3E002C90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2D774-5444-46F6-8B3C-FB3215026620}">
  <dimension ref="A1:AL42"/>
  <sheetViews>
    <sheetView tabSelected="1" zoomScale="89" zoomScaleNormal="89" workbookViewId="0">
      <selection activeCell="C6" sqref="C6"/>
    </sheetView>
  </sheetViews>
  <sheetFormatPr defaultColWidth="11.5546875" defaultRowHeight="14.4" x14ac:dyDescent="0.3"/>
  <cols>
    <col min="1" max="1" width="11.77734375" customWidth="1"/>
    <col min="2" max="2" width="12.5546875" customWidth="1"/>
    <col min="3" max="4" width="11.6640625" bestFit="1" customWidth="1"/>
    <col min="5" max="5" width="13.6640625" bestFit="1" customWidth="1"/>
  </cols>
  <sheetData>
    <row r="1" spans="1:38" ht="15.6" x14ac:dyDescent="0.3">
      <c r="C1" s="19" t="s">
        <v>3</v>
      </c>
      <c r="D1" s="19"/>
      <c r="E1" s="19"/>
      <c r="F1" s="19"/>
      <c r="Z1" s="1"/>
      <c r="AA1" s="1"/>
      <c r="AB1" s="1"/>
      <c r="AC1" s="19"/>
      <c r="AD1" s="19"/>
      <c r="AE1" s="19"/>
      <c r="AF1" s="19"/>
    </row>
    <row r="2" spans="1:38" ht="15.6" x14ac:dyDescent="0.3">
      <c r="A2" s="3" t="s">
        <v>8</v>
      </c>
      <c r="B2" s="3" t="s">
        <v>9</v>
      </c>
      <c r="C2" s="11" t="s">
        <v>4</v>
      </c>
      <c r="D2" s="11" t="s">
        <v>5</v>
      </c>
      <c r="E2" s="11" t="s">
        <v>6</v>
      </c>
      <c r="F2" s="2" t="s">
        <v>7</v>
      </c>
      <c r="G2" s="12" t="s">
        <v>13</v>
      </c>
      <c r="H2" s="2" t="s">
        <v>18</v>
      </c>
      <c r="I2" s="11" t="s">
        <v>10</v>
      </c>
      <c r="J2" s="1" t="s">
        <v>15</v>
      </c>
      <c r="K2" s="1" t="s">
        <v>11</v>
      </c>
      <c r="L2" s="1" t="s">
        <v>14</v>
      </c>
      <c r="M2" s="1" t="s">
        <v>19</v>
      </c>
      <c r="N2" s="1" t="s">
        <v>20</v>
      </c>
      <c r="X2" s="3"/>
      <c r="Y2" s="3"/>
      <c r="Z2" s="1"/>
      <c r="AA2" s="1"/>
      <c r="AB2" s="1"/>
      <c r="AC2" s="1"/>
      <c r="AD2" s="1"/>
      <c r="AE2" s="1"/>
      <c r="AF2" s="2"/>
      <c r="AG2" s="2"/>
    </row>
    <row r="3" spans="1:38" ht="15.6" x14ac:dyDescent="0.3">
      <c r="A3" s="4" t="s">
        <v>0</v>
      </c>
      <c r="B3" s="4" t="s">
        <v>1</v>
      </c>
      <c r="C3" s="13">
        <v>70</v>
      </c>
      <c r="D3" s="13">
        <v>20</v>
      </c>
      <c r="E3" s="13">
        <v>10</v>
      </c>
      <c r="F3" s="4" t="s">
        <v>2</v>
      </c>
      <c r="G3" s="13">
        <v>1.1000000000000001</v>
      </c>
      <c r="H3" s="4">
        <f>1-G3/2.65</f>
        <v>0.58490566037735836</v>
      </c>
      <c r="I3" s="13">
        <v>1.8</v>
      </c>
      <c r="J3" s="4">
        <f>I3/1.724</f>
        <v>1.0440835266821347</v>
      </c>
      <c r="K3" s="4">
        <v>1</v>
      </c>
      <c r="L3" s="4">
        <v>7.5</v>
      </c>
      <c r="M3" s="4">
        <v>7</v>
      </c>
      <c r="N3" s="4">
        <v>100</v>
      </c>
      <c r="AH3" s="19"/>
      <c r="AI3" s="19"/>
      <c r="AJ3" s="19"/>
      <c r="AK3" s="19"/>
    </row>
    <row r="4" spans="1:38" ht="15.6" x14ac:dyDescent="0.3">
      <c r="A4" s="4"/>
      <c r="B4" s="4"/>
      <c r="C4" s="13">
        <f>C3/100</f>
        <v>0.7</v>
      </c>
      <c r="D4" s="13">
        <f t="shared" ref="D4:E4" si="0">D3/100</f>
        <v>0.2</v>
      </c>
      <c r="E4" s="13">
        <f t="shared" si="0"/>
        <v>0.1</v>
      </c>
      <c r="F4" s="4"/>
      <c r="G4" s="13"/>
      <c r="H4" s="4"/>
      <c r="I4" s="13"/>
      <c r="J4" s="4"/>
      <c r="K4" s="4"/>
      <c r="L4" s="4"/>
      <c r="M4" s="4"/>
      <c r="N4" s="4"/>
      <c r="AH4" s="1"/>
      <c r="AI4" s="1"/>
      <c r="AJ4" s="1"/>
      <c r="AK4" s="1"/>
    </row>
    <row r="5" spans="1:38" ht="15.6" x14ac:dyDescent="0.3">
      <c r="A5" s="5" t="s">
        <v>26</v>
      </c>
      <c r="B5" s="5" t="s">
        <v>25</v>
      </c>
      <c r="C5" s="5" t="s">
        <v>27</v>
      </c>
      <c r="D5" s="5" t="s">
        <v>28</v>
      </c>
      <c r="E5" s="5" t="s">
        <v>29</v>
      </c>
      <c r="F5" s="5" t="s">
        <v>30</v>
      </c>
      <c r="G5" s="5" t="s">
        <v>31</v>
      </c>
      <c r="H5" s="5" t="s">
        <v>32</v>
      </c>
      <c r="I5" s="5" t="s">
        <v>33</v>
      </c>
      <c r="J5" s="5" t="s">
        <v>36</v>
      </c>
      <c r="AE5" s="1"/>
      <c r="AF5" s="1"/>
      <c r="AG5" s="1"/>
      <c r="AH5" s="1"/>
      <c r="AI5" s="1"/>
      <c r="AJ5" s="1"/>
      <c r="AK5" s="2"/>
      <c r="AL5" s="2"/>
    </row>
    <row r="6" spans="1:38" x14ac:dyDescent="0.3">
      <c r="A6" s="17">
        <f>-0.024*C3/100+0.487*E3/100+0.006*I3+0.005*(C3/100*I3)-0.013*(E3/100*I3)+0.068*(C3/100*E3/100)+0.031</f>
        <v>8.2419999999999993E-2</v>
      </c>
      <c r="B6" s="17">
        <f>A6+(0.14*A6-0.02)</f>
        <v>7.3958799999999991E-2</v>
      </c>
      <c r="C6" s="18">
        <f>-0.251*C3/100+0.195*E3/100+0.011*I3+0.006*(C3/100*I3)-0.027*(E3/100*I3)+0.452*(C3/100*E3/100)+0.299</f>
        <v>0.19693999999999998</v>
      </c>
      <c r="D6" s="18">
        <f>C6+(1.283*C6^2-0.374*C6-0.015)</f>
        <v>0.15804606149879996</v>
      </c>
      <c r="E6" s="18">
        <f>0.278*C3/100+0.034*E3/100+0.022*I3-0.018*(C3/100*I3)-0.027*(E3/100*I3)-0.584*(C3/100*E3/100)+0.078</f>
        <v>0.24718000000000001</v>
      </c>
      <c r="F6" s="18">
        <f>E6+(0.636*E6-0.107)</f>
        <v>0.29738648000000001</v>
      </c>
      <c r="G6" s="18">
        <f>D6+F6-0.097*C6/100+0.043</f>
        <v>0.49824150969879993</v>
      </c>
      <c r="H6" s="18">
        <f>-21.67*C3/100-27.93*E3/100-81.97*F6+71.12*(C3/100*F6)+8.29*(E3/100*F6)+14.05*(C3/100*E3/100)+27.16</f>
        <v>0.85635214663999903</v>
      </c>
      <c r="I6" s="18">
        <f>(H6+(0.02*H6^2-0.113*H6-0.7))*10</f>
        <v>0.74251134050777878</v>
      </c>
    </row>
    <row r="7" spans="1:38" ht="23.4" x14ac:dyDescent="0.45">
      <c r="A7" s="20" t="s">
        <v>24</v>
      </c>
      <c r="B7" s="20"/>
      <c r="C7" s="20"/>
      <c r="D7" s="20"/>
      <c r="E7" s="20"/>
      <c r="H7" s="16" t="s">
        <v>16</v>
      </c>
    </row>
    <row r="8" spans="1:38" x14ac:dyDescent="0.3">
      <c r="A8" s="8" t="s">
        <v>34</v>
      </c>
      <c r="B8" s="8" t="s">
        <v>35</v>
      </c>
      <c r="C8" s="8" t="s">
        <v>17</v>
      </c>
      <c r="D8" s="7" t="s">
        <v>12</v>
      </c>
      <c r="E8" s="7"/>
      <c r="G8" s="6"/>
    </row>
    <row r="9" spans="1:38" x14ac:dyDescent="0.3">
      <c r="A9" s="14">
        <f>EXP(LN(33)+B9*LOG(D6))</f>
        <v>0.58831825116164349</v>
      </c>
      <c r="B9" s="10">
        <f>(LN(1500)-LN(33))/(LN(D6)-LN(B6))</f>
        <v>5.0261017948169657</v>
      </c>
      <c r="C9" s="9">
        <f>1/B9</f>
        <v>0.19896135033142853</v>
      </c>
      <c r="D9" s="9">
        <f>193*24*(G6-D6)^(3-C9)</f>
        <v>226.00704468684455</v>
      </c>
      <c r="E9" s="9"/>
    </row>
    <row r="12" spans="1:38" x14ac:dyDescent="0.3">
      <c r="B12" t="s">
        <v>23</v>
      </c>
    </row>
    <row r="13" spans="1:38" x14ac:dyDescent="0.3">
      <c r="B13" t="s">
        <v>21</v>
      </c>
      <c r="C13" t="s">
        <v>22</v>
      </c>
    </row>
    <row r="15" spans="1:38" x14ac:dyDescent="0.3">
      <c r="B15">
        <f t="shared" ref="B15:B22" si="1">($A$9*(C15)^(-$B$9))*10</f>
        <v>38203.060137921937</v>
      </c>
      <c r="C15">
        <v>0.17436634776844101</v>
      </c>
    </row>
    <row r="16" spans="1:38" x14ac:dyDescent="0.3">
      <c r="B16">
        <f t="shared" si="1"/>
        <v>30554.028327941396</v>
      </c>
      <c r="C16">
        <v>0.182292090848824</v>
      </c>
    </row>
    <row r="17" spans="2:29" x14ac:dyDescent="0.3">
      <c r="B17">
        <f t="shared" si="1"/>
        <v>24669.991418005709</v>
      </c>
      <c r="C17">
        <v>0.19021783392920799</v>
      </c>
    </row>
    <row r="18" spans="2:29" x14ac:dyDescent="0.3">
      <c r="B18">
        <f t="shared" si="1"/>
        <v>20093.815531961525</v>
      </c>
      <c r="C18">
        <v>0.19814357700959201</v>
      </c>
      <c r="O18" s="15"/>
      <c r="P18" s="15"/>
      <c r="Q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</row>
    <row r="19" spans="2:29" x14ac:dyDescent="0.3">
      <c r="B19">
        <f t="shared" si="1"/>
        <v>16498.752730684206</v>
      </c>
      <c r="C19">
        <v>0.206069320089975</v>
      </c>
    </row>
    <row r="20" spans="2:29" x14ac:dyDescent="0.3">
      <c r="B20">
        <f t="shared" si="1"/>
        <v>13648.069127413335</v>
      </c>
      <c r="C20">
        <v>0.21399506317035899</v>
      </c>
    </row>
    <row r="21" spans="2:29" x14ac:dyDescent="0.3">
      <c r="B21">
        <f t="shared" si="1"/>
        <v>11368.093028392888</v>
      </c>
      <c r="C21">
        <v>0.22192080625074301</v>
      </c>
    </row>
    <row r="22" spans="2:29" x14ac:dyDescent="0.3">
      <c r="B22">
        <f t="shared" si="1"/>
        <v>9529.9362537140914</v>
      </c>
      <c r="C22">
        <v>0.229846549331126</v>
      </c>
    </row>
    <row r="23" spans="2:29" x14ac:dyDescent="0.3">
      <c r="B23">
        <f t="shared" ref="B23:B42" si="2">($A$9*(C23)^(-$B$9))*10</f>
        <v>682.58013695452053</v>
      </c>
      <c r="C23">
        <v>0.3883614109388</v>
      </c>
    </row>
    <row r="24" spans="2:29" x14ac:dyDescent="0.3">
      <c r="B24">
        <f t="shared" si="2"/>
        <v>682.58013695452053</v>
      </c>
      <c r="C24">
        <v>0.3883614109388</v>
      </c>
    </row>
    <row r="25" spans="2:29" x14ac:dyDescent="0.3">
      <c r="B25">
        <f t="shared" si="2"/>
        <v>682.58013695452053</v>
      </c>
      <c r="C25">
        <v>0.3883614109388</v>
      </c>
    </row>
    <row r="26" spans="2:29" x14ac:dyDescent="0.3">
      <c r="B26">
        <f t="shared" si="2"/>
        <v>682.58013695452053</v>
      </c>
      <c r="C26">
        <v>0.3883614109388</v>
      </c>
    </row>
    <row r="27" spans="2:29" x14ac:dyDescent="0.3">
      <c r="B27">
        <f t="shared" si="2"/>
        <v>682.58013695452053</v>
      </c>
      <c r="C27">
        <v>0.3883614109388</v>
      </c>
    </row>
    <row r="28" spans="2:29" x14ac:dyDescent="0.3">
      <c r="B28">
        <f t="shared" si="2"/>
        <v>682.58013695452053</v>
      </c>
      <c r="C28">
        <v>0.3883614109388</v>
      </c>
    </row>
    <row r="29" spans="2:29" x14ac:dyDescent="0.3">
      <c r="B29">
        <f t="shared" si="2"/>
        <v>682.58013695452053</v>
      </c>
      <c r="C29">
        <v>0.3883614109388</v>
      </c>
    </row>
    <row r="30" spans="2:29" x14ac:dyDescent="0.3">
      <c r="B30">
        <f t="shared" si="2"/>
        <v>682.58013695452053</v>
      </c>
      <c r="C30">
        <v>0.3883614109388</v>
      </c>
    </row>
    <row r="31" spans="2:29" x14ac:dyDescent="0.3">
      <c r="B31">
        <f t="shared" si="2"/>
        <v>682.58013695452053</v>
      </c>
      <c r="C31">
        <v>0.3883614109388</v>
      </c>
    </row>
    <row r="32" spans="2:29" x14ac:dyDescent="0.3">
      <c r="B32">
        <f t="shared" si="2"/>
        <v>682.58013695452053</v>
      </c>
      <c r="C32">
        <v>0.3883614109388</v>
      </c>
    </row>
    <row r="33" spans="2:3" x14ac:dyDescent="0.3">
      <c r="B33">
        <f t="shared" si="2"/>
        <v>682.58013695452053</v>
      </c>
      <c r="C33">
        <v>0.3883614109388</v>
      </c>
    </row>
    <row r="34" spans="2:3" x14ac:dyDescent="0.3">
      <c r="B34">
        <f t="shared" si="2"/>
        <v>682.58013695452053</v>
      </c>
      <c r="C34">
        <v>0.3883614109388</v>
      </c>
    </row>
    <row r="35" spans="2:3" x14ac:dyDescent="0.3">
      <c r="B35">
        <f t="shared" si="2"/>
        <v>682.58013695452053</v>
      </c>
      <c r="C35">
        <v>0.3883614109388</v>
      </c>
    </row>
    <row r="36" spans="2:3" x14ac:dyDescent="0.3">
      <c r="B36">
        <f t="shared" si="2"/>
        <v>682.58013695452053</v>
      </c>
      <c r="C36">
        <v>0.3883614109388</v>
      </c>
    </row>
    <row r="37" spans="2:3" x14ac:dyDescent="0.3">
      <c r="B37">
        <f t="shared" si="2"/>
        <v>682.58013695452053</v>
      </c>
      <c r="C37">
        <v>0.3883614109388</v>
      </c>
    </row>
    <row r="38" spans="2:3" x14ac:dyDescent="0.3">
      <c r="B38">
        <f t="shared" si="2"/>
        <v>682.58013695452053</v>
      </c>
      <c r="C38">
        <v>0.3883614109388</v>
      </c>
    </row>
    <row r="39" spans="2:3" x14ac:dyDescent="0.3">
      <c r="B39">
        <f t="shared" si="2"/>
        <v>682.58013695452053</v>
      </c>
      <c r="C39">
        <v>0.3883614109388</v>
      </c>
    </row>
    <row r="40" spans="2:3" x14ac:dyDescent="0.3">
      <c r="B40">
        <f t="shared" si="2"/>
        <v>682.58013695452053</v>
      </c>
      <c r="C40">
        <v>0.3883614109388</v>
      </c>
    </row>
    <row r="41" spans="2:3" x14ac:dyDescent="0.3">
      <c r="B41">
        <f t="shared" si="2"/>
        <v>682.58013695452053</v>
      </c>
      <c r="C41">
        <v>0.3883614109388</v>
      </c>
    </row>
    <row r="42" spans="2:3" x14ac:dyDescent="0.3">
      <c r="B42">
        <f t="shared" si="2"/>
        <v>682.58013695452053</v>
      </c>
      <c r="C42">
        <v>0.3883614109388</v>
      </c>
    </row>
  </sheetData>
  <mergeCells count="4">
    <mergeCell ref="C1:F1"/>
    <mergeCell ref="AC1:AF1"/>
    <mergeCell ref="AH3:AK3"/>
    <mergeCell ref="A7:E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Saxton and Rawls (2006)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Noura BMN</dc:creator>
  <cp:lastModifiedBy>PAOLO NASTA</cp:lastModifiedBy>
  <dcterms:created xsi:type="dcterms:W3CDTF">2025-11-24T11:34:34Z</dcterms:created>
  <dcterms:modified xsi:type="dcterms:W3CDTF">2026-02-16T13:26:02Z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2025-11-26T14:47:40Z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20bb4705-1c3f-402a-ae42-1af584ffb65d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